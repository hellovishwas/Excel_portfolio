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VISHWAS SHARMA\Documents\Xcel_portfolio\Cafe_Sales_Dashboards\"/>
    </mc:Choice>
  </mc:AlternateContent>
  <xr:revisionPtr revIDLastSave="0" documentId="13_ncr:1_{2E26D5DB-A039-4A47-A387-8B46D082066D}" xr6:coauthVersionLast="47" xr6:coauthVersionMax="47" xr10:uidLastSave="{00000000-0000-0000-0000-000000000000}"/>
  <bookViews>
    <workbookView xWindow="-110" yWindow="-110" windowWidth="19420" windowHeight="10300" firstSheet="1" activeTab="2" xr2:uid="{B67CA4E5-DE96-4D3B-B120-1C63E72E15DA}"/>
  </bookViews>
  <sheets>
    <sheet name="working space" sheetId="3" state="hidden" r:id="rId1"/>
    <sheet name="dashboard" sheetId="5" r:id="rId2"/>
    <sheet name="COFFEE SALES DATA" sheetId="1" r:id="rId3"/>
  </sheets>
  <definedNames>
    <definedName name="Slicer_Order_type">#N/A</definedName>
    <definedName name="Slicer_Payment_method">#N/A</definedName>
    <definedName name="Slicer_Product_Category">#N/A</definedName>
    <definedName name="Slicer_Store_Location">#N/A</definedName>
  </definedNames>
  <calcPr calcId="191029"/>
  <pivotCaches>
    <pivotCache cacheId="586"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08" i="3" l="1"/>
  <c r="G110" i="3" s="1"/>
  <c r="G103" i="3"/>
  <c r="F3" i="1" a="1"/>
  <c r="F3" i="1" s="1"/>
  <c r="G3" i="1" s="1"/>
  <c r="F4" i="1" a="1"/>
  <c r="F4" i="1" s="1"/>
  <c r="F5" i="1" a="1"/>
  <c r="F5" i="1"/>
  <c r="G5" i="1" s="1"/>
  <c r="F6" i="1" a="1"/>
  <c r="F6" i="1"/>
  <c r="G6" i="1" s="1"/>
  <c r="F7" i="1" a="1"/>
  <c r="F7" i="1" s="1"/>
  <c r="G7" i="1" s="1"/>
  <c r="F8" i="1" a="1"/>
  <c r="F8" i="1" s="1"/>
  <c r="F9" i="1" a="1"/>
  <c r="F9" i="1"/>
  <c r="F10" i="1" a="1"/>
  <c r="F10" i="1"/>
  <c r="F11" i="1" a="1"/>
  <c r="F11" i="1" s="1"/>
  <c r="G11" i="1" s="1"/>
  <c r="F12" i="1" a="1"/>
  <c r="F12" i="1" s="1"/>
  <c r="G12" i="1" s="1"/>
  <c r="F13" i="1" a="1"/>
  <c r="F13" i="1"/>
  <c r="F14" i="1" a="1"/>
  <c r="F14" i="1"/>
  <c r="G14" i="1" s="1"/>
  <c r="F15" i="1" a="1"/>
  <c r="F15" i="1" s="1"/>
  <c r="G15" i="1" s="1"/>
  <c r="F16" i="1" a="1"/>
  <c r="F16" i="1"/>
  <c r="G16" i="1" s="1"/>
  <c r="F17" i="1" a="1"/>
  <c r="F17" i="1" s="1"/>
  <c r="F18" i="1" a="1"/>
  <c r="F18" i="1"/>
  <c r="F19" i="1" a="1"/>
  <c r="F19" i="1" s="1"/>
  <c r="F20" i="1" a="1"/>
  <c r="F20" i="1"/>
  <c r="F21" i="1" a="1"/>
  <c r="F21" i="1" s="1"/>
  <c r="G21" i="1" s="1"/>
  <c r="F22" i="1" a="1"/>
  <c r="F22" i="1" s="1"/>
  <c r="G22" i="1" s="1"/>
  <c r="F23" i="1" a="1"/>
  <c r="F23" i="1" s="1"/>
  <c r="F24" i="1" a="1"/>
  <c r="F24" i="1"/>
  <c r="G24" i="1" s="1"/>
  <c r="F25" i="1" a="1"/>
  <c r="F25" i="1"/>
  <c r="G25" i="1" s="1"/>
  <c r="F26" i="1" a="1"/>
  <c r="F26" i="1" s="1"/>
  <c r="G26" i="1" s="1"/>
  <c r="F27" i="1" a="1"/>
  <c r="F27" i="1" s="1"/>
  <c r="F28" i="1" a="1"/>
  <c r="F28" i="1"/>
  <c r="F29" i="1" a="1"/>
  <c r="F29" i="1"/>
  <c r="G29" i="1" s="1"/>
  <c r="F30" i="1" a="1"/>
  <c r="F30" i="1" s="1"/>
  <c r="G30" i="1" s="1"/>
  <c r="F31" i="1" a="1"/>
  <c r="F31" i="1" s="1"/>
  <c r="F32" i="1" a="1"/>
  <c r="F32" i="1" s="1"/>
  <c r="F33" i="1" a="1"/>
  <c r="F33" i="1"/>
  <c r="G33" i="1" s="1"/>
  <c r="F34" i="1" a="1"/>
  <c r="F34" i="1"/>
  <c r="G34" i="1" s="1"/>
  <c r="F35" i="1" a="1"/>
  <c r="F35" i="1" s="1"/>
  <c r="G35" i="1" s="1"/>
  <c r="F36" i="1" a="1"/>
  <c r="F36" i="1" s="1"/>
  <c r="G36" i="1" s="1"/>
  <c r="F37" i="1" a="1"/>
  <c r="F37" i="1"/>
  <c r="F38" i="1" a="1"/>
  <c r="F38" i="1"/>
  <c r="G38" i="1" s="1"/>
  <c r="F39" i="1" a="1"/>
  <c r="F39" i="1" s="1"/>
  <c r="G39" i="1" s="1"/>
  <c r="F40" i="1" a="1"/>
  <c r="F40" i="1"/>
  <c r="G40" i="1" s="1"/>
  <c r="F41" i="1" a="1"/>
  <c r="F41" i="1" s="1"/>
  <c r="G41" i="1" s="1"/>
  <c r="F42" i="1" a="1"/>
  <c r="F42" i="1"/>
  <c r="F43" i="1" a="1"/>
  <c r="F43" i="1" s="1"/>
  <c r="G43" i="1" s="1"/>
  <c r="F44" i="1" a="1"/>
  <c r="F44" i="1"/>
  <c r="G44" i="1" s="1"/>
  <c r="F45" i="1" a="1"/>
  <c r="F45" i="1" s="1"/>
  <c r="G45" i="1" s="1"/>
  <c r="F46" i="1" a="1"/>
  <c r="F46" i="1"/>
  <c r="F47" i="1" a="1"/>
  <c r="F47" i="1" s="1"/>
  <c r="G47" i="1" s="1"/>
  <c r="F48" i="1" a="1"/>
  <c r="F48" i="1"/>
  <c r="G48" i="1" s="1"/>
  <c r="F49" i="1" a="1"/>
  <c r="F49" i="1"/>
  <c r="G49" i="1" s="1"/>
  <c r="F50" i="1" a="1"/>
  <c r="F50" i="1" s="1"/>
  <c r="G50" i="1" s="1"/>
  <c r="F51" i="1" a="1"/>
  <c r="F51" i="1" s="1"/>
  <c r="F52" i="1" a="1"/>
  <c r="F52" i="1"/>
  <c r="G52" i="1" s="1"/>
  <c r="F53" i="1" a="1"/>
  <c r="F53" i="1" s="1"/>
  <c r="G53" i="1" s="1"/>
  <c r="F54" i="1" a="1"/>
  <c r="F54" i="1"/>
  <c r="G54" i="1" s="1"/>
  <c r="F55" i="1" a="1"/>
  <c r="F55" i="1" s="1"/>
  <c r="F56" i="1" a="1"/>
  <c r="F56" i="1"/>
  <c r="F57" i="1" a="1"/>
  <c r="F57" i="1"/>
  <c r="F58" i="1" a="1"/>
  <c r="F58" i="1"/>
  <c r="F59" i="1" a="1"/>
  <c r="F59" i="1" s="1"/>
  <c r="G59" i="1" s="1"/>
  <c r="F60" i="1" a="1"/>
  <c r="F60" i="1" s="1"/>
  <c r="G60" i="1" s="1"/>
  <c r="F61" i="1" a="1"/>
  <c r="F61" i="1"/>
  <c r="G61" i="1" s="1"/>
  <c r="F62" i="1" a="1"/>
  <c r="F62" i="1" s="1"/>
  <c r="G62" i="1" s="1"/>
  <c r="F63" i="1" a="1"/>
  <c r="F63" i="1" s="1"/>
  <c r="G63" i="1" s="1"/>
  <c r="F64" i="1" a="1"/>
  <c r="F64" i="1"/>
  <c r="G64" i="1" s="1"/>
  <c r="F65" i="1" a="1"/>
  <c r="F65" i="1" s="1"/>
  <c r="G65" i="1" s="1"/>
  <c r="F66" i="1" a="1"/>
  <c r="F66" i="1"/>
  <c r="F67" i="1" a="1"/>
  <c r="F67" i="1" s="1"/>
  <c r="G67" i="1" s="1"/>
  <c r="F68" i="1" a="1"/>
  <c r="F68" i="1"/>
  <c r="F69" i="1" a="1"/>
  <c r="F69" i="1" s="1"/>
  <c r="G69" i="1" s="1"/>
  <c r="F70" i="1" a="1"/>
  <c r="F70" i="1" s="1"/>
  <c r="F71" i="1" a="1"/>
  <c r="F71" i="1" s="1"/>
  <c r="G71" i="1" s="1"/>
  <c r="F72" i="1" a="1"/>
  <c r="F72" i="1"/>
  <c r="G72" i="1" s="1"/>
  <c r="F73" i="1" a="1"/>
  <c r="F73" i="1" s="1"/>
  <c r="G73" i="1" s="1"/>
  <c r="F74" i="1" a="1"/>
  <c r="F74" i="1" s="1"/>
  <c r="G74" i="1" s="1"/>
  <c r="F75" i="1" a="1"/>
  <c r="F75" i="1" s="1"/>
  <c r="F76" i="1" a="1"/>
  <c r="F76" i="1" s="1"/>
  <c r="F77" i="1" a="1"/>
  <c r="F77" i="1"/>
  <c r="G77" i="1" s="1"/>
  <c r="F78" i="1" a="1"/>
  <c r="F78" i="1"/>
  <c r="G78" i="1" s="1"/>
  <c r="F79" i="1" a="1"/>
  <c r="F79" i="1" s="1"/>
  <c r="F80" i="1" a="1"/>
  <c r="F80" i="1" s="1"/>
  <c r="F81" i="1" a="1"/>
  <c r="F81" i="1"/>
  <c r="F82" i="1" a="1"/>
  <c r="F82" i="1"/>
  <c r="G82" i="1" s="1"/>
  <c r="F83" i="1" a="1"/>
  <c r="F83" i="1" s="1"/>
  <c r="G83" i="1" s="1"/>
  <c r="F84" i="1" a="1"/>
  <c r="F84" i="1" s="1"/>
  <c r="G84" i="1" s="1"/>
  <c r="F85" i="1" a="1"/>
  <c r="F85" i="1" s="1"/>
  <c r="F86" i="1" a="1"/>
  <c r="F86" i="1"/>
  <c r="F87" i="1" a="1"/>
  <c r="F87" i="1" s="1"/>
  <c r="G87" i="1" s="1"/>
  <c r="F88" i="1" a="1"/>
  <c r="F88" i="1"/>
  <c r="G88" i="1" s="1"/>
  <c r="F89" i="1" a="1"/>
  <c r="F89" i="1" s="1"/>
  <c r="G89" i="1" s="1"/>
  <c r="F90" i="1" a="1"/>
  <c r="F90" i="1" s="1"/>
  <c r="F91" i="1" a="1"/>
  <c r="F91" i="1" s="1"/>
  <c r="F92" i="1" a="1"/>
  <c r="F92" i="1"/>
  <c r="G92" i="1" s="1"/>
  <c r="F93" i="1" a="1"/>
  <c r="F93" i="1"/>
  <c r="G93" i="1" s="1"/>
  <c r="F94" i="1" a="1"/>
  <c r="F94" i="1" s="1"/>
  <c r="G94" i="1" s="1"/>
  <c r="F95" i="1" a="1"/>
  <c r="F95" i="1" s="1"/>
  <c r="G95" i="1" s="1"/>
  <c r="F96" i="1" a="1"/>
  <c r="F96" i="1" s="1"/>
  <c r="G96" i="1" s="1"/>
  <c r="F97" i="1" a="1"/>
  <c r="F97" i="1"/>
  <c r="F98" i="1" a="1"/>
  <c r="F98" i="1"/>
  <c r="G98" i="1" s="1"/>
  <c r="F99" i="1" a="1"/>
  <c r="F99" i="1" s="1"/>
  <c r="G99" i="1" s="1"/>
  <c r="F100" i="1" a="1"/>
  <c r="F100" i="1" s="1"/>
  <c r="G100" i="1" s="1"/>
  <c r="F101" i="1" a="1"/>
  <c r="F101" i="1"/>
  <c r="G101" i="1" s="1"/>
  <c r="F102" i="1" a="1"/>
  <c r="F102" i="1"/>
  <c r="G102" i="1" s="1"/>
  <c r="F103" i="1" a="1"/>
  <c r="F103" i="1" s="1"/>
  <c r="G103" i="1" s="1"/>
  <c r="F104" i="1" a="1"/>
  <c r="F104" i="1" s="1"/>
  <c r="F105" i="1" a="1"/>
  <c r="F105" i="1" s="1"/>
  <c r="F106" i="1" a="1"/>
  <c r="F106" i="1" s="1"/>
  <c r="G106" i="1" s="1"/>
  <c r="F107" i="1" a="1"/>
  <c r="F107" i="1" s="1"/>
  <c r="F108" i="1" a="1"/>
  <c r="F108" i="1" s="1"/>
  <c r="F109" i="1" a="1"/>
  <c r="F109" i="1"/>
  <c r="G109" i="1" s="1"/>
  <c r="F110" i="1" a="1"/>
  <c r="F110" i="1"/>
  <c r="G110" i="1" s="1"/>
  <c r="F111" i="1" a="1"/>
  <c r="F111" i="1" s="1"/>
  <c r="G111" i="1" s="1"/>
  <c r="F112" i="1" a="1"/>
  <c r="F112" i="1"/>
  <c r="G112" i="1" s="1"/>
  <c r="F113" i="1" a="1"/>
  <c r="F113" i="1" s="1"/>
  <c r="G113" i="1" s="1"/>
  <c r="F114" i="1" a="1"/>
  <c r="F114" i="1"/>
  <c r="G114" i="1" s="1"/>
  <c r="F115" i="1" a="1"/>
  <c r="F115" i="1" s="1"/>
  <c r="G115" i="1" s="1"/>
  <c r="F116" i="1" a="1"/>
  <c r="F116" i="1" s="1"/>
  <c r="F117" i="1" a="1"/>
  <c r="F117" i="1" s="1"/>
  <c r="G117" i="1" s="1"/>
  <c r="F118" i="1" a="1"/>
  <c r="F118" i="1"/>
  <c r="F119" i="1" a="1"/>
  <c r="F119" i="1" s="1"/>
  <c r="G119" i="1" s="1"/>
  <c r="F120" i="1" a="1"/>
  <c r="F120" i="1" s="1"/>
  <c r="F121" i="1" a="1"/>
  <c r="F121" i="1"/>
  <c r="F122" i="1" a="1"/>
  <c r="F122" i="1" s="1"/>
  <c r="G122" i="1" s="1"/>
  <c r="F123" i="1" a="1"/>
  <c r="F123" i="1" s="1"/>
  <c r="F124" i="1" a="1"/>
  <c r="F124" i="1" s="1"/>
  <c r="G124" i="1" s="1"/>
  <c r="F125" i="1" a="1"/>
  <c r="F125" i="1"/>
  <c r="G125" i="1" s="1"/>
  <c r="F126" i="1" a="1"/>
  <c r="F126" i="1" s="1"/>
  <c r="G126" i="1" s="1"/>
  <c r="F127" i="1" a="1"/>
  <c r="F127" i="1" s="1"/>
  <c r="G127" i="1" s="1"/>
  <c r="F128" i="1" a="1"/>
  <c r="F128" i="1" s="1"/>
  <c r="F129" i="1" a="1"/>
  <c r="F129" i="1" s="1"/>
  <c r="F130" i="1" a="1"/>
  <c r="F130" i="1"/>
  <c r="G130" i="1" s="1"/>
  <c r="F131" i="1" a="1"/>
  <c r="F131" i="1" s="1"/>
  <c r="G131" i="1" s="1"/>
  <c r="F132" i="1" a="1"/>
  <c r="F132" i="1" s="1"/>
  <c r="G132" i="1" s="1"/>
  <c r="F133" i="1" a="1"/>
  <c r="F133" i="1" s="1"/>
  <c r="G133" i="1" s="1"/>
  <c r="F134" i="1" a="1"/>
  <c r="F134" i="1"/>
  <c r="F135" i="1" a="1"/>
  <c r="F135" i="1" s="1"/>
  <c r="F136" i="1" a="1"/>
  <c r="F136" i="1" s="1"/>
  <c r="G136" i="1" s="1"/>
  <c r="F137" i="1" a="1"/>
  <c r="F137" i="1"/>
  <c r="G137" i="1" s="1"/>
  <c r="F138" i="1" a="1"/>
  <c r="F138" i="1" s="1"/>
  <c r="G138" i="1" s="1"/>
  <c r="F139" i="1" a="1"/>
  <c r="F139" i="1" s="1"/>
  <c r="F140" i="1" a="1"/>
  <c r="F140" i="1" s="1"/>
  <c r="F141" i="1" a="1"/>
  <c r="F141" i="1"/>
  <c r="F142" i="1" a="1"/>
  <c r="F142" i="1" s="1"/>
  <c r="G142" i="1" s="1"/>
  <c r="F143" i="1" a="1"/>
  <c r="F143" i="1" s="1"/>
  <c r="G143" i="1" s="1"/>
  <c r="F144" i="1" a="1"/>
  <c r="F144" i="1" s="1"/>
  <c r="F145" i="1" a="1"/>
  <c r="F145" i="1" s="1"/>
  <c r="G145" i="1" s="1"/>
  <c r="F146" i="1" a="1"/>
  <c r="F146" i="1" s="1"/>
  <c r="G146" i="1" s="1"/>
  <c r="F147" i="1" a="1"/>
  <c r="F147" i="1" s="1"/>
  <c r="G147" i="1" s="1"/>
  <c r="F148" i="1" a="1"/>
  <c r="F148" i="1" s="1"/>
  <c r="G148" i="1" s="1"/>
  <c r="F149" i="1" a="1"/>
  <c r="F149" i="1" s="1"/>
  <c r="G149" i="1" s="1"/>
  <c r="F150" i="1" a="1"/>
  <c r="F150" i="1"/>
  <c r="G150" i="1" s="1"/>
  <c r="F151" i="1" a="1"/>
  <c r="F151" i="1" s="1"/>
  <c r="G151" i="1" s="1"/>
  <c r="F152" i="1" a="1"/>
  <c r="F152" i="1" s="1"/>
  <c r="G152" i="1" s="1"/>
  <c r="F153" i="1" a="1"/>
  <c r="F153" i="1" s="1"/>
  <c r="G153" i="1" s="1"/>
  <c r="F154" i="1" a="1"/>
  <c r="F154" i="1" s="1"/>
  <c r="F155" i="1" a="1"/>
  <c r="F155" i="1" s="1"/>
  <c r="F156" i="1" a="1"/>
  <c r="F156" i="1"/>
  <c r="G156" i="1" s="1"/>
  <c r="F157" i="1" a="1"/>
  <c r="F157" i="1" s="1"/>
  <c r="G157" i="1" s="1"/>
  <c r="F158" i="1" a="1"/>
  <c r="F158" i="1" s="1"/>
  <c r="G158" i="1" s="1"/>
  <c r="F159" i="1" a="1"/>
  <c r="F159" i="1" s="1"/>
  <c r="F160" i="1" a="1"/>
  <c r="F160" i="1"/>
  <c r="F161" i="1" a="1"/>
  <c r="F161" i="1"/>
  <c r="G161" i="1" s="1"/>
  <c r="F162" i="1" a="1"/>
  <c r="F162" i="1" s="1"/>
  <c r="G162" i="1" s="1"/>
  <c r="F163" i="1" a="1"/>
  <c r="F163" i="1" s="1"/>
  <c r="F164" i="1" a="1"/>
  <c r="F164" i="1"/>
  <c r="F165" i="1" a="1"/>
  <c r="F165" i="1"/>
  <c r="G165" i="1" s="1"/>
  <c r="F166" i="1" a="1"/>
  <c r="F166" i="1"/>
  <c r="G166" i="1" s="1"/>
  <c r="F167" i="1" a="1"/>
  <c r="F167" i="1" s="1"/>
  <c r="G167" i="1" s="1"/>
  <c r="F168" i="1" a="1"/>
  <c r="F168" i="1" s="1"/>
  <c r="G168" i="1" s="1"/>
  <c r="F169" i="1" a="1"/>
  <c r="F169" i="1"/>
  <c r="F170" i="1" a="1"/>
  <c r="F170" i="1"/>
  <c r="F171" i="1" a="1"/>
  <c r="F171" i="1" s="1"/>
  <c r="F172" i="1" a="1"/>
  <c r="F172" i="1" s="1"/>
  <c r="G172" i="1" s="1"/>
  <c r="F173" i="1" a="1"/>
  <c r="F173" i="1" s="1"/>
  <c r="G173" i="1" s="1"/>
  <c r="F174" i="1" a="1"/>
  <c r="F174" i="1"/>
  <c r="G174" i="1" s="1"/>
  <c r="F175" i="1" a="1"/>
  <c r="F175" i="1" s="1"/>
  <c r="G175" i="1" s="1"/>
  <c r="F176" i="1" a="1"/>
  <c r="F176" i="1"/>
  <c r="G176" i="1" s="1"/>
  <c r="F177" i="1" a="1"/>
  <c r="F177" i="1" s="1"/>
  <c r="G177" i="1" s="1"/>
  <c r="F178" i="1" a="1"/>
  <c r="F178" i="1" s="1"/>
  <c r="G178" i="1" s="1"/>
  <c r="F179" i="1" a="1"/>
  <c r="F179" i="1" s="1"/>
  <c r="F180" i="1" a="1"/>
  <c r="F180" i="1" s="1"/>
  <c r="F181" i="1" a="1"/>
  <c r="F181" i="1" s="1"/>
  <c r="G181" i="1" s="1"/>
  <c r="F182" i="1" a="1"/>
  <c r="F182" i="1"/>
  <c r="F183" i="1" a="1"/>
  <c r="F183" i="1" s="1"/>
  <c r="G183" i="1" s="1"/>
  <c r="F184" i="1" a="1"/>
  <c r="F184" i="1" s="1"/>
  <c r="G184" i="1" s="1"/>
  <c r="F185" i="1" a="1"/>
  <c r="F185" i="1" s="1"/>
  <c r="F186" i="1" a="1"/>
  <c r="F186" i="1" s="1"/>
  <c r="F187" i="1" a="1"/>
  <c r="F187" i="1" s="1"/>
  <c r="G187" i="1" s="1"/>
  <c r="F188" i="1" a="1"/>
  <c r="F188" i="1" s="1"/>
  <c r="G188" i="1" s="1"/>
  <c r="F189" i="1" a="1"/>
  <c r="F189" i="1" s="1"/>
  <c r="G189" i="1" s="1"/>
  <c r="F190" i="1" a="1"/>
  <c r="F190" i="1" s="1"/>
  <c r="G190" i="1" s="1"/>
  <c r="F191" i="1" a="1"/>
  <c r="F191" i="1" s="1"/>
  <c r="F192" i="1" a="1"/>
  <c r="F192" i="1"/>
  <c r="G192" i="1" s="1"/>
  <c r="F193" i="1" a="1"/>
  <c r="F193" i="1"/>
  <c r="G193" i="1" s="1"/>
  <c r="F194" i="1" a="1"/>
  <c r="F194" i="1" s="1"/>
  <c r="G194" i="1" s="1"/>
  <c r="F195" i="1" a="1"/>
  <c r="F195" i="1" s="1"/>
  <c r="F196" i="1" a="1"/>
  <c r="F196" i="1"/>
  <c r="F197" i="1" a="1"/>
  <c r="F197" i="1"/>
  <c r="G197" i="1" s="1"/>
  <c r="F198" i="1" a="1"/>
  <c r="F198" i="1"/>
  <c r="G198" i="1" s="1"/>
  <c r="F199" i="1" a="1"/>
  <c r="F199" i="1" s="1"/>
  <c r="G199" i="1" s="1"/>
  <c r="F200" i="1" a="1"/>
  <c r="F200" i="1" s="1"/>
  <c r="G200" i="1" s="1"/>
  <c r="F201" i="1" a="1"/>
  <c r="F201" i="1"/>
  <c r="F202" i="1" a="1"/>
  <c r="F202" i="1"/>
  <c r="G202" i="1" s="1"/>
  <c r="F203" i="1" a="1"/>
  <c r="F203" i="1" s="1"/>
  <c r="G203" i="1" s="1"/>
  <c r="F204" i="1" a="1"/>
  <c r="F204" i="1" s="1"/>
  <c r="G204" i="1" s="1"/>
  <c r="F205" i="1" a="1"/>
  <c r="F205" i="1" s="1"/>
  <c r="G205" i="1" s="1"/>
  <c r="F206" i="1" a="1"/>
  <c r="F206" i="1"/>
  <c r="F207" i="1" a="1"/>
  <c r="F207" i="1" s="1"/>
  <c r="G207" i="1" s="1"/>
  <c r="F208" i="1" a="1"/>
  <c r="F208" i="1"/>
  <c r="G208" i="1" s="1"/>
  <c r="F209" i="1" a="1"/>
  <c r="F209" i="1" s="1"/>
  <c r="G209" i="1" s="1"/>
  <c r="F210" i="1" a="1"/>
  <c r="F210" i="1" s="1"/>
  <c r="G210" i="1" s="1"/>
  <c r="F211" i="1" a="1"/>
  <c r="F211" i="1" s="1"/>
  <c r="F212" i="1" a="1"/>
  <c r="F212" i="1"/>
  <c r="F213" i="1" a="1"/>
  <c r="F213" i="1" s="1"/>
  <c r="G213" i="1" s="1"/>
  <c r="F214" i="1" a="1"/>
  <c r="F214" i="1"/>
  <c r="G214" i="1" s="1"/>
  <c r="F215" i="1" a="1"/>
  <c r="F215" i="1" s="1"/>
  <c r="G215" i="1" s="1"/>
  <c r="F216" i="1" a="1"/>
  <c r="F216" i="1" s="1"/>
  <c r="G216" i="1" s="1"/>
  <c r="F217" i="1" a="1"/>
  <c r="F217" i="1"/>
  <c r="F218" i="1" a="1"/>
  <c r="F218" i="1" s="1"/>
  <c r="G218" i="1" s="1"/>
  <c r="F219" i="1" a="1"/>
  <c r="F219" i="1" s="1"/>
  <c r="F220" i="1" a="1"/>
  <c r="F220" i="1"/>
  <c r="G220" i="1" s="1"/>
  <c r="F221" i="1" a="1"/>
  <c r="F221" i="1" s="1"/>
  <c r="G221" i="1" s="1"/>
  <c r="F222" i="1" a="1"/>
  <c r="F222" i="1" s="1"/>
  <c r="F223" i="1" a="1"/>
  <c r="F223" i="1" s="1"/>
  <c r="F224" i="1" a="1"/>
  <c r="F224" i="1"/>
  <c r="F225" i="1" a="1"/>
  <c r="F225" i="1"/>
  <c r="G225" i="1" s="1"/>
  <c r="F226" i="1" a="1"/>
  <c r="F226" i="1" s="1"/>
  <c r="G226" i="1" s="1"/>
  <c r="F227" i="1" a="1"/>
  <c r="F227" i="1" s="1"/>
  <c r="F228" i="1" a="1"/>
  <c r="F228" i="1" s="1"/>
  <c r="G228" i="1" s="1"/>
  <c r="F229" i="1" a="1"/>
  <c r="F229" i="1" s="1"/>
  <c r="G229" i="1" s="1"/>
  <c r="F230" i="1" a="1"/>
  <c r="F230" i="1"/>
  <c r="G230" i="1" s="1"/>
  <c r="F231" i="1" a="1"/>
  <c r="F231" i="1" s="1"/>
  <c r="F232" i="1" a="1"/>
  <c r="F232" i="1" s="1"/>
  <c r="G232" i="1" s="1"/>
  <c r="F233" i="1" a="1"/>
  <c r="F233" i="1" s="1"/>
  <c r="F234" i="1" a="1"/>
  <c r="F234" i="1" s="1"/>
  <c r="G234" i="1" s="1"/>
  <c r="F235" i="1" a="1"/>
  <c r="F235" i="1" s="1"/>
  <c r="F236" i="1" a="1"/>
  <c r="F236" i="1" s="1"/>
  <c r="F237" i="1" a="1"/>
  <c r="F237" i="1" s="1"/>
  <c r="G237" i="1" s="1"/>
  <c r="F238" i="1" a="1"/>
  <c r="F238" i="1" s="1"/>
  <c r="G238" i="1" s="1"/>
  <c r="F239" i="1" a="1"/>
  <c r="F239" i="1" s="1"/>
  <c r="F240" i="1" a="1"/>
  <c r="F240" i="1"/>
  <c r="G240" i="1" s="1"/>
  <c r="F241" i="1" a="1"/>
  <c r="F241" i="1" s="1"/>
  <c r="G241" i="1" s="1"/>
  <c r="F242" i="1" a="1"/>
  <c r="F242" i="1"/>
  <c r="G242" i="1" s="1"/>
  <c r="F243" i="1" a="1"/>
  <c r="F243" i="1" s="1"/>
  <c r="F244" i="1" a="1"/>
  <c r="F244" i="1" s="1"/>
  <c r="G244" i="1" s="1"/>
  <c r="F245" i="1" a="1"/>
  <c r="F245" i="1" s="1"/>
  <c r="G245" i="1" s="1"/>
  <c r="F246" i="1" a="1"/>
  <c r="F246" i="1"/>
  <c r="G246" i="1" s="1"/>
  <c r="F247" i="1" a="1"/>
  <c r="F247" i="1" s="1"/>
  <c r="G247" i="1" s="1"/>
  <c r="F248" i="1" a="1"/>
  <c r="F248" i="1"/>
  <c r="F249" i="1" a="1"/>
  <c r="F249" i="1" s="1"/>
  <c r="F250" i="1" a="1"/>
  <c r="F250" i="1" s="1"/>
  <c r="F251" i="1" a="1"/>
  <c r="F251" i="1" s="1"/>
  <c r="F252" i="1" a="1"/>
  <c r="F252" i="1" s="1"/>
  <c r="G252" i="1" s="1"/>
  <c r="F253" i="1" a="1"/>
  <c r="F253" i="1"/>
  <c r="G253" i="1" s="1"/>
  <c r="F254" i="1" a="1"/>
  <c r="F254" i="1" s="1"/>
  <c r="G254" i="1" s="1"/>
  <c r="F255" i="1" a="1"/>
  <c r="F255" i="1" s="1"/>
  <c r="F256" i="1" a="1"/>
  <c r="F256" i="1"/>
  <c r="F257" i="1" a="1"/>
  <c r="F257" i="1" s="1"/>
  <c r="F258" i="1" a="1"/>
  <c r="F258" i="1"/>
  <c r="F259" i="1" a="1"/>
  <c r="F259" i="1" s="1"/>
  <c r="F260" i="1" a="1"/>
  <c r="F260" i="1" s="1"/>
  <c r="G260" i="1" s="1"/>
  <c r="F261" i="1" a="1"/>
  <c r="F261" i="1" s="1"/>
  <c r="G261" i="1" s="1"/>
  <c r="F262" i="1" a="1"/>
  <c r="F262" i="1" s="1"/>
  <c r="G262" i="1" s="1"/>
  <c r="F263" i="1" a="1"/>
  <c r="F263" i="1" s="1"/>
  <c r="F264" i="1" a="1"/>
  <c r="F264" i="1" s="1"/>
  <c r="G264" i="1" s="1"/>
  <c r="F265" i="1" a="1"/>
  <c r="F265" i="1"/>
  <c r="G265" i="1" s="1"/>
  <c r="F266" i="1" a="1"/>
  <c r="F266" i="1" s="1"/>
  <c r="G266" i="1" s="1"/>
  <c r="F267" i="1" a="1"/>
  <c r="F267" i="1" s="1"/>
  <c r="F268" i="1" a="1"/>
  <c r="F268" i="1" s="1"/>
  <c r="F269" i="1" a="1"/>
  <c r="F269" i="1" s="1"/>
  <c r="F270" i="1" a="1"/>
  <c r="F270" i="1"/>
  <c r="G270" i="1" s="1"/>
  <c r="F271" i="1" a="1"/>
  <c r="F271" i="1" s="1"/>
  <c r="G271" i="1" s="1"/>
  <c r="F272" i="1" a="1"/>
  <c r="F272" i="1" s="1"/>
  <c r="G272" i="1" s="1"/>
  <c r="F273" i="1" a="1"/>
  <c r="F273" i="1" s="1"/>
  <c r="G273" i="1" s="1"/>
  <c r="F274" i="1" a="1"/>
  <c r="F274" i="1" s="1"/>
  <c r="F275" i="1" a="1"/>
  <c r="F275" i="1" s="1"/>
  <c r="F276" i="1" a="1"/>
  <c r="F276" i="1"/>
  <c r="F277" i="1" a="1"/>
  <c r="F277" i="1" s="1"/>
  <c r="G277" i="1" s="1"/>
  <c r="F278" i="1" a="1"/>
  <c r="F278" i="1" s="1"/>
  <c r="G278" i="1" s="1"/>
  <c r="F279" i="1" a="1"/>
  <c r="F279" i="1" s="1"/>
  <c r="G279" i="1" s="1"/>
  <c r="F280" i="1" a="1"/>
  <c r="F280" i="1" s="1"/>
  <c r="G280" i="1" s="1"/>
  <c r="F281" i="1" a="1"/>
  <c r="F281" i="1"/>
  <c r="G281" i="1" s="1"/>
  <c r="F282" i="1" a="1"/>
  <c r="F282" i="1" s="1"/>
  <c r="G282" i="1" s="1"/>
  <c r="F283" i="1" a="1"/>
  <c r="F283" i="1" s="1"/>
  <c r="G283" i="1" s="1"/>
  <c r="F284" i="1" a="1"/>
  <c r="F284" i="1"/>
  <c r="G284" i="1" s="1"/>
  <c r="F285" i="1" a="1"/>
  <c r="F285" i="1" s="1"/>
  <c r="G285" i="1" s="1"/>
  <c r="F286" i="1" a="1"/>
  <c r="F286" i="1" s="1"/>
  <c r="F287" i="1" a="1"/>
  <c r="F287" i="1" s="1"/>
  <c r="F288" i="1" a="1"/>
  <c r="F288" i="1"/>
  <c r="G288" i="1" s="1"/>
  <c r="F289" i="1" a="1"/>
  <c r="F289" i="1"/>
  <c r="F290" i="1" a="1"/>
  <c r="F290" i="1" s="1"/>
  <c r="G290" i="1" s="1"/>
  <c r="F291" i="1" a="1"/>
  <c r="F291" i="1" s="1"/>
  <c r="F292" i="1" a="1"/>
  <c r="F292" i="1" s="1"/>
  <c r="F293" i="1" a="1"/>
  <c r="F293" i="1"/>
  <c r="G293" i="1" s="1"/>
  <c r="F294" i="1" a="1"/>
  <c r="F294" i="1"/>
  <c r="G294" i="1" s="1"/>
  <c r="F295" i="1" a="1"/>
  <c r="F295" i="1" s="1"/>
  <c r="F296" i="1" a="1"/>
  <c r="F296" i="1" s="1"/>
  <c r="F297" i="1" a="1"/>
  <c r="F297" i="1"/>
  <c r="G297" i="1" s="1"/>
  <c r="F298" i="1" a="1"/>
  <c r="F298" i="1"/>
  <c r="G298" i="1" s="1"/>
  <c r="F299" i="1" a="1"/>
  <c r="F299" i="1" s="1"/>
  <c r="F300" i="1" a="1"/>
  <c r="F300" i="1" s="1"/>
  <c r="F301" i="1" a="1"/>
  <c r="F301" i="1" s="1"/>
  <c r="F302" i="1" a="1"/>
  <c r="F302" i="1"/>
  <c r="F303" i="1" a="1"/>
  <c r="F303" i="1" s="1"/>
  <c r="F304" i="1" a="1"/>
  <c r="F304" i="1"/>
  <c r="G304" i="1" s="1"/>
  <c r="F305" i="1" a="1"/>
  <c r="F305" i="1" s="1"/>
  <c r="F306" i="1" a="1"/>
  <c r="F306" i="1" s="1"/>
  <c r="G306" i="1" s="1"/>
  <c r="F307" i="1" a="1"/>
  <c r="F307" i="1" s="1"/>
  <c r="F308" i="1" a="1"/>
  <c r="F308" i="1"/>
  <c r="G308" i="1" s="1"/>
  <c r="F309" i="1" a="1"/>
  <c r="F309" i="1" s="1"/>
  <c r="G309" i="1" s="1"/>
  <c r="F310" i="1" a="1"/>
  <c r="F310" i="1" s="1"/>
  <c r="G310" i="1" s="1"/>
  <c r="F311" i="1" a="1"/>
  <c r="F311" i="1" s="1"/>
  <c r="F312" i="1" a="1"/>
  <c r="F312" i="1" s="1"/>
  <c r="F313" i="1" a="1"/>
  <c r="F313" i="1" s="1"/>
  <c r="G313" i="1" s="1"/>
  <c r="F314" i="1" a="1"/>
  <c r="F314" i="1" s="1"/>
  <c r="F315" i="1" a="1"/>
  <c r="F315" i="1" s="1"/>
  <c r="F316" i="1" a="1"/>
  <c r="F316" i="1"/>
  <c r="G316" i="1" s="1"/>
  <c r="F317" i="1" a="1"/>
  <c r="F317" i="1" s="1"/>
  <c r="G317" i="1" s="1"/>
  <c r="F318" i="1" a="1"/>
  <c r="F318" i="1" s="1"/>
  <c r="F319" i="1" a="1"/>
  <c r="F319" i="1" s="1"/>
  <c r="F320" i="1" a="1"/>
  <c r="F320" i="1"/>
  <c r="F321" i="1" a="1"/>
  <c r="F321" i="1"/>
  <c r="G321" i="1" s="1"/>
  <c r="F322" i="1" a="1"/>
  <c r="F322" i="1" s="1"/>
  <c r="G322" i="1" s="1"/>
  <c r="F323" i="1" a="1"/>
  <c r="F323" i="1" s="1"/>
  <c r="F324" i="1" a="1"/>
  <c r="F324" i="1" s="1"/>
  <c r="F325" i="1" a="1"/>
  <c r="F325" i="1" s="1"/>
  <c r="G325" i="1" s="1"/>
  <c r="F326" i="1" a="1"/>
  <c r="F326" i="1"/>
  <c r="G326" i="1" s="1"/>
  <c r="F327" i="1" a="1"/>
  <c r="F327" i="1" s="1"/>
  <c r="G327" i="1" s="1"/>
  <c r="F328" i="1" a="1"/>
  <c r="F328" i="1" s="1"/>
  <c r="G328" i="1" s="1"/>
  <c r="F329" i="1" a="1"/>
  <c r="F329" i="1" s="1"/>
  <c r="G329" i="1" s="1"/>
  <c r="F330" i="1" a="1"/>
  <c r="F330" i="1" s="1"/>
  <c r="G330" i="1" s="1"/>
  <c r="F331" i="1" a="1"/>
  <c r="F331" i="1" s="1"/>
  <c r="F332" i="1" a="1"/>
  <c r="F332" i="1" s="1"/>
  <c r="F333" i="1" a="1"/>
  <c r="F333" i="1" s="1"/>
  <c r="G333" i="1" s="1"/>
  <c r="F334" i="1" a="1"/>
  <c r="F334" i="1"/>
  <c r="F335" i="1" a="1"/>
  <c r="F335" i="1" s="1"/>
  <c r="F336" i="1" a="1"/>
  <c r="F336" i="1" s="1"/>
  <c r="G336" i="1" s="1"/>
  <c r="F337" i="1" a="1"/>
  <c r="F337" i="1" s="1"/>
  <c r="G337" i="1" s="1"/>
  <c r="F338" i="1" a="1"/>
  <c r="F338" i="1"/>
  <c r="G338" i="1" s="1"/>
  <c r="F339" i="1" a="1"/>
  <c r="F339" i="1" s="1"/>
  <c r="G339" i="1" s="1"/>
  <c r="F340" i="1" a="1"/>
  <c r="F340" i="1"/>
  <c r="G340" i="1" s="1"/>
  <c r="F341" i="1" a="1"/>
  <c r="F341" i="1" s="1"/>
  <c r="G341" i="1" s="1"/>
  <c r="F342" i="1" a="1"/>
  <c r="F342" i="1" s="1"/>
  <c r="G342" i="1" s="1"/>
  <c r="F343" i="1" a="1"/>
  <c r="F343" i="1"/>
  <c r="F344" i="1" a="1"/>
  <c r="F344" i="1" s="1"/>
  <c r="G344" i="1" s="1"/>
  <c r="F345" i="1" a="1"/>
  <c r="F345" i="1" s="1"/>
  <c r="G345" i="1" s="1"/>
  <c r="F346" i="1" a="1"/>
  <c r="F346" i="1" s="1"/>
  <c r="G346" i="1" s="1"/>
  <c r="F347" i="1" a="1"/>
  <c r="F347" i="1" s="1"/>
  <c r="G347" i="1" s="1"/>
  <c r="F348" i="1" a="1"/>
  <c r="F348" i="1" s="1"/>
  <c r="G348" i="1" s="1"/>
  <c r="F349" i="1" a="1"/>
  <c r="F349" i="1" s="1"/>
  <c r="G349" i="1" s="1"/>
  <c r="F350" i="1" a="1"/>
  <c r="F350" i="1" s="1"/>
  <c r="F351" i="1" a="1"/>
  <c r="F351" i="1" s="1"/>
  <c r="G351" i="1" s="1"/>
  <c r="F352" i="1" a="1"/>
  <c r="F352" i="1"/>
  <c r="F353" i="1" a="1"/>
  <c r="F353" i="1" s="1"/>
  <c r="F354" i="1" a="1"/>
  <c r="F354" i="1" s="1"/>
  <c r="G354" i="1" s="1"/>
  <c r="F355" i="1" a="1"/>
  <c r="F355" i="1" s="1"/>
  <c r="G355" i="1" s="1"/>
  <c r="F356" i="1" a="1"/>
  <c r="F356" i="1" s="1"/>
  <c r="G356" i="1" s="1"/>
  <c r="F357" i="1" a="1"/>
  <c r="F357" i="1" s="1"/>
  <c r="G357" i="1" s="1"/>
  <c r="F358" i="1" a="1"/>
  <c r="F358" i="1" s="1"/>
  <c r="G358" i="1" s="1"/>
  <c r="F359" i="1" a="1"/>
  <c r="F359" i="1"/>
  <c r="G359" i="1" s="1"/>
  <c r="F360" i="1" a="1"/>
  <c r="F360" i="1" s="1"/>
  <c r="F361" i="1" a="1"/>
  <c r="F361" i="1" s="1"/>
  <c r="F362" i="1" a="1"/>
  <c r="F362" i="1" s="1"/>
  <c r="F363" i="1" a="1"/>
  <c r="F363" i="1"/>
  <c r="F364" i="1" a="1"/>
  <c r="F364" i="1" s="1"/>
  <c r="G364" i="1" s="1"/>
  <c r="F365" i="1" a="1"/>
  <c r="F365" i="1" s="1"/>
  <c r="G365" i="1" s="1"/>
  <c r="F366" i="1" a="1"/>
  <c r="F366" i="1" s="1"/>
  <c r="G366" i="1" s="1"/>
  <c r="F367" i="1" a="1"/>
  <c r="F367" i="1" s="1"/>
  <c r="G367" i="1" s="1"/>
  <c r="F368" i="1" a="1"/>
  <c r="F368" i="1" s="1"/>
  <c r="G368" i="1" s="1"/>
  <c r="F369" i="1" a="1"/>
  <c r="F369" i="1" s="1"/>
  <c r="G369" i="1" s="1"/>
  <c r="F370" i="1" a="1"/>
  <c r="F370" i="1" s="1"/>
  <c r="G370" i="1" s="1"/>
  <c r="F371" i="1" a="1"/>
  <c r="F371" i="1" s="1"/>
  <c r="F372" i="1" a="1"/>
  <c r="F372" i="1" s="1"/>
  <c r="F373" i="1" a="1"/>
  <c r="F373" i="1" s="1"/>
  <c r="G373" i="1" s="1"/>
  <c r="F374" i="1" a="1"/>
  <c r="F374" i="1" s="1"/>
  <c r="G374" i="1" s="1"/>
  <c r="F375" i="1" a="1"/>
  <c r="F375" i="1" s="1"/>
  <c r="G375" i="1" s="1"/>
  <c r="F376" i="1" a="1"/>
  <c r="F376" i="1" s="1"/>
  <c r="G376" i="1" s="1"/>
  <c r="F377" i="1" a="1"/>
  <c r="F377" i="1" s="1"/>
  <c r="F378" i="1" a="1"/>
  <c r="F378" i="1" s="1"/>
  <c r="F379" i="1" a="1"/>
  <c r="F379" i="1" s="1"/>
  <c r="G379" i="1" s="1"/>
  <c r="F380" i="1" a="1"/>
  <c r="F380" i="1"/>
  <c r="G380" i="1" s="1"/>
  <c r="F381" i="1" a="1"/>
  <c r="F381" i="1" s="1"/>
  <c r="G381" i="1" s="1"/>
  <c r="F382" i="1" a="1"/>
  <c r="F382" i="1" s="1"/>
  <c r="F383" i="1" a="1"/>
  <c r="F383" i="1" s="1"/>
  <c r="F384" i="1" a="1"/>
  <c r="F384" i="1"/>
  <c r="F385" i="1" a="1"/>
  <c r="F385" i="1" s="1"/>
  <c r="F386" i="1" a="1"/>
  <c r="F386" i="1" s="1"/>
  <c r="G386" i="1" s="1"/>
  <c r="F387" i="1" a="1"/>
  <c r="F387" i="1" s="1"/>
  <c r="G387" i="1" s="1"/>
  <c r="F388" i="1" a="1"/>
  <c r="F388" i="1" s="1"/>
  <c r="G388" i="1" s="1"/>
  <c r="F389" i="1" a="1"/>
  <c r="F389" i="1" s="1"/>
  <c r="G389" i="1" s="1"/>
  <c r="F390" i="1" a="1"/>
  <c r="F390" i="1" s="1"/>
  <c r="G390" i="1" s="1"/>
  <c r="F391" i="1" a="1"/>
  <c r="F391" i="1"/>
  <c r="F392" i="1" a="1"/>
  <c r="F392" i="1" s="1"/>
  <c r="G392" i="1" s="1"/>
  <c r="F393" i="1" a="1"/>
  <c r="F393" i="1" s="1"/>
  <c r="F394" i="1" a="1"/>
  <c r="F394" i="1" s="1"/>
  <c r="G394" i="1" s="1"/>
  <c r="F395" i="1" a="1"/>
  <c r="F395" i="1" s="1"/>
  <c r="G395" i="1" s="1"/>
  <c r="F396" i="1" a="1"/>
  <c r="F396" i="1" s="1"/>
  <c r="G396" i="1" s="1"/>
  <c r="F397" i="1" a="1"/>
  <c r="F397" i="1" s="1"/>
  <c r="G397" i="1" s="1"/>
  <c r="F398" i="1" a="1"/>
  <c r="F398" i="1" s="1"/>
  <c r="G398" i="1" s="1"/>
  <c r="F399" i="1" a="1"/>
  <c r="F399" i="1" s="1"/>
  <c r="F400" i="1" a="1"/>
  <c r="F400" i="1"/>
  <c r="F401" i="1" a="1"/>
  <c r="F401" i="1" s="1"/>
  <c r="F402" i="1" a="1"/>
  <c r="F402" i="1" s="1"/>
  <c r="F403" i="1" a="1"/>
  <c r="F403" i="1" s="1"/>
  <c r="F404" i="1" a="1"/>
  <c r="F404" i="1" s="1"/>
  <c r="F405" i="1" a="1"/>
  <c r="F405" i="1" s="1"/>
  <c r="G405" i="1" s="1"/>
  <c r="F406" i="1" a="1"/>
  <c r="F406" i="1" s="1"/>
  <c r="G406" i="1" s="1"/>
  <c r="F407" i="1" a="1"/>
  <c r="F407" i="1"/>
  <c r="G407" i="1" s="1"/>
  <c r="F408" i="1" a="1"/>
  <c r="F408" i="1" s="1"/>
  <c r="G408" i="1" s="1"/>
  <c r="F409" i="1" a="1"/>
  <c r="F409" i="1" s="1"/>
  <c r="F410" i="1" a="1"/>
  <c r="F410" i="1" s="1"/>
  <c r="F411" i="1" a="1"/>
  <c r="F411" i="1" s="1"/>
  <c r="G411" i="1" s="1"/>
  <c r="F412" i="1" a="1"/>
  <c r="F412" i="1" s="1"/>
  <c r="G412" i="1" s="1"/>
  <c r="F413" i="1" a="1"/>
  <c r="F413" i="1" s="1"/>
  <c r="G413" i="1" s="1"/>
  <c r="F414" i="1" a="1"/>
  <c r="F414" i="1" s="1"/>
  <c r="F415" i="1" a="1"/>
  <c r="F415" i="1" s="1"/>
  <c r="G415" i="1" s="1"/>
  <c r="F416" i="1" a="1"/>
  <c r="F416" i="1"/>
  <c r="F417" i="1" a="1"/>
  <c r="F417" i="1" s="1"/>
  <c r="F418" i="1" a="1"/>
  <c r="F418" i="1" s="1"/>
  <c r="G418" i="1" s="1"/>
  <c r="F419" i="1" a="1"/>
  <c r="F419" i="1" s="1"/>
  <c r="F420" i="1" a="1"/>
  <c r="F420" i="1" s="1"/>
  <c r="G420" i="1" s="1"/>
  <c r="F421" i="1" a="1"/>
  <c r="F421" i="1" s="1"/>
  <c r="G421" i="1" s="1"/>
  <c r="F422" i="1" a="1"/>
  <c r="F422" i="1" s="1"/>
  <c r="G422" i="1" s="1"/>
  <c r="F423" i="1" a="1"/>
  <c r="F423" i="1"/>
  <c r="F424" i="1" a="1"/>
  <c r="F424" i="1" s="1"/>
  <c r="F425" i="1" a="1"/>
  <c r="F425" i="1" s="1"/>
  <c r="G425" i="1" s="1"/>
  <c r="F426" i="1" a="1"/>
  <c r="F426" i="1" s="1"/>
  <c r="F427" i="1" a="1"/>
  <c r="F427" i="1"/>
  <c r="G427" i="1" s="1"/>
  <c r="F428" i="1" a="1"/>
  <c r="F428" i="1" s="1"/>
  <c r="G428" i="1" s="1"/>
  <c r="F429" i="1" a="1"/>
  <c r="F429" i="1" s="1"/>
  <c r="G429" i="1" s="1"/>
  <c r="F430" i="1" a="1"/>
  <c r="F430" i="1" s="1"/>
  <c r="F431" i="1" a="1"/>
  <c r="F431" i="1" s="1"/>
  <c r="F432" i="1" a="1"/>
  <c r="F432" i="1" s="1"/>
  <c r="G432" i="1" s="1"/>
  <c r="F433" i="1" a="1"/>
  <c r="F433" i="1" s="1"/>
  <c r="G433" i="1" s="1"/>
  <c r="F434" i="1" a="1"/>
  <c r="F434" i="1" s="1"/>
  <c r="G434" i="1" s="1"/>
  <c r="F435" i="1" a="1"/>
  <c r="F435" i="1" s="1"/>
  <c r="G435" i="1" s="1"/>
  <c r="F436" i="1" a="1"/>
  <c r="F436" i="1" s="1"/>
  <c r="F437" i="1" a="1"/>
  <c r="F437" i="1" s="1"/>
  <c r="F438" i="1" a="1"/>
  <c r="F438" i="1" s="1"/>
  <c r="F439" i="1" a="1"/>
  <c r="F439" i="1" s="1"/>
  <c r="G439" i="1" s="1"/>
  <c r="F440" i="1" a="1"/>
  <c r="F440" i="1" s="1"/>
  <c r="G440" i="1" s="1"/>
  <c r="F441" i="1" a="1"/>
  <c r="F441" i="1" s="1"/>
  <c r="F442" i="1" a="1"/>
  <c r="F442" i="1" s="1"/>
  <c r="F443" i="1" a="1"/>
  <c r="F443" i="1" s="1"/>
  <c r="G443" i="1" s="1"/>
  <c r="F444" i="1" a="1"/>
  <c r="F444" i="1"/>
  <c r="G444" i="1" s="1"/>
  <c r="F445" i="1" a="1"/>
  <c r="F445" i="1" s="1"/>
  <c r="G445" i="1" s="1"/>
  <c r="F446" i="1" a="1"/>
  <c r="F446" i="1" s="1"/>
  <c r="F447" i="1" a="1"/>
  <c r="F447" i="1" s="1"/>
  <c r="G447" i="1" s="1"/>
  <c r="F448" i="1" a="1"/>
  <c r="F448" i="1" s="1"/>
  <c r="G448" i="1" s="1"/>
  <c r="F449" i="1" a="1"/>
  <c r="F449" i="1" s="1"/>
  <c r="F450" i="1" a="1"/>
  <c r="F450" i="1" s="1"/>
  <c r="F451" i="1" a="1"/>
  <c r="F451" i="1" s="1"/>
  <c r="G451" i="1" s="1"/>
  <c r="F452" i="1" a="1"/>
  <c r="F452" i="1" s="1"/>
  <c r="G452" i="1" s="1"/>
  <c r="F453" i="1" a="1"/>
  <c r="F453" i="1" s="1"/>
  <c r="G453" i="1" s="1"/>
  <c r="F454" i="1" a="1"/>
  <c r="F454" i="1" s="1"/>
  <c r="G454" i="1" s="1"/>
  <c r="F455" i="1" a="1"/>
  <c r="F455" i="1" s="1"/>
  <c r="F456" i="1" a="1"/>
  <c r="F456" i="1" s="1"/>
  <c r="F457" i="1" a="1"/>
  <c r="F457" i="1" s="1"/>
  <c r="F458" i="1" a="1"/>
  <c r="F458" i="1" s="1"/>
  <c r="F459" i="1" a="1"/>
  <c r="F459" i="1"/>
  <c r="G459" i="1" s="1"/>
  <c r="F460" i="1" a="1"/>
  <c r="F460" i="1" s="1"/>
  <c r="G460" i="1" s="1"/>
  <c r="F461" i="1" a="1"/>
  <c r="F461" i="1" s="1"/>
  <c r="F462" i="1" a="1"/>
  <c r="F462" i="1" s="1"/>
  <c r="F463" i="1" a="1"/>
  <c r="F463" i="1" s="1"/>
  <c r="F464" i="1" a="1"/>
  <c r="F464" i="1"/>
  <c r="F465" i="1" a="1"/>
  <c r="F465" i="1" s="1"/>
  <c r="G465" i="1" s="1"/>
  <c r="F466" i="1" a="1"/>
  <c r="F466" i="1" s="1"/>
  <c r="G466" i="1" s="1"/>
  <c r="F467" i="1" a="1"/>
  <c r="F467" i="1" s="1"/>
  <c r="G467" i="1" s="1"/>
  <c r="F468" i="1" a="1"/>
  <c r="F468" i="1" s="1"/>
  <c r="F469" i="1" a="1"/>
  <c r="F469" i="1" s="1"/>
  <c r="F470" i="1" a="1"/>
  <c r="F470" i="1" s="1"/>
  <c r="F471" i="1" a="1"/>
  <c r="F471" i="1" s="1"/>
  <c r="G471" i="1" s="1"/>
  <c r="F472" i="1" a="1"/>
  <c r="F472" i="1" s="1"/>
  <c r="G472" i="1" s="1"/>
  <c r="F473" i="1" a="1"/>
  <c r="F473" i="1" s="1"/>
  <c r="G473" i="1" s="1"/>
  <c r="F474" i="1" a="1"/>
  <c r="F474" i="1" s="1"/>
  <c r="G474" i="1" s="1"/>
  <c r="F475" i="1" a="1"/>
  <c r="F475" i="1" s="1"/>
  <c r="G475" i="1" s="1"/>
  <c r="F476" i="1" a="1"/>
  <c r="F476" i="1" s="1"/>
  <c r="G476" i="1" s="1"/>
  <c r="F477" i="1" a="1"/>
  <c r="F477" i="1" s="1"/>
  <c r="G477" i="1" s="1"/>
  <c r="F478" i="1" a="1"/>
  <c r="F478" i="1" s="1"/>
  <c r="F479" i="1" a="1"/>
  <c r="F479" i="1" s="1"/>
  <c r="G479" i="1" s="1"/>
  <c r="F480" i="1" a="1"/>
  <c r="F480" i="1"/>
  <c r="G480" i="1" s="1"/>
  <c r="F481" i="1" a="1"/>
  <c r="F481" i="1" s="1"/>
  <c r="G481" i="1" s="1"/>
  <c r="F482" i="1" a="1"/>
  <c r="F482" i="1" s="1"/>
  <c r="F483" i="1" a="1"/>
  <c r="F483" i="1" s="1"/>
  <c r="G483" i="1" s="1"/>
  <c r="F484" i="1" a="1"/>
  <c r="F484" i="1" s="1"/>
  <c r="G484" i="1" s="1"/>
  <c r="F485" i="1" a="1"/>
  <c r="F485" i="1" s="1"/>
  <c r="G485" i="1" s="1"/>
  <c r="F486" i="1" a="1"/>
  <c r="F486" i="1" s="1"/>
  <c r="G486" i="1" s="1"/>
  <c r="F487" i="1" a="1"/>
  <c r="F487" i="1" s="1"/>
  <c r="G487" i="1" s="1"/>
  <c r="F488" i="1" a="1"/>
  <c r="F488" i="1" s="1"/>
  <c r="F489" i="1" a="1"/>
  <c r="F489" i="1" s="1"/>
  <c r="G489" i="1" s="1"/>
  <c r="F490" i="1" a="1"/>
  <c r="F490" i="1" s="1"/>
  <c r="F491" i="1" a="1"/>
  <c r="F491" i="1"/>
  <c r="G491" i="1" s="1"/>
  <c r="F492" i="1" a="1"/>
  <c r="F492" i="1" s="1"/>
  <c r="G492" i="1" s="1"/>
  <c r="F493" i="1" a="1"/>
  <c r="F493" i="1" s="1"/>
  <c r="G493" i="1" s="1"/>
  <c r="F494" i="1" a="1"/>
  <c r="F494" i="1" s="1"/>
  <c r="G494" i="1" s="1"/>
  <c r="F495" i="1" a="1"/>
  <c r="F495" i="1" s="1"/>
  <c r="G495" i="1" s="1"/>
  <c r="F496" i="1" a="1"/>
  <c r="F496" i="1" s="1"/>
  <c r="G496" i="1" s="1"/>
  <c r="F497" i="1" a="1"/>
  <c r="F497" i="1" s="1"/>
  <c r="F498" i="1" a="1"/>
  <c r="F498" i="1" s="1"/>
  <c r="F499" i="1" a="1"/>
  <c r="F499" i="1" s="1"/>
  <c r="F500" i="1" a="1"/>
  <c r="F500" i="1" s="1"/>
  <c r="F501" i="1" a="1"/>
  <c r="F501" i="1"/>
  <c r="G501" i="1" s="1"/>
  <c r="F502" i="1" a="1"/>
  <c r="F502" i="1" s="1"/>
  <c r="G502" i="1" s="1"/>
  <c r="F503" i="1" a="1"/>
  <c r="F503" i="1" s="1"/>
  <c r="G503" i="1" s="1"/>
  <c r="F504" i="1" a="1"/>
  <c r="F504" i="1" s="1"/>
  <c r="G504" i="1" s="1"/>
  <c r="F505" i="1" a="1"/>
  <c r="F505" i="1"/>
  <c r="F506" i="1" a="1"/>
  <c r="F506" i="1" s="1"/>
  <c r="F507" i="1" a="1"/>
  <c r="F507" i="1" s="1"/>
  <c r="G507" i="1" s="1"/>
  <c r="F508" i="1" a="1"/>
  <c r="F508" i="1" s="1"/>
  <c r="G508" i="1" s="1"/>
  <c r="F509" i="1" a="1"/>
  <c r="F509" i="1" s="1"/>
  <c r="G509" i="1" s="1"/>
  <c r="F510" i="1" a="1"/>
  <c r="F510" i="1" s="1"/>
  <c r="F511" i="1" a="1"/>
  <c r="F511" i="1" s="1"/>
  <c r="G511" i="1" s="1"/>
  <c r="F512" i="1" a="1"/>
  <c r="F512" i="1"/>
  <c r="F513" i="1" a="1"/>
  <c r="F513" i="1" s="1"/>
  <c r="F514" i="1" a="1"/>
  <c r="F514" i="1" s="1"/>
  <c r="F515" i="1" a="1"/>
  <c r="F515" i="1" s="1"/>
  <c r="G515" i="1" s="1"/>
  <c r="F516" i="1" a="1"/>
  <c r="F516" i="1"/>
  <c r="G516" i="1" s="1"/>
  <c r="F517" i="1" a="1"/>
  <c r="F517" i="1" s="1"/>
  <c r="G517" i="1" s="1"/>
  <c r="F518" i="1" a="1"/>
  <c r="F518" i="1" s="1"/>
  <c r="F519" i="1" a="1"/>
  <c r="F519" i="1" s="1"/>
  <c r="G519" i="1" s="1"/>
  <c r="F520" i="1" a="1"/>
  <c r="F520" i="1" s="1"/>
  <c r="G520" i="1" s="1"/>
  <c r="F521" i="1" a="1"/>
  <c r="F521" i="1" s="1"/>
  <c r="G521" i="1" s="1"/>
  <c r="F522" i="1" a="1"/>
  <c r="F522" i="1" s="1"/>
  <c r="F523" i="1" a="1"/>
  <c r="F523" i="1" s="1"/>
  <c r="G523" i="1" s="1"/>
  <c r="F524" i="1" a="1"/>
  <c r="F524" i="1"/>
  <c r="G524" i="1" s="1"/>
  <c r="F525" i="1" a="1"/>
  <c r="F525" i="1" s="1"/>
  <c r="G525" i="1" s="1"/>
  <c r="F526" i="1" a="1"/>
  <c r="F526" i="1" s="1"/>
  <c r="F527" i="1" a="1"/>
  <c r="F527" i="1" s="1"/>
  <c r="F528" i="1" a="1"/>
  <c r="F528" i="1"/>
  <c r="G528" i="1" s="1"/>
  <c r="F529" i="1" a="1"/>
  <c r="F529" i="1" s="1"/>
  <c r="G529" i="1" s="1"/>
  <c r="F530" i="1" a="1"/>
  <c r="F530" i="1" s="1"/>
  <c r="G530" i="1" s="1"/>
  <c r="F531" i="1" a="1"/>
  <c r="F531" i="1" s="1"/>
  <c r="F532" i="1" a="1"/>
  <c r="F532" i="1" s="1"/>
  <c r="G532" i="1" s="1"/>
  <c r="F533" i="1" a="1"/>
  <c r="F533" i="1" s="1"/>
  <c r="G533" i="1" s="1"/>
  <c r="F534" i="1" a="1"/>
  <c r="F534" i="1" s="1"/>
  <c r="G534" i="1" s="1"/>
  <c r="F535" i="1" a="1"/>
  <c r="F535" i="1" s="1"/>
  <c r="G535" i="1" s="1"/>
  <c r="F536" i="1" a="1"/>
  <c r="F536" i="1"/>
  <c r="G536" i="1" s="1"/>
  <c r="F537" i="1" a="1"/>
  <c r="F537" i="1" s="1"/>
  <c r="G537" i="1" s="1"/>
  <c r="F538" i="1" a="1"/>
  <c r="F538" i="1" s="1"/>
  <c r="F539" i="1" a="1"/>
  <c r="F539" i="1"/>
  <c r="G539" i="1" s="1"/>
  <c r="F540" i="1" a="1"/>
  <c r="F540" i="1" s="1"/>
  <c r="F541" i="1" a="1"/>
  <c r="F541" i="1" s="1"/>
  <c r="F542" i="1" a="1"/>
  <c r="F542" i="1" s="1"/>
  <c r="F543" i="1" a="1"/>
  <c r="F543" i="1" s="1"/>
  <c r="G543" i="1" s="1"/>
  <c r="F544" i="1" a="1"/>
  <c r="F544" i="1" s="1"/>
  <c r="G544" i="1" s="1"/>
  <c r="F545" i="1" a="1"/>
  <c r="F545" i="1" s="1"/>
  <c r="G545" i="1" s="1"/>
  <c r="F546" i="1" a="1"/>
  <c r="F546" i="1" s="1"/>
  <c r="G546" i="1" s="1"/>
  <c r="F547" i="1" a="1"/>
  <c r="F547" i="1" s="1"/>
  <c r="G547" i="1" s="1"/>
  <c r="F548" i="1" a="1"/>
  <c r="F548" i="1"/>
  <c r="G548" i="1" s="1"/>
  <c r="F549" i="1" a="1"/>
  <c r="F549" i="1" s="1"/>
  <c r="G549" i="1" s="1"/>
  <c r="F550" i="1" a="1"/>
  <c r="F550" i="1" s="1"/>
  <c r="G550" i="1" s="1"/>
  <c r="F551" i="1" a="1"/>
  <c r="F551" i="1" s="1"/>
  <c r="G551" i="1" s="1"/>
  <c r="F552" i="1" a="1"/>
  <c r="F552" i="1" s="1"/>
  <c r="F553" i="1" a="1"/>
  <c r="F553" i="1"/>
  <c r="F554" i="1" a="1"/>
  <c r="F554" i="1" s="1"/>
  <c r="F555" i="1" a="1"/>
  <c r="F555" i="1" s="1"/>
  <c r="G555" i="1" s="1"/>
  <c r="F556" i="1" a="1"/>
  <c r="F556" i="1" s="1"/>
  <c r="G556" i="1" s="1"/>
  <c r="F557" i="1" a="1"/>
  <c r="F557" i="1" s="1"/>
  <c r="G557" i="1" s="1"/>
  <c r="F558" i="1" a="1"/>
  <c r="F558" i="1" s="1"/>
  <c r="G558" i="1" s="1"/>
  <c r="F559" i="1" a="1"/>
  <c r="F559" i="1"/>
  <c r="F560" i="1" a="1"/>
  <c r="F560" i="1"/>
  <c r="F561" i="1" a="1"/>
  <c r="F561" i="1"/>
  <c r="G561" i="1" s="1"/>
  <c r="F562" i="1" a="1"/>
  <c r="F562" i="1" s="1"/>
  <c r="F563" i="1" a="1"/>
  <c r="F563" i="1" s="1"/>
  <c r="G563" i="1" s="1"/>
  <c r="F564" i="1" a="1"/>
  <c r="F564" i="1" s="1"/>
  <c r="G564" i="1" s="1"/>
  <c r="F565" i="1" a="1"/>
  <c r="F565" i="1" s="1"/>
  <c r="G565" i="1" s="1"/>
  <c r="F566" i="1" a="1"/>
  <c r="F566" i="1" s="1"/>
  <c r="G566" i="1" s="1"/>
  <c r="F567" i="1" a="1"/>
  <c r="F567" i="1"/>
  <c r="G567" i="1" s="1"/>
  <c r="F568" i="1" a="1"/>
  <c r="F568" i="1" s="1"/>
  <c r="G568" i="1" s="1"/>
  <c r="F569" i="1" a="1"/>
  <c r="F569" i="1"/>
  <c r="F570" i="1" a="1"/>
  <c r="F570" i="1" s="1"/>
  <c r="F571" i="1" a="1"/>
  <c r="F571" i="1" s="1"/>
  <c r="G571" i="1" s="1"/>
  <c r="F572" i="1" a="1"/>
  <c r="F572" i="1" s="1"/>
  <c r="F573" i="1" a="1"/>
  <c r="F573" i="1" s="1"/>
  <c r="G573" i="1" s="1"/>
  <c r="F574" i="1" a="1"/>
  <c r="F574" i="1" s="1"/>
  <c r="G574" i="1" s="1"/>
  <c r="F575" i="1" a="1"/>
  <c r="F575" i="1" s="1"/>
  <c r="G575" i="1" s="1"/>
  <c r="F576" i="1" a="1"/>
  <c r="F576" i="1" s="1"/>
  <c r="G576" i="1" s="1"/>
  <c r="F577" i="1" a="1"/>
  <c r="F577" i="1"/>
  <c r="F578" i="1" a="1"/>
  <c r="F578" i="1" s="1"/>
  <c r="F579" i="1" a="1"/>
  <c r="F579" i="1"/>
  <c r="G579" i="1" s="1"/>
  <c r="F580" i="1" a="1"/>
  <c r="F580" i="1" s="1"/>
  <c r="G580" i="1" s="1"/>
  <c r="F581" i="1" a="1"/>
  <c r="F581" i="1" s="1"/>
  <c r="F582" i="1" a="1"/>
  <c r="F582" i="1" s="1"/>
  <c r="F583" i="1" a="1"/>
  <c r="F583" i="1" s="1"/>
  <c r="G583" i="1" s="1"/>
  <c r="F584" i="1" a="1"/>
  <c r="F584" i="1"/>
  <c r="G584" i="1" s="1"/>
  <c r="F585" i="1" a="1"/>
  <c r="F585" i="1" s="1"/>
  <c r="G585" i="1" s="1"/>
  <c r="F586" i="1" a="1"/>
  <c r="F586" i="1" s="1"/>
  <c r="F587" i="1" a="1"/>
  <c r="F587" i="1" s="1"/>
  <c r="F588" i="1" a="1"/>
  <c r="F588" i="1"/>
  <c r="G588" i="1" s="1"/>
  <c r="F589" i="1" a="1"/>
  <c r="F589" i="1"/>
  <c r="G589" i="1" s="1"/>
  <c r="F590" i="1" a="1"/>
  <c r="F590" i="1" s="1"/>
  <c r="G590" i="1" s="1"/>
  <c r="F591" i="1" a="1"/>
  <c r="F591" i="1"/>
  <c r="F592" i="1" a="1"/>
  <c r="F592" i="1"/>
  <c r="F593" i="1" a="1"/>
  <c r="F593" i="1" s="1"/>
  <c r="G593" i="1" s="1"/>
  <c r="F594" i="1" a="1"/>
  <c r="F594" i="1" s="1"/>
  <c r="G594" i="1" s="1"/>
  <c r="F595" i="1" a="1"/>
  <c r="F595" i="1" s="1"/>
  <c r="G595" i="1" s="1"/>
  <c r="F596" i="1" a="1"/>
  <c r="F596" i="1" s="1"/>
  <c r="G596" i="1" s="1"/>
  <c r="F597" i="1" a="1"/>
  <c r="F597" i="1" s="1"/>
  <c r="G597" i="1" s="1"/>
  <c r="F598" i="1" a="1"/>
  <c r="F598" i="1" s="1"/>
  <c r="F599" i="1" a="1"/>
  <c r="F599" i="1"/>
  <c r="F600" i="1" a="1"/>
  <c r="F600" i="1"/>
  <c r="F601" i="1" a="1"/>
  <c r="F601" i="1" s="1"/>
  <c r="F602" i="1" a="1"/>
  <c r="F602" i="1" s="1"/>
  <c r="F603" i="1" a="1"/>
  <c r="F603" i="1"/>
  <c r="G603" i="1" s="1"/>
  <c r="F604" i="1" a="1"/>
  <c r="F604" i="1" s="1"/>
  <c r="G604" i="1" s="1"/>
  <c r="F605" i="1" a="1"/>
  <c r="F605" i="1" s="1"/>
  <c r="G605" i="1" s="1"/>
  <c r="F606" i="1" a="1"/>
  <c r="F606" i="1" s="1"/>
  <c r="G606" i="1" s="1"/>
  <c r="F607" i="1" a="1"/>
  <c r="F607" i="1" s="1"/>
  <c r="G607" i="1" s="1"/>
  <c r="F608" i="1" a="1"/>
  <c r="F608" i="1"/>
  <c r="F609" i="1" a="1"/>
  <c r="F609" i="1"/>
  <c r="F610" i="1" a="1"/>
  <c r="F610" i="1" s="1"/>
  <c r="F611" i="1" a="1"/>
  <c r="F611" i="1" s="1"/>
  <c r="G611" i="1" s="1"/>
  <c r="F612" i="1" a="1"/>
  <c r="F612" i="1" s="1"/>
  <c r="G612" i="1" s="1"/>
  <c r="F613" i="1" a="1"/>
  <c r="F613" i="1" s="1"/>
  <c r="F614" i="1" a="1"/>
  <c r="F614" i="1" s="1"/>
  <c r="F615" i="1" a="1"/>
  <c r="F615" i="1"/>
  <c r="G615" i="1" s="1"/>
  <c r="F616" i="1" a="1"/>
  <c r="F616" i="1"/>
  <c r="G616" i="1" s="1"/>
  <c r="F617" i="1" a="1"/>
  <c r="F617" i="1" s="1"/>
  <c r="G617" i="1" s="1"/>
  <c r="F618" i="1" a="1"/>
  <c r="F618" i="1" s="1"/>
  <c r="F619" i="1" a="1"/>
  <c r="F619" i="1" s="1"/>
  <c r="G619" i="1" s="1"/>
  <c r="F620" i="1" a="1"/>
  <c r="F620" i="1" s="1"/>
  <c r="G620" i="1" s="1"/>
  <c r="F621" i="1" a="1"/>
  <c r="F621" i="1"/>
  <c r="G621" i="1" s="1"/>
  <c r="F622" i="1" a="1"/>
  <c r="F622" i="1" s="1"/>
  <c r="F623" i="1" a="1"/>
  <c r="F623" i="1" s="1"/>
  <c r="F624" i="1" a="1"/>
  <c r="F624" i="1"/>
  <c r="F625" i="1" a="1"/>
  <c r="F625" i="1"/>
  <c r="F626" i="1" a="1"/>
  <c r="F626" i="1" s="1"/>
  <c r="G626" i="1" s="1"/>
  <c r="F627" i="1" a="1"/>
  <c r="F627" i="1" s="1"/>
  <c r="G627" i="1" s="1"/>
  <c r="F628" i="1" a="1"/>
  <c r="F628" i="1" s="1"/>
  <c r="F629" i="1" a="1"/>
  <c r="F629" i="1" s="1"/>
  <c r="G629" i="1" s="1"/>
  <c r="F630" i="1" a="1"/>
  <c r="F630" i="1" s="1"/>
  <c r="G630" i="1" s="1"/>
  <c r="F631" i="1" a="1"/>
  <c r="F631" i="1"/>
  <c r="G631" i="1" s="1"/>
  <c r="F632" i="1" a="1"/>
  <c r="F632" i="1"/>
  <c r="G632" i="1" s="1"/>
  <c r="F633" i="1" a="1"/>
  <c r="F633" i="1" s="1"/>
  <c r="G633" i="1" s="1"/>
  <c r="F634" i="1" a="1"/>
  <c r="F634" i="1" s="1"/>
  <c r="F635" i="1" a="1"/>
  <c r="F635" i="1" s="1"/>
  <c r="G635" i="1" s="1"/>
  <c r="F636" i="1" a="1"/>
  <c r="F636" i="1" s="1"/>
  <c r="G636" i="1" s="1"/>
  <c r="F637" i="1" a="1"/>
  <c r="F637" i="1" s="1"/>
  <c r="G637" i="1" s="1"/>
  <c r="F638" i="1" a="1"/>
  <c r="F638" i="1" s="1"/>
  <c r="F639" i="1" a="1"/>
  <c r="F639" i="1" s="1"/>
  <c r="F640" i="1" a="1"/>
  <c r="F640" i="1"/>
  <c r="F641" i="1" a="1"/>
  <c r="F641" i="1"/>
  <c r="F642" i="1" a="1"/>
  <c r="F642" i="1" s="1"/>
  <c r="F643" i="1" a="1"/>
  <c r="F643" i="1" s="1"/>
  <c r="G643" i="1" s="1"/>
  <c r="F644" i="1" a="1"/>
  <c r="F644" i="1" s="1"/>
  <c r="G644" i="1" s="1"/>
  <c r="F645" i="1" a="1"/>
  <c r="F645" i="1" s="1"/>
  <c r="G645" i="1" s="1"/>
  <c r="F646" i="1" a="1"/>
  <c r="F646" i="1" s="1"/>
  <c r="F647" i="1" a="1"/>
  <c r="F647" i="1"/>
  <c r="G647" i="1" s="1"/>
  <c r="F648" i="1" a="1"/>
  <c r="F648" i="1" s="1"/>
  <c r="G648" i="1" s="1"/>
  <c r="F649" i="1" a="1"/>
  <c r="F649" i="1"/>
  <c r="F650" i="1" a="1"/>
  <c r="F650" i="1" s="1"/>
  <c r="F651" i="1" a="1"/>
  <c r="F651" i="1" s="1"/>
  <c r="G651" i="1" s="1"/>
  <c r="F652" i="1" a="1"/>
  <c r="F652" i="1" s="1"/>
  <c r="G652" i="1" s="1"/>
  <c r="F653" i="1" a="1"/>
  <c r="F653" i="1" s="1"/>
  <c r="G653" i="1" s="1"/>
  <c r="F654" i="1" a="1"/>
  <c r="F654" i="1" s="1"/>
  <c r="F655" i="1" a="1"/>
  <c r="F655" i="1"/>
  <c r="G655" i="1" s="1"/>
  <c r="F656" i="1" a="1"/>
  <c r="F656" i="1" s="1"/>
  <c r="G656" i="1" s="1"/>
  <c r="F657" i="1" a="1"/>
  <c r="F657" i="1"/>
  <c r="F658" i="1" a="1"/>
  <c r="F658" i="1" s="1"/>
  <c r="G658" i="1" s="1"/>
  <c r="F659" i="1" a="1"/>
  <c r="F659" i="1" s="1"/>
  <c r="G659" i="1" s="1"/>
  <c r="F660" i="1" a="1"/>
  <c r="F660" i="1" s="1"/>
  <c r="G660" i="1" s="1"/>
  <c r="F661" i="1" a="1"/>
  <c r="F661" i="1"/>
  <c r="G661" i="1" s="1"/>
  <c r="F662" i="1" a="1"/>
  <c r="F662" i="1"/>
  <c r="G662" i="1" s="1"/>
  <c r="F663" i="1" a="1"/>
  <c r="F663" i="1" s="1"/>
  <c r="G663" i="1" s="1"/>
  <c r="F664" i="1" a="1"/>
  <c r="F664" i="1" s="1"/>
  <c r="G664" i="1" s="1"/>
  <c r="F665" i="1" a="1"/>
  <c r="F665" i="1" s="1"/>
  <c r="F666" i="1" a="1"/>
  <c r="F666" i="1"/>
  <c r="F667" i="1" a="1"/>
  <c r="F667" i="1"/>
  <c r="G667" i="1" s="1"/>
  <c r="F668" i="1" a="1"/>
  <c r="F668" i="1" s="1"/>
  <c r="G668" i="1" s="1"/>
  <c r="F669" i="1" a="1"/>
  <c r="F669" i="1"/>
  <c r="G669" i="1" s="1"/>
  <c r="F670" i="1" a="1"/>
  <c r="F670" i="1"/>
  <c r="F671" i="1" a="1"/>
  <c r="F671" i="1"/>
  <c r="G671" i="1" s="1"/>
  <c r="F672" i="1" a="1"/>
  <c r="F672" i="1" s="1"/>
  <c r="G672" i="1" s="1"/>
  <c r="F673" i="1" a="1"/>
  <c r="F673" i="1" s="1"/>
  <c r="G673" i="1" s="1"/>
  <c r="F674" i="1" a="1"/>
  <c r="F674" i="1" s="1"/>
  <c r="G674" i="1" s="1"/>
  <c r="F675" i="1" a="1"/>
  <c r="F675" i="1"/>
  <c r="G675" i="1" s="1"/>
  <c r="F676" i="1" a="1"/>
  <c r="F676" i="1" s="1"/>
  <c r="G676" i="1" s="1"/>
  <c r="F677" i="1" a="1"/>
  <c r="F677" i="1" s="1"/>
  <c r="G677" i="1" s="1"/>
  <c r="F678" i="1" a="1"/>
  <c r="F678" i="1"/>
  <c r="F679" i="1" a="1"/>
  <c r="F679" i="1"/>
  <c r="G679" i="1" s="1"/>
  <c r="F680" i="1" a="1"/>
  <c r="F680" i="1" s="1"/>
  <c r="G680" i="1" s="1"/>
  <c r="F681" i="1" a="1"/>
  <c r="F681" i="1"/>
  <c r="F682" i="1" a="1"/>
  <c r="F682" i="1" s="1"/>
  <c r="G682" i="1" s="1"/>
  <c r="F683" i="1" a="1"/>
  <c r="F683" i="1" s="1"/>
  <c r="G683" i="1" s="1"/>
  <c r="F684" i="1" a="1"/>
  <c r="F684" i="1" s="1"/>
  <c r="G684" i="1" s="1"/>
  <c r="F685" i="1" a="1"/>
  <c r="F685" i="1"/>
  <c r="G685" i="1" s="1"/>
  <c r="F686" i="1" a="1"/>
  <c r="F686" i="1" s="1"/>
  <c r="F687" i="1" a="1"/>
  <c r="F687" i="1"/>
  <c r="G687" i="1" s="1"/>
  <c r="F688" i="1" a="1"/>
  <c r="F688" i="1" s="1"/>
  <c r="G688" i="1" s="1"/>
  <c r="F689" i="1" a="1"/>
  <c r="F689" i="1"/>
  <c r="G689" i="1" s="1"/>
  <c r="F690" i="1" a="1"/>
  <c r="F690" i="1"/>
  <c r="G690" i="1" s="1"/>
  <c r="F691" i="1" a="1"/>
  <c r="F691" i="1" s="1"/>
  <c r="G691" i="1" s="1"/>
  <c r="F692" i="1" a="1"/>
  <c r="F692" i="1" s="1"/>
  <c r="G692" i="1" s="1"/>
  <c r="F693" i="1" a="1"/>
  <c r="F693" i="1"/>
  <c r="G693" i="1" s="1"/>
  <c r="F694" i="1" a="1"/>
  <c r="F694" i="1" s="1"/>
  <c r="G694" i="1" s="1"/>
  <c r="F695" i="1" a="1"/>
  <c r="F695" i="1"/>
  <c r="G695" i="1" s="1"/>
  <c r="F696" i="1" a="1"/>
  <c r="F696" i="1" s="1"/>
  <c r="G696" i="1" s="1"/>
  <c r="F697" i="1" a="1"/>
  <c r="F697" i="1"/>
  <c r="F698" i="1" a="1"/>
  <c r="F698" i="1" s="1"/>
  <c r="F699" i="1" a="1"/>
  <c r="F699" i="1"/>
  <c r="G699" i="1" s="1"/>
  <c r="F700" i="1" a="1"/>
  <c r="F700" i="1"/>
  <c r="G700" i="1" s="1"/>
  <c r="F701" i="1" a="1"/>
  <c r="F701" i="1" s="1"/>
  <c r="G701" i="1" s="1"/>
  <c r="F702" i="1" a="1"/>
  <c r="F702" i="1" s="1"/>
  <c r="F703" i="1" a="1"/>
  <c r="F703" i="1" s="1"/>
  <c r="F704" i="1" a="1"/>
  <c r="F704" i="1"/>
  <c r="G704" i="1" s="1"/>
  <c r="F705" i="1" a="1"/>
  <c r="F705" i="1" s="1"/>
  <c r="G705" i="1" s="1"/>
  <c r="F706" i="1" a="1"/>
  <c r="F706" i="1" s="1"/>
  <c r="G706" i="1" s="1"/>
  <c r="F707" i="1" a="1"/>
  <c r="F707" i="1" s="1"/>
  <c r="G707" i="1" s="1"/>
  <c r="F708" i="1" a="1"/>
  <c r="F708" i="1" s="1"/>
  <c r="G708" i="1" s="1"/>
  <c r="F709" i="1" a="1"/>
  <c r="F709" i="1"/>
  <c r="G709" i="1" s="1"/>
  <c r="F710" i="1" a="1"/>
  <c r="F710" i="1" s="1"/>
  <c r="F711" i="1" a="1"/>
  <c r="F711" i="1" s="1"/>
  <c r="F712" i="1" a="1"/>
  <c r="F712" i="1"/>
  <c r="F713" i="1" a="1"/>
  <c r="F713" i="1"/>
  <c r="G713" i="1" s="1"/>
  <c r="F714" i="1" a="1"/>
  <c r="F714" i="1" s="1"/>
  <c r="F715" i="1" a="1"/>
  <c r="F715" i="1"/>
  <c r="F716" i="1" a="1"/>
  <c r="F716" i="1" s="1"/>
  <c r="G716" i="1" s="1"/>
  <c r="F717" i="1" a="1"/>
  <c r="F717" i="1" s="1"/>
  <c r="G717" i="1" s="1"/>
  <c r="F718" i="1" a="1"/>
  <c r="F718" i="1" s="1"/>
  <c r="G718" i="1" s="1"/>
  <c r="F719" i="1" a="1"/>
  <c r="F719" i="1"/>
  <c r="G719" i="1" s="1"/>
  <c r="F720" i="1" a="1"/>
  <c r="F720" i="1" s="1"/>
  <c r="F721" i="1" a="1"/>
  <c r="F721" i="1"/>
  <c r="F722" i="1" a="1"/>
  <c r="F722" i="1" s="1"/>
  <c r="F723" i="1" a="1"/>
  <c r="F723" i="1"/>
  <c r="G723" i="1" s="1"/>
  <c r="F724" i="1" a="1"/>
  <c r="F724" i="1" s="1"/>
  <c r="G724" i="1" s="1"/>
  <c r="F725" i="1" a="1"/>
  <c r="F725" i="1" s="1"/>
  <c r="G725" i="1" s="1"/>
  <c r="F726" i="1" a="1"/>
  <c r="F726" i="1" s="1"/>
  <c r="G726" i="1" s="1"/>
  <c r="F727" i="1" a="1"/>
  <c r="F727" i="1" s="1"/>
  <c r="G727" i="1" s="1"/>
  <c r="F728" i="1" a="1"/>
  <c r="F728" i="1" s="1"/>
  <c r="G728" i="1" s="1"/>
  <c r="F729" i="1" a="1"/>
  <c r="F729" i="1"/>
  <c r="F730" i="1" a="1"/>
  <c r="F730" i="1" s="1"/>
  <c r="F731" i="1" a="1"/>
  <c r="F731" i="1" s="1"/>
  <c r="G731" i="1" s="1"/>
  <c r="F732" i="1" a="1"/>
  <c r="F732" i="1" s="1"/>
  <c r="G732" i="1" s="1"/>
  <c r="F733" i="1" a="1"/>
  <c r="F733" i="1" s="1"/>
  <c r="G733" i="1" s="1"/>
  <c r="F734" i="1" a="1"/>
  <c r="F734" i="1" s="1"/>
  <c r="F735" i="1" a="1"/>
  <c r="F735" i="1"/>
  <c r="F736" i="1" a="1"/>
  <c r="F736" i="1" s="1"/>
  <c r="G736" i="1" s="1"/>
  <c r="F737" i="1" a="1"/>
  <c r="F737" i="1" s="1"/>
  <c r="G737" i="1" s="1"/>
  <c r="F738" i="1" a="1"/>
  <c r="F738" i="1" s="1"/>
  <c r="F739" i="1" a="1"/>
  <c r="F739" i="1" s="1"/>
  <c r="G739" i="1" s="1"/>
  <c r="F740" i="1" a="1"/>
  <c r="F740" i="1"/>
  <c r="G740" i="1" s="1"/>
  <c r="F741" i="1" a="1"/>
  <c r="F741" i="1" s="1"/>
  <c r="G741" i="1" s="1"/>
  <c r="F742" i="1" a="1"/>
  <c r="F742" i="1" s="1"/>
  <c r="F743" i="1" a="1"/>
  <c r="F743" i="1"/>
  <c r="G743" i="1" s="1"/>
  <c r="F744" i="1" a="1"/>
  <c r="F744" i="1" s="1"/>
  <c r="G744" i="1" s="1"/>
  <c r="F745" i="1" a="1"/>
  <c r="F745" i="1" s="1"/>
  <c r="F746" i="1" a="1"/>
  <c r="F746" i="1" s="1"/>
  <c r="F747" i="1" a="1"/>
  <c r="F747" i="1" s="1"/>
  <c r="F748" i="1" a="1"/>
  <c r="F748" i="1"/>
  <c r="G748" i="1" s="1"/>
  <c r="F749" i="1" a="1"/>
  <c r="F749" i="1"/>
  <c r="G749" i="1" s="1"/>
  <c r="F750" i="1" a="1"/>
  <c r="F750" i="1" s="1"/>
  <c r="G750" i="1" s="1"/>
  <c r="F751" i="1" a="1"/>
  <c r="F751" i="1"/>
  <c r="F752" i="1" a="1"/>
  <c r="F752" i="1"/>
  <c r="G752" i="1" s="1"/>
  <c r="F753" i="1" a="1"/>
  <c r="F753" i="1"/>
  <c r="G753" i="1" s="1"/>
  <c r="F754" i="1" a="1"/>
  <c r="F754" i="1" s="1"/>
  <c r="G754" i="1" s="1"/>
  <c r="F755" i="1" a="1"/>
  <c r="F755" i="1" s="1"/>
  <c r="G755" i="1" s="1"/>
  <c r="F756" i="1" a="1"/>
  <c r="F756" i="1" s="1"/>
  <c r="G756" i="1" s="1"/>
  <c r="F757" i="1" a="1"/>
  <c r="F757" i="1"/>
  <c r="G757" i="1" s="1"/>
  <c r="F758" i="1" a="1"/>
  <c r="F758" i="1" s="1"/>
  <c r="G758" i="1" s="1"/>
  <c r="F759" i="1" a="1"/>
  <c r="F759" i="1"/>
  <c r="G759" i="1" s="1"/>
  <c r="F760" i="1" a="1"/>
  <c r="F760" i="1" s="1"/>
  <c r="G760" i="1" s="1"/>
  <c r="F761" i="1" a="1"/>
  <c r="F761" i="1"/>
  <c r="F762" i="1" a="1"/>
  <c r="F762" i="1" s="1"/>
  <c r="F763" i="1" a="1"/>
  <c r="F763" i="1"/>
  <c r="G763" i="1" s="1"/>
  <c r="F764" i="1" a="1"/>
  <c r="F764" i="1"/>
  <c r="G764" i="1" s="1"/>
  <c r="F765" i="1" a="1"/>
  <c r="F765" i="1" s="1"/>
  <c r="G765" i="1" s="1"/>
  <c r="F766" i="1" a="1"/>
  <c r="F766" i="1" s="1"/>
  <c r="F767" i="1" a="1"/>
  <c r="F767" i="1" s="1"/>
  <c r="F768" i="1" a="1"/>
  <c r="F768" i="1"/>
  <c r="G768" i="1" s="1"/>
  <c r="F769" i="1" a="1"/>
  <c r="F769" i="1" s="1"/>
  <c r="G769" i="1" s="1"/>
  <c r="F770" i="1" a="1"/>
  <c r="F770" i="1" s="1"/>
  <c r="F771" i="1" a="1"/>
  <c r="F771" i="1" s="1"/>
  <c r="G771" i="1" s="1"/>
  <c r="F772" i="1" a="1"/>
  <c r="F772" i="1" s="1"/>
  <c r="G772" i="1" s="1"/>
  <c r="F773" i="1" a="1"/>
  <c r="F773" i="1"/>
  <c r="G773" i="1" s="1"/>
  <c r="F774" i="1" a="1"/>
  <c r="F774" i="1" s="1"/>
  <c r="F775" i="1" a="1"/>
  <c r="F775" i="1" s="1"/>
  <c r="G775" i="1" s="1"/>
  <c r="F776" i="1" a="1"/>
  <c r="F776" i="1"/>
  <c r="F777" i="1" a="1"/>
  <c r="F777" i="1"/>
  <c r="G777" i="1" s="1"/>
  <c r="F778" i="1" a="1"/>
  <c r="F778" i="1" s="1"/>
  <c r="F779" i="1" a="1"/>
  <c r="F779" i="1" s="1"/>
  <c r="G779" i="1" s="1"/>
  <c r="F780" i="1" a="1"/>
  <c r="F780" i="1" s="1"/>
  <c r="G780" i="1" s="1"/>
  <c r="F781" i="1" a="1"/>
  <c r="F781" i="1" s="1"/>
  <c r="G781" i="1" s="1"/>
  <c r="F782" i="1" a="1"/>
  <c r="F782" i="1" s="1"/>
  <c r="G782" i="1" s="1"/>
  <c r="F783" i="1" a="1"/>
  <c r="F783" i="1"/>
  <c r="G783" i="1" s="1"/>
  <c r="F784" i="1" a="1"/>
  <c r="F784" i="1" s="1"/>
  <c r="F785" i="1" a="1"/>
  <c r="F785" i="1"/>
  <c r="F786" i="1" a="1"/>
  <c r="F786" i="1" s="1"/>
  <c r="F787" i="1" a="1"/>
  <c r="F787" i="1"/>
  <c r="G787" i="1" s="1"/>
  <c r="F788" i="1" a="1"/>
  <c r="F788" i="1" s="1"/>
  <c r="G788" i="1" s="1"/>
  <c r="F789" i="1" a="1"/>
  <c r="F789" i="1" s="1"/>
  <c r="G789" i="1" s="1"/>
  <c r="F790" i="1" a="1"/>
  <c r="F790" i="1" s="1"/>
  <c r="G790" i="1" s="1"/>
  <c r="F791" i="1" a="1"/>
  <c r="F791" i="1" s="1"/>
  <c r="G791" i="1" s="1"/>
  <c r="F792" i="1" a="1"/>
  <c r="F792" i="1" s="1"/>
  <c r="G792" i="1" s="1"/>
  <c r="F793" i="1" a="1"/>
  <c r="F793" i="1"/>
  <c r="G793" i="1" s="1"/>
  <c r="F794" i="1" a="1"/>
  <c r="F794" i="1" s="1"/>
  <c r="G794" i="1" s="1"/>
  <c r="F795" i="1" a="1"/>
  <c r="F795" i="1" s="1"/>
  <c r="G795" i="1" s="1"/>
  <c r="F796" i="1" a="1"/>
  <c r="F796" i="1" s="1"/>
  <c r="G796" i="1" s="1"/>
  <c r="F797" i="1" a="1"/>
  <c r="F797" i="1" s="1"/>
  <c r="G797" i="1" s="1"/>
  <c r="F798" i="1" a="1"/>
  <c r="F798" i="1" s="1"/>
  <c r="F799" i="1" a="1"/>
  <c r="F799" i="1"/>
  <c r="F800" i="1" a="1"/>
  <c r="F800" i="1" s="1"/>
  <c r="G800" i="1" s="1"/>
  <c r="F801" i="1" a="1"/>
  <c r="F801" i="1" s="1"/>
  <c r="G801" i="1" s="1"/>
  <c r="F2" i="1" a="1"/>
  <c r="F2" i="1" s="1"/>
  <c r="G2" i="1" s="1"/>
  <c r="G17" i="1"/>
  <c r="G18" i="1"/>
  <c r="G19" i="1"/>
  <c r="G20" i="1"/>
  <c r="G23" i="1"/>
  <c r="G27" i="1"/>
  <c r="G28" i="1"/>
  <c r="G31" i="1"/>
  <c r="G32" i="1"/>
  <c r="G37" i="1"/>
  <c r="G42" i="1"/>
  <c r="G46" i="1"/>
  <c r="G51" i="1"/>
  <c r="G55" i="1"/>
  <c r="G56" i="1"/>
  <c r="G57" i="1"/>
  <c r="G58" i="1"/>
  <c r="G66" i="1"/>
  <c r="G68" i="1"/>
  <c r="G70" i="1"/>
  <c r="G75" i="1"/>
  <c r="G76" i="1"/>
  <c r="G79" i="1"/>
  <c r="G80" i="1"/>
  <c r="G81" i="1"/>
  <c r="G85" i="1"/>
  <c r="G86" i="1"/>
  <c r="G90" i="1"/>
  <c r="G91" i="1"/>
  <c r="G97" i="1"/>
  <c r="G104" i="1"/>
  <c r="G105" i="1"/>
  <c r="G107" i="1"/>
  <c r="G108" i="1"/>
  <c r="G116" i="1"/>
  <c r="G118" i="1"/>
  <c r="G120" i="1"/>
  <c r="G121" i="1"/>
  <c r="G123" i="1"/>
  <c r="G128" i="1"/>
  <c r="G129" i="1"/>
  <c r="G134" i="1"/>
  <c r="G135" i="1"/>
  <c r="G139" i="1"/>
  <c r="G140" i="1"/>
  <c r="G141" i="1"/>
  <c r="G144" i="1"/>
  <c r="G154" i="1"/>
  <c r="G155" i="1"/>
  <c r="G159" i="1"/>
  <c r="G160" i="1"/>
  <c r="G163" i="1"/>
  <c r="G164" i="1"/>
  <c r="G169" i="1"/>
  <c r="G170" i="1"/>
  <c r="G171" i="1"/>
  <c r="G179" i="1"/>
  <c r="G180" i="1"/>
  <c r="G182" i="1"/>
  <c r="G185" i="1"/>
  <c r="G186" i="1"/>
  <c r="G191" i="1"/>
  <c r="G195" i="1"/>
  <c r="G196" i="1"/>
  <c r="G201" i="1"/>
  <c r="G206" i="1"/>
  <c r="G211" i="1"/>
  <c r="G212" i="1"/>
  <c r="G217" i="1"/>
  <c r="G219" i="1"/>
  <c r="G222" i="1"/>
  <c r="G223" i="1"/>
  <c r="G224" i="1"/>
  <c r="G227" i="1"/>
  <c r="G231" i="1"/>
  <c r="G233" i="1"/>
  <c r="G235" i="1"/>
  <c r="G236" i="1"/>
  <c r="G239" i="1"/>
  <c r="G243" i="1"/>
  <c r="G248" i="1"/>
  <c r="G249" i="1"/>
  <c r="G250" i="1"/>
  <c r="G251" i="1"/>
  <c r="G255" i="1"/>
  <c r="G256" i="1"/>
  <c r="G257" i="1"/>
  <c r="G258" i="1"/>
  <c r="G259" i="1"/>
  <c r="G263" i="1"/>
  <c r="G267" i="1"/>
  <c r="G268" i="1"/>
  <c r="G269" i="1"/>
  <c r="G274" i="1"/>
  <c r="G275" i="1"/>
  <c r="G276" i="1"/>
  <c r="G286" i="1"/>
  <c r="G287" i="1"/>
  <c r="G289" i="1"/>
  <c r="G291" i="1"/>
  <c r="G292" i="1"/>
  <c r="G295" i="1"/>
  <c r="G296" i="1"/>
  <c r="G299" i="1"/>
  <c r="G300" i="1"/>
  <c r="G301" i="1"/>
  <c r="G302" i="1"/>
  <c r="G303" i="1"/>
  <c r="G305" i="1"/>
  <c r="G307" i="1"/>
  <c r="G311" i="1"/>
  <c r="G312" i="1"/>
  <c r="G314" i="1"/>
  <c r="G315" i="1"/>
  <c r="G318" i="1"/>
  <c r="G319" i="1"/>
  <c r="G320" i="1"/>
  <c r="G323" i="1"/>
  <c r="G324" i="1"/>
  <c r="G331" i="1"/>
  <c r="G332" i="1"/>
  <c r="G334" i="1"/>
  <c r="G335" i="1"/>
  <c r="G343" i="1"/>
  <c r="G350" i="1"/>
  <c r="G352" i="1"/>
  <c r="G353" i="1"/>
  <c r="G360" i="1"/>
  <c r="G361" i="1"/>
  <c r="G362" i="1"/>
  <c r="G363" i="1"/>
  <c r="G371" i="1"/>
  <c r="G372" i="1"/>
  <c r="G377" i="1"/>
  <c r="G378" i="1"/>
  <c r="G382" i="1"/>
  <c r="G383" i="1"/>
  <c r="G384" i="1"/>
  <c r="G385" i="1"/>
  <c r="G391" i="1"/>
  <c r="G393" i="1"/>
  <c r="G399" i="1"/>
  <c r="G400" i="1"/>
  <c r="G401" i="1"/>
  <c r="G402" i="1"/>
  <c r="G403" i="1"/>
  <c r="G404" i="1"/>
  <c r="G409" i="1"/>
  <c r="G410" i="1"/>
  <c r="G414" i="1"/>
  <c r="G416" i="1"/>
  <c r="G417" i="1"/>
  <c r="G419" i="1"/>
  <c r="G423" i="1"/>
  <c r="G424" i="1"/>
  <c r="G426" i="1"/>
  <c r="G430" i="1"/>
  <c r="G431" i="1"/>
  <c r="G436" i="1"/>
  <c r="G437" i="1"/>
  <c r="G438" i="1"/>
  <c r="G441" i="1"/>
  <c r="G442" i="1"/>
  <c r="G446" i="1"/>
  <c r="G449" i="1"/>
  <c r="G450" i="1"/>
  <c r="G455" i="1"/>
  <c r="G456" i="1"/>
  <c r="G457" i="1"/>
  <c r="G458" i="1"/>
  <c r="G461" i="1"/>
  <c r="G462" i="1"/>
  <c r="G463" i="1"/>
  <c r="G464" i="1"/>
  <c r="G468" i="1"/>
  <c r="G469" i="1"/>
  <c r="G470" i="1"/>
  <c r="G478" i="1"/>
  <c r="G482" i="1"/>
  <c r="G488" i="1"/>
  <c r="G490" i="1"/>
  <c r="G497" i="1"/>
  <c r="G498" i="1"/>
  <c r="G499" i="1"/>
  <c r="G500" i="1"/>
  <c r="G505" i="1"/>
  <c r="G506" i="1"/>
  <c r="G510" i="1"/>
  <c r="G512" i="1"/>
  <c r="G513" i="1"/>
  <c r="G514" i="1"/>
  <c r="G518" i="1"/>
  <c r="G522" i="1"/>
  <c r="G526" i="1"/>
  <c r="G527" i="1"/>
  <c r="G531" i="1"/>
  <c r="G538" i="1"/>
  <c r="G540" i="1"/>
  <c r="G541" i="1"/>
  <c r="G542" i="1"/>
  <c r="G552" i="1"/>
  <c r="G553" i="1"/>
  <c r="G554" i="1"/>
  <c r="G559" i="1"/>
  <c r="G560" i="1"/>
  <c r="G562" i="1"/>
  <c r="G569" i="1"/>
  <c r="G570" i="1"/>
  <c r="G572" i="1"/>
  <c r="G577" i="1"/>
  <c r="G578" i="1"/>
  <c r="G581" i="1"/>
  <c r="G582" i="1"/>
  <c r="G586" i="1"/>
  <c r="G587" i="1"/>
  <c r="G591" i="1"/>
  <c r="G592" i="1"/>
  <c r="G598" i="1"/>
  <c r="G599" i="1"/>
  <c r="G600" i="1"/>
  <c r="G601" i="1"/>
  <c r="G602" i="1"/>
  <c r="G608" i="1"/>
  <c r="G609" i="1"/>
  <c r="G610" i="1"/>
  <c r="G613" i="1"/>
  <c r="G614" i="1"/>
  <c r="G618" i="1"/>
  <c r="G622" i="1"/>
  <c r="G623" i="1"/>
  <c r="G624" i="1"/>
  <c r="G625" i="1"/>
  <c r="G628" i="1"/>
  <c r="G634" i="1"/>
  <c r="G638" i="1"/>
  <c r="G639" i="1"/>
  <c r="G640" i="1"/>
  <c r="G641" i="1"/>
  <c r="G642" i="1"/>
  <c r="G646" i="1"/>
  <c r="G649" i="1"/>
  <c r="G650" i="1"/>
  <c r="G654" i="1"/>
  <c r="G657" i="1"/>
  <c r="G665" i="1"/>
  <c r="G666" i="1"/>
  <c r="G670" i="1"/>
  <c r="G678" i="1"/>
  <c r="G681" i="1"/>
  <c r="G686" i="1"/>
  <c r="G697" i="1"/>
  <c r="G698" i="1"/>
  <c r="G702" i="1"/>
  <c r="G703" i="1"/>
  <c r="G710" i="1"/>
  <c r="G711" i="1"/>
  <c r="G712" i="1"/>
  <c r="G714" i="1"/>
  <c r="G715" i="1"/>
  <c r="G720" i="1"/>
  <c r="G721" i="1"/>
  <c r="G722" i="1"/>
  <c r="G729" i="1"/>
  <c r="G730" i="1"/>
  <c r="G734" i="1"/>
  <c r="G735" i="1"/>
  <c r="G738" i="1"/>
  <c r="G742" i="1"/>
  <c r="G745" i="1"/>
  <c r="G746" i="1"/>
  <c r="G747" i="1"/>
  <c r="G751" i="1"/>
  <c r="G761" i="1"/>
  <c r="G762" i="1"/>
  <c r="G766" i="1"/>
  <c r="G767" i="1"/>
  <c r="G770" i="1"/>
  <c r="G774" i="1"/>
  <c r="G776" i="1"/>
  <c r="G778" i="1"/>
  <c r="G784" i="1"/>
  <c r="G785" i="1"/>
  <c r="G786" i="1"/>
  <c r="G798" i="1"/>
  <c r="G799" i="1"/>
  <c r="G4" i="1"/>
  <c r="G8" i="1"/>
  <c r="G9" i="1"/>
  <c r="G10" i="1"/>
  <c r="G13" i="1"/>
  <c r="B98" i="3"/>
  <c r="B110" i="3"/>
  <c r="B13" i="3"/>
  <c r="E97"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<sst xmlns="http://schemas.openxmlformats.org/spreadsheetml/2006/main" count="3292" uniqueCount="38">
  <si>
    <t>Transaction_ID</t>
  </si>
  <si>
    <t>Date</t>
  </si>
  <si>
    <t>Store_Location</t>
  </si>
  <si>
    <t>Product_Category</t>
  </si>
  <si>
    <t>Quantity</t>
  </si>
  <si>
    <t>Unit_Price</t>
  </si>
  <si>
    <t>Total_Amount</t>
  </si>
  <si>
    <t>Customer_Rating</t>
  </si>
  <si>
    <t>Connaught Place</t>
  </si>
  <si>
    <t>Tea</t>
  </si>
  <si>
    <t>Cyber Hub</t>
  </si>
  <si>
    <t>Coffee</t>
  </si>
  <si>
    <t>Indiranagar</t>
  </si>
  <si>
    <t>Bakery</t>
  </si>
  <si>
    <t>Beverages</t>
  </si>
  <si>
    <t>Row Labels</t>
  </si>
  <si>
    <t>Grand Total</t>
  </si>
  <si>
    <t>Sum of Total_Amount</t>
  </si>
  <si>
    <t>Column Labels</t>
  </si>
  <si>
    <t>Payment-method</t>
  </si>
  <si>
    <t>Order_type</t>
  </si>
  <si>
    <t>UPI</t>
  </si>
  <si>
    <t>Dine-in</t>
  </si>
  <si>
    <t>Online Delivery</t>
  </si>
  <si>
    <t>Card</t>
  </si>
  <si>
    <t>Cash</t>
  </si>
  <si>
    <t>Takeaway</t>
  </si>
  <si>
    <t>Sum of Customer_Rating</t>
  </si>
  <si>
    <t>Jan</t>
  </si>
  <si>
    <t>Feb</t>
  </si>
  <si>
    <t>Mar</t>
  </si>
  <si>
    <t>Apr</t>
  </si>
  <si>
    <t>May</t>
  </si>
  <si>
    <t>Jun</t>
  </si>
  <si>
    <t>Count of Customer_Rating</t>
  </si>
  <si>
    <t>Average of Customer_Rating</t>
  </si>
  <si>
    <t>Sum of Quantity</t>
  </si>
  <si>
    <t>Count of Transaction_ID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</si>
</sst>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F800]dddd\,\ mmmm\ dd\,\ yyyy"/>
    <numFmt numFmtId="165" formatCode="&quot;₹&quot;\ #,##0"/>
    <numFmt numFmtId="166" formatCode="[$₹-4009]\ #,##0;[$₹-4009]\ \-#,##0"/>
    <numFmt numFmtId="167" formatCode="0.0"/>
  </numFmts>
  <fonts count="5" x14ac:knownFonts="1">
    <font>
      <sz val="11"/>
      <color theme="1"/>
      <name val="Century Schoolbook"/>
      <family val="2"/>
      <scheme val="minor"/>
    </font>
    <font>
      <b/>
      <sz val="11"/>
      <color theme="1"/>
      <name val="Century Schoolbook"/>
      <family val="2"/>
      <scheme val="minor"/>
    </font>
    <font>
      <b/>
      <sz val="9"/>
      <color theme="1"/>
      <name val="Comic Sans MS"/>
      <family val="4"/>
    </font>
    <font>
      <sz val="11"/>
      <color rgb="FF1E293B"/>
      <name val="Century Schoolbook"/>
      <family val="2"/>
      <scheme val="minor"/>
    </font>
    <font>
      <b/>
      <sz val="20"/>
      <color rgb="FF1E293B"/>
      <name val="Century Schoolbook"/>
      <family val="2"/>
      <scheme val="minor"/>
    </font>
  </fonts>
  <fills count="4">
    <fill>
      <patternFill patternType="none"/>
    </fill>
    <fill>
      <patternFill patternType="gray125"/>
    </fill>
    <fill>
      <patternFill patternType="solid">
        <fgColor theme="7" tint="0.39997558519241921"/>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0" borderId="1" xfId="0" applyFont="1" applyBorder="1"/>
    <xf numFmtId="14" fontId="1" fillId="0" borderId="1" xfId="0" applyNumberFormat="1" applyFont="1" applyBorder="1"/>
    <xf numFmtId="0" fontId="1" fillId="2" borderId="1" xfId="0" applyFont="1" applyFill="1" applyBorder="1"/>
    <xf numFmtId="0" fontId="2" fillId="0" borderId="1" xfId="0" applyFont="1" applyBorder="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0" fontId="3" fillId="0" borderId="0" xfId="0" applyFont="1"/>
    <xf numFmtId="0" fontId="4" fillId="0" borderId="0" xfId="0" applyFont="1"/>
    <xf numFmtId="0" fontId="3" fillId="3" borderId="0" xfId="0" applyFont="1" applyFill="1"/>
    <xf numFmtId="0" fontId="0" fillId="3" borderId="0" xfId="0" applyFill="1"/>
    <xf numFmtId="0" fontId="4" fillId="3" borderId="0" xfId="0" applyFont="1" applyFill="1"/>
    <xf numFmtId="164" fontId="0" fillId="3" borderId="0" xfId="0" applyNumberFormat="1" applyFill="1"/>
    <xf numFmtId="0" fontId="0" fillId="0" borderId="0" xfId="0" applyNumberFormat="1"/>
  </cellXfs>
  <cellStyles count="1">
    <cellStyle name="Normal" xfId="0" builtinId="0"/>
  </cellStyles>
  <dxfs count="1">
    <dxf>
      <fill>
        <patternFill>
          <bgColor rgb="FF002060"/>
        </patternFill>
      </fill>
    </dxf>
  </dxfs>
  <tableStyles count="3" defaultTableStyle="TableStyleMedium2" defaultPivotStyle="PivotStyleLight16">
    <tableStyle name="Slicer Style 1" pivot="0" table="0" count="0" xr9:uid="{C8CC9FB3-3632-4502-8DDC-C43B68D85E99}"/>
    <tableStyle name="Slicer Style 2" pivot="0" table="0" count="1" xr9:uid="{73F29AC0-CD7F-4446-B0BD-13BFF3E459B3}">
      <tableStyleElement type="wholeTable" dxfId="0"/>
    </tableStyle>
    <tableStyle name="Slicer Style 3" pivot="0" table="0" count="1" xr9:uid="{711C67FF-17EF-4324-BA50-CDC4AC48C19B}"/>
  </tableStyles>
  <colors>
    <mruColors>
      <color rgb="FF1E293B"/>
      <color rgb="FF3B82F6"/>
      <color rgb="FFEEF595"/>
      <color rgb="FF6F4E37"/>
      <color rgb="FF60A5FA"/>
      <color rgb="FFFF2525"/>
      <color rgb="FFF59E0B"/>
      <color rgb="FF64748B"/>
      <color rgb="FF1E3A8A"/>
      <color rgb="FFF1F5F9"/>
    </mruColors>
  </colors>
  <extLst>
    <ext xmlns:x14="http://schemas.microsoft.com/office/spreadsheetml/2009/9/main" uri="{46F421CA-312F-682f-3DD2-61675219B42D}">
      <x14:dxfs count="1">
        <dxf>
          <fill>
            <patternFill>
              <bgColor rgb="FF00206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DASHBOARD.xlsx]working space!PivotTable7</c:name>
    <c:fmtId val="0"/>
  </c:pivotSource>
  <c:chart>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'working space'!$B$3:$B$4</c:f>
              <c:strCache>
                <c:ptCount val="1"/>
                <c:pt idx="0">
                  <c:v>Bakery</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'working space'!$A$5:$A$8</c:f>
              <c:strCache>
                <c:ptCount val="3"/>
                <c:pt idx="0">
                  <c:v>Connaught Place</c:v>
                </c:pt>
                <c:pt idx="1">
                  <c:v>Cyber Hub</c:v>
                </c:pt>
                <c:pt idx="2">
                  <c:v>Indiranagar</c:v>
                </c:pt>
              </c:strCache>
            </c:strRef>
          </c:cat>
          <c:val>
            <c:numRef>
              <c:f>'working space'!$B$5:$B$8</c:f>
              <c:numCache>
                <c:formatCode>General</c:formatCode>
                <c:ptCount val="3"/>
                <c:pt idx="0">
                  <c:v>14500</c:v>
                </c:pt>
                <c:pt idx="1">
                  <c:v>12900</c:v>
                </c:pt>
                <c:pt idx="2">
                  <c:v>14700</c:v>
                </c:pt>
              </c:numCache>
            </c:numRef>
          </c:val>
          <c:extLst>
            <c:ext xmlns:c16="http://schemas.microsoft.com/office/drawing/2014/chart" uri="{C3380CC4-5D6E-409C-BE32-E72D297353CC}">
              <c16:uniqueId val="{00000000-35FC-434F-A398-1159BF48373E}"/>
            </c:ext>
          </c:extLst>
        </c:ser>
        <c:ser>
          <c:idx val="1"/>
          <c:order val="1"/>
          <c:tx>
            <c:strRef>
              <c:f>'working space'!$C$3:$C$4</c:f>
              <c:strCache>
                <c:ptCount val="1"/>
                <c:pt idx="0">
                  <c:v>Beverages</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'working space'!$A$5:$A$8</c:f>
              <c:strCache>
                <c:ptCount val="3"/>
                <c:pt idx="0">
                  <c:v>Connaught Place</c:v>
                </c:pt>
                <c:pt idx="1">
                  <c:v>Cyber Hub</c:v>
                </c:pt>
                <c:pt idx="2">
                  <c:v>Indiranagar</c:v>
                </c:pt>
              </c:strCache>
            </c:strRef>
          </c:cat>
          <c:val>
            <c:numRef>
              <c:f>'working space'!$C$5:$C$8</c:f>
              <c:numCache>
                <c:formatCode>General</c:formatCode>
                <c:ptCount val="3"/>
                <c:pt idx="0">
                  <c:v>10160</c:v>
                </c:pt>
                <c:pt idx="1">
                  <c:v>10240</c:v>
                </c:pt>
                <c:pt idx="2">
                  <c:v>9360</c:v>
                </c:pt>
              </c:numCache>
            </c:numRef>
          </c:val>
          <c:extLst>
            <c:ext xmlns:c16="http://schemas.microsoft.com/office/drawing/2014/chart" uri="{C3380CC4-5D6E-409C-BE32-E72D297353CC}">
              <c16:uniqueId val="{00000000-9009-4499-9039-E0079588C1D5}"/>
            </c:ext>
          </c:extLst>
        </c:ser>
        <c:ser>
          <c:idx val="2"/>
          <c:order val="2"/>
          <c:tx>
            <c:strRef>
              <c:f>'working space'!$D$3:$D$4</c:f>
              <c:strCache>
                <c:ptCount val="1"/>
                <c:pt idx="0">
                  <c:v>Coffee</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'working space'!$A$5:$A$8</c:f>
              <c:strCache>
                <c:ptCount val="3"/>
                <c:pt idx="0">
                  <c:v>Connaught Place</c:v>
                </c:pt>
                <c:pt idx="1">
                  <c:v>Cyber Hub</c:v>
                </c:pt>
                <c:pt idx="2">
                  <c:v>Indiranagar</c:v>
                </c:pt>
              </c:strCache>
            </c:strRef>
          </c:cat>
          <c:val>
            <c:numRef>
              <c:f>'working space'!$D$5:$D$8</c:f>
              <c:numCache>
                <c:formatCode>General</c:formatCode>
                <c:ptCount val="3"/>
                <c:pt idx="0">
                  <c:v>9300</c:v>
                </c:pt>
                <c:pt idx="1">
                  <c:v>8340</c:v>
                </c:pt>
                <c:pt idx="2">
                  <c:v>7440</c:v>
                </c:pt>
              </c:numCache>
            </c:numRef>
          </c:val>
          <c:extLst>
            <c:ext xmlns:c16="http://schemas.microsoft.com/office/drawing/2014/chart" uri="{C3380CC4-5D6E-409C-BE32-E72D297353CC}">
              <c16:uniqueId val="{00000001-9009-4499-9039-E0079588C1D5}"/>
            </c:ext>
          </c:extLst>
        </c:ser>
        <c:ser>
          <c:idx val="3"/>
          <c:order val="3"/>
          <c:tx>
            <c:strRef>
              <c:f>'working space'!$E$3:$E$4</c:f>
              <c:strCache>
                <c:ptCount val="1"/>
                <c:pt idx="0">
                  <c:v>Tea</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'working space'!$A$5:$A$8</c:f>
              <c:strCache>
                <c:ptCount val="3"/>
                <c:pt idx="0">
                  <c:v>Connaught Place</c:v>
                </c:pt>
                <c:pt idx="1">
                  <c:v>Cyber Hub</c:v>
                </c:pt>
                <c:pt idx="2">
                  <c:v>Indiranagar</c:v>
                </c:pt>
              </c:strCache>
            </c:strRef>
          </c:cat>
          <c:val>
            <c:numRef>
              <c:f>'working space'!$E$5:$E$8</c:f>
              <c:numCache>
                <c:formatCode>General</c:formatCode>
                <c:ptCount val="3"/>
                <c:pt idx="0">
                  <c:v>5600</c:v>
                </c:pt>
                <c:pt idx="1">
                  <c:v>4160</c:v>
                </c:pt>
                <c:pt idx="2">
                  <c:v>5080</c:v>
                </c:pt>
              </c:numCache>
            </c:numRef>
          </c:val>
          <c:extLst>
            <c:ext xmlns:c16="http://schemas.microsoft.com/office/drawing/2014/chart" uri="{C3380CC4-5D6E-409C-BE32-E72D297353CC}">
              <c16:uniqueId val="{00000002-9009-4499-9039-E0079588C1D5}"/>
            </c:ext>
          </c:extLst>
        </c:ser>
        <c:dLbls>
          <c:showLegendKey val="0"/>
          <c:showVal val="0"/>
          <c:showCatName val="0"/>
          <c:showSerName val="0"/>
          <c:showPercent val="0"/>
          <c:showBubbleSize val="0"/>
        </c:dLbls>
        <c:gapWidth val="65"/>
        <c:shape val="box"/>
        <c:axId val="1271810224"/>
        <c:axId val="1311079600"/>
        <c:axId val="0"/>
      </c:bar3DChart>
      <c:catAx>
        <c:axId val="127181022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11079600"/>
        <c:crosses val="autoZero"/>
        <c:auto val="1"/>
        <c:lblAlgn val="ctr"/>
        <c:lblOffset val="100"/>
        <c:noMultiLvlLbl val="0"/>
      </c:catAx>
      <c:valAx>
        <c:axId val="131107960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7181022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DASHBOARD.xlsx]working space!PivotTable8</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'working space'!$B$21:$B$22</c:f>
              <c:strCache>
                <c:ptCount val="1"/>
                <c:pt idx="0">
                  <c:v>Card</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F46-4868-80F9-B7650396F6E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F46-4868-80F9-B7650396F6E4}"/>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F46-4868-80F9-B7650396F6E4}"/>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F46-4868-80F9-B7650396F6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'working space'!$A$23:$A$27</c:f>
              <c:strCache>
                <c:ptCount val="4"/>
                <c:pt idx="0">
                  <c:v>Bakery</c:v>
                </c:pt>
                <c:pt idx="1">
                  <c:v>Beverages</c:v>
                </c:pt>
                <c:pt idx="2">
                  <c:v>Coffee</c:v>
                </c:pt>
                <c:pt idx="3">
                  <c:v>Tea</c:v>
                </c:pt>
              </c:strCache>
            </c:strRef>
          </c:cat>
          <c:val>
            <c:numRef>
              <c:f>'working space'!$B$23:$B$27</c:f>
              <c:numCache>
                <c:formatCode>General</c:formatCode>
                <c:ptCount val="4"/>
                <c:pt idx="0">
                  <c:v>11500</c:v>
                </c:pt>
                <c:pt idx="1">
                  <c:v>11120</c:v>
                </c:pt>
                <c:pt idx="2">
                  <c:v>8940</c:v>
                </c:pt>
                <c:pt idx="3">
                  <c:v>5560</c:v>
                </c:pt>
              </c:numCache>
            </c:numRef>
          </c:val>
          <c:extLst>
            <c:ext xmlns:c16="http://schemas.microsoft.com/office/drawing/2014/chart" uri="{C3380CC4-5D6E-409C-BE32-E72D297353CC}">
              <c16:uniqueId val="{00000000-F0F2-4942-8C24-694D5FE01EFF}"/>
            </c:ext>
          </c:extLst>
        </c:ser>
        <c:ser>
          <c:idx val="1"/>
          <c:order val="1"/>
          <c:tx>
            <c:strRef>
              <c:f>'working space'!$C$21:$C$22</c:f>
              <c:strCache>
                <c:ptCount val="1"/>
                <c:pt idx="0">
                  <c:v>Cash</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8694-4950-A5A1-3B4BEDC3379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8694-4950-A5A1-3B4BEDC33798}"/>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8694-4950-A5A1-3B4BEDC33798}"/>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8694-4950-A5A1-3B4BEDC3379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'working space'!$A$23:$A$27</c:f>
              <c:strCache>
                <c:ptCount val="4"/>
                <c:pt idx="0">
                  <c:v>Bakery</c:v>
                </c:pt>
                <c:pt idx="1">
                  <c:v>Beverages</c:v>
                </c:pt>
                <c:pt idx="2">
                  <c:v>Coffee</c:v>
                </c:pt>
                <c:pt idx="3">
                  <c:v>Tea</c:v>
                </c:pt>
              </c:strCache>
            </c:strRef>
          </c:cat>
          <c:val>
            <c:numRef>
              <c:f>'working space'!$C$23:$C$27</c:f>
              <c:numCache>
                <c:formatCode>General</c:formatCode>
                <c:ptCount val="4"/>
                <c:pt idx="0">
                  <c:v>15000</c:v>
                </c:pt>
                <c:pt idx="1">
                  <c:v>10080</c:v>
                </c:pt>
                <c:pt idx="2">
                  <c:v>9360</c:v>
                </c:pt>
                <c:pt idx="3">
                  <c:v>5120</c:v>
                </c:pt>
              </c:numCache>
            </c:numRef>
          </c:val>
          <c:extLst>
            <c:ext xmlns:c16="http://schemas.microsoft.com/office/drawing/2014/chart" uri="{C3380CC4-5D6E-409C-BE32-E72D297353CC}">
              <c16:uniqueId val="{00000008-7E51-4CD6-9CA9-06C666E8DDD2}"/>
            </c:ext>
          </c:extLst>
        </c:ser>
        <c:ser>
          <c:idx val="2"/>
          <c:order val="2"/>
          <c:tx>
            <c:strRef>
              <c:f>'working space'!$D$21:$D$22</c:f>
              <c:strCache>
                <c:ptCount val="1"/>
                <c:pt idx="0">
                  <c:v>UPI</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8694-4950-A5A1-3B4BEDC3379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8694-4950-A5A1-3B4BEDC33798}"/>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8694-4950-A5A1-3B4BEDC33798}"/>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8694-4950-A5A1-3B4BEDC3379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'working space'!$A$23:$A$27</c:f>
              <c:strCache>
                <c:ptCount val="4"/>
                <c:pt idx="0">
                  <c:v>Bakery</c:v>
                </c:pt>
                <c:pt idx="1">
                  <c:v>Beverages</c:v>
                </c:pt>
                <c:pt idx="2">
                  <c:v>Coffee</c:v>
                </c:pt>
                <c:pt idx="3">
                  <c:v>Tea</c:v>
                </c:pt>
              </c:strCache>
            </c:strRef>
          </c:cat>
          <c:val>
            <c:numRef>
              <c:f>'working space'!$D$23:$D$27</c:f>
              <c:numCache>
                <c:formatCode>General</c:formatCode>
                <c:ptCount val="4"/>
                <c:pt idx="0">
                  <c:v>15600</c:v>
                </c:pt>
                <c:pt idx="1">
                  <c:v>8560</c:v>
                </c:pt>
                <c:pt idx="2">
                  <c:v>6780</c:v>
                </c:pt>
                <c:pt idx="3">
                  <c:v>4160</c:v>
                </c:pt>
              </c:numCache>
            </c:numRef>
          </c:val>
          <c:extLst>
            <c:ext xmlns:c16="http://schemas.microsoft.com/office/drawing/2014/chart" uri="{C3380CC4-5D6E-409C-BE32-E72D297353CC}">
              <c16:uniqueId val="{00000009-7E51-4CD6-9CA9-06C666E8DDD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DASHBOARD.xlsx]working space!PivotTable9</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'working space'!$B$38</c:f>
              <c:strCache>
                <c:ptCount val="1"/>
                <c:pt idx="0">
                  <c:v>Total</c:v>
                </c:pt>
              </c:strCache>
            </c:strRef>
          </c:tx>
          <c:spPr>
            <a:solidFill>
              <a:schemeClr val="accent1"/>
            </a:solidFill>
            <a:ln>
              <a:noFill/>
            </a:ln>
            <a:effectLst/>
            <a:sp3d/>
          </c:spPr>
          <c:invertIfNegative val="0"/>
          <c:cat>
            <c:strRef>
              <c:f>'working space'!$A$39:$A$43</c:f>
              <c:strCache>
                <c:ptCount val="4"/>
                <c:pt idx="0">
                  <c:v>Bakery</c:v>
                </c:pt>
                <c:pt idx="1">
                  <c:v>Beverages</c:v>
                </c:pt>
                <c:pt idx="2">
                  <c:v>Coffee</c:v>
                </c:pt>
                <c:pt idx="3">
                  <c:v>Tea</c:v>
                </c:pt>
              </c:strCache>
            </c:strRef>
          </c:cat>
          <c:val>
            <c:numRef>
              <c:f>'working space'!$B$39:$B$43</c:f>
              <c:numCache>
                <c:formatCode>General</c:formatCode>
                <c:ptCount val="4"/>
                <c:pt idx="0">
                  <c:v>651</c:v>
                </c:pt>
                <c:pt idx="1">
                  <c:v>565</c:v>
                </c:pt>
                <c:pt idx="2">
                  <c:v>578</c:v>
                </c:pt>
                <c:pt idx="3">
                  <c:v>602</c:v>
                </c:pt>
              </c:numCache>
            </c:numRef>
          </c:val>
          <c:extLst>
            <c:ext xmlns:c16="http://schemas.microsoft.com/office/drawing/2014/chart" uri="{C3380CC4-5D6E-409C-BE32-E72D297353CC}">
              <c16:uniqueId val="{00000000-E066-4B67-9CB7-EF6D413EA731}"/>
            </c:ext>
          </c:extLst>
        </c:ser>
        <c:dLbls>
          <c:showLegendKey val="0"/>
          <c:showVal val="0"/>
          <c:showCatName val="0"/>
          <c:showSerName val="0"/>
          <c:showPercent val="0"/>
          <c:showBubbleSize val="0"/>
        </c:dLbls>
        <c:gapWidth val="150"/>
        <c:shape val="box"/>
        <c:axId val="1332115248"/>
        <c:axId val="1311089680"/>
        <c:axId val="0"/>
      </c:bar3DChart>
      <c:catAx>
        <c:axId val="1332115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089680"/>
        <c:crosses val="autoZero"/>
        <c:auto val="1"/>
        <c:lblAlgn val="ctr"/>
        <c:lblOffset val="100"/>
        <c:noMultiLvlLbl val="0"/>
      </c:catAx>
      <c:valAx>
        <c:axId val="1311089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115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DASHBOARD.xlsx]working space!PivotTable10</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'working space'!$B$55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86-4DF6-8283-920C333D06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86-4DF6-8283-920C333D06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D86-4DF6-8283-920C333D06E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D86-4DF6-8283-920C333D06E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'working space'!$A$56:$A$60</c:f>
              <c:strCache>
                <c:ptCount val="4"/>
                <c:pt idx="0">
                  <c:v>Bakery</c:v>
                </c:pt>
                <c:pt idx="1">
                  <c:v>Beverages</c:v>
                </c:pt>
                <c:pt idx="2">
                  <c:v>Coffee</c:v>
                </c:pt>
                <c:pt idx="3">
                  <c:v>Tea</c:v>
                </c:pt>
              </c:strCache>
            </c:strRef>
          </c:cat>
          <c:val>
            <c:numRef>
              <c:f>'working space'!$B$56:$B$60</c:f>
              <c:numCache>
                <c:formatCode>General</c:formatCode>
                <c:ptCount val="4"/>
                <c:pt idx="0">
                  <c:v>42100</c:v>
                </c:pt>
                <c:pt idx="1">
                  <c:v>29760</c:v>
                </c:pt>
                <c:pt idx="2">
                  <c:v>25080</c:v>
                </c:pt>
                <c:pt idx="3">
                  <c:v>14840</c:v>
                </c:pt>
              </c:numCache>
            </c:numRef>
          </c:val>
          <c:extLst>
            <c:ext xmlns:c16="http://schemas.microsoft.com/office/drawing/2014/chart" uri="{C3380CC4-5D6E-409C-BE32-E72D297353CC}">
              <c16:uniqueId val="{00000000-1598-4364-B764-4182EE372461}"/>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DASHBOARD.xlsx]working space!PivotTable11</c:name>
    <c:fmtId val="1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580927384077"/>
          <c:y val="0.14712744240303297"/>
          <c:w val="0.6023635170603675"/>
          <c:h val="0.65853091280256637"/>
        </c:manualLayout>
      </c:layout>
      <c:lineChart>
        <c:grouping val="standard"/>
        <c:varyColors val="0"/>
        <c:ser>
          <c:idx val="0"/>
          <c:order val="0"/>
          <c:tx>
            <c:strRef>
              <c:f>'working space'!$B$72:$B$73</c:f>
              <c:strCache>
                <c:ptCount val="1"/>
                <c:pt idx="0">
                  <c:v>Bakery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'working space'!$A$74:$A$80</c:f>
              <c:strCache>
                <c:ptCount val="6"/>
                <c:pt idx="0">
                  <c:v>Jan</c:v>
                </c:pt>
                <c:pt idx="1">
                  <c:v>Feb</c:v>
                </c:pt>
                <c:pt idx="2">
                  <c:v>Mar</c:v>
                </c:pt>
                <c:pt idx="3">
                  <c:v>Apr</c:v>
                </c:pt>
                <c:pt idx="4">
                  <c:v>May</c:v>
                </c:pt>
                <c:pt idx="5">
                  <c:v>Jun</c:v>
                </c:pt>
              </c:strCache>
            </c:strRef>
          </c:cat>
          <c:val>
            <c:numRef>
              <c:f>'working space'!$B$74:$B$80</c:f>
              <c:numCache>
                <c:formatCode>General</c:formatCode>
                <c:ptCount val="6"/>
                <c:pt idx="0">
                  <c:v>4800</c:v>
                </c:pt>
                <c:pt idx="1">
                  <c:v>6200</c:v>
                </c:pt>
                <c:pt idx="2">
                  <c:v>8400</c:v>
                </c:pt>
                <c:pt idx="3">
                  <c:v>8700</c:v>
                </c:pt>
                <c:pt idx="4">
                  <c:v>6500</c:v>
                </c:pt>
                <c:pt idx="5">
                  <c:v>7500</c:v>
                </c:pt>
              </c:numCache>
            </c:numRef>
          </c:val>
          <c:smooth val="0"/>
          <c:extLst>
            <c:ext xmlns:c16="http://schemas.microsoft.com/office/drawing/2014/chart" uri="{C3380CC4-5D6E-409C-BE32-E72D297353CC}">
              <c16:uniqueId val="{00000000-8FFD-40A2-A6A4-B5308CD98962}"/>
            </c:ext>
          </c:extLst>
        </c:ser>
        <c:ser>
          <c:idx val="1"/>
          <c:order val="1"/>
          <c:tx>
            <c:strRef>
              <c:f>'working space'!$C$72:$C$73</c:f>
              <c:strCache>
                <c:ptCount val="1"/>
                <c:pt idx="0">
                  <c:v>Beverages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'working space'!$A$74:$A$80</c:f>
              <c:strCache>
                <c:ptCount val="6"/>
                <c:pt idx="0">
                  <c:v>Jan</c:v>
                </c:pt>
                <c:pt idx="1">
                  <c:v>Feb</c:v>
                </c:pt>
                <c:pt idx="2">
                  <c:v>Mar</c:v>
                </c:pt>
                <c:pt idx="3">
                  <c:v>Apr</c:v>
                </c:pt>
                <c:pt idx="4">
                  <c:v>May</c:v>
                </c:pt>
                <c:pt idx="5">
                  <c:v>Jun</c:v>
                </c:pt>
              </c:strCache>
            </c:strRef>
          </c:cat>
          <c:val>
            <c:numRef>
              <c:f>'working space'!$C$74:$C$80</c:f>
              <c:numCache>
                <c:formatCode>General</c:formatCode>
                <c:ptCount val="6"/>
                <c:pt idx="0">
                  <c:v>4320</c:v>
                </c:pt>
                <c:pt idx="1">
                  <c:v>5360</c:v>
                </c:pt>
                <c:pt idx="2">
                  <c:v>5680</c:v>
                </c:pt>
                <c:pt idx="3">
                  <c:v>6320</c:v>
                </c:pt>
                <c:pt idx="4">
                  <c:v>4160</c:v>
                </c:pt>
                <c:pt idx="5">
                  <c:v>3920</c:v>
                </c:pt>
              </c:numCache>
            </c:numRef>
          </c:val>
          <c:smooth val="0"/>
          <c:extLst>
            <c:ext xmlns:c16="http://schemas.microsoft.com/office/drawing/2014/chart" uri="{C3380CC4-5D6E-409C-BE32-E72D297353CC}">
              <c16:uniqueId val="{00000000-D3B0-40E0-BDDB-DDB1EC768D77}"/>
            </c:ext>
          </c:extLst>
        </c:ser>
        <c:ser>
          <c:idx val="2"/>
          <c:order val="2"/>
          <c:tx>
            <c:strRef>
              <c:f>'working space'!$D$72:$D$73</c:f>
              <c:strCache>
                <c:ptCount val="1"/>
                <c:pt idx="0">
                  <c:v>Coffee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'working space'!$A$74:$A$80</c:f>
              <c:strCache>
                <c:ptCount val="6"/>
                <c:pt idx="0">
                  <c:v>Jan</c:v>
                </c:pt>
                <c:pt idx="1">
                  <c:v>Feb</c:v>
                </c:pt>
                <c:pt idx="2">
                  <c:v>Mar</c:v>
                </c:pt>
                <c:pt idx="3">
                  <c:v>Apr</c:v>
                </c:pt>
                <c:pt idx="4">
                  <c:v>May</c:v>
                </c:pt>
                <c:pt idx="5">
                  <c:v>Jun</c:v>
                </c:pt>
              </c:strCache>
            </c:strRef>
          </c:cat>
          <c:val>
            <c:numRef>
              <c:f>'working space'!$D$74:$D$80</c:f>
              <c:numCache>
                <c:formatCode>General</c:formatCode>
                <c:ptCount val="6"/>
                <c:pt idx="0">
                  <c:v>5520</c:v>
                </c:pt>
                <c:pt idx="1">
                  <c:v>4440</c:v>
                </c:pt>
                <c:pt idx="2">
                  <c:v>3480</c:v>
                </c:pt>
                <c:pt idx="3">
                  <c:v>3300</c:v>
                </c:pt>
                <c:pt idx="4">
                  <c:v>3960</c:v>
                </c:pt>
                <c:pt idx="5">
                  <c:v>4380</c:v>
                </c:pt>
              </c:numCache>
            </c:numRef>
          </c:val>
          <c:smooth val="0"/>
          <c:extLst>
            <c:ext xmlns:c16="http://schemas.microsoft.com/office/drawing/2014/chart" uri="{C3380CC4-5D6E-409C-BE32-E72D297353CC}">
              <c16:uniqueId val="{00000001-D3B0-40E0-BDDB-DDB1EC768D77}"/>
            </c:ext>
          </c:extLst>
        </c:ser>
        <c:ser>
          <c:idx val="3"/>
          <c:order val="3"/>
          <c:tx>
            <c:strRef>
              <c:f>'working space'!$E$72:$E$73</c:f>
              <c:strCache>
                <c:ptCount val="1"/>
                <c:pt idx="0">
                  <c:v>Tea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'working space'!$A$74:$A$80</c:f>
              <c:strCache>
                <c:ptCount val="6"/>
                <c:pt idx="0">
                  <c:v>Jan</c:v>
                </c:pt>
                <c:pt idx="1">
                  <c:v>Feb</c:v>
                </c:pt>
                <c:pt idx="2">
                  <c:v>Mar</c:v>
                </c:pt>
                <c:pt idx="3">
                  <c:v>Apr</c:v>
                </c:pt>
                <c:pt idx="4">
                  <c:v>May</c:v>
                </c:pt>
                <c:pt idx="5">
                  <c:v>Jun</c:v>
                </c:pt>
              </c:strCache>
            </c:strRef>
          </c:cat>
          <c:val>
            <c:numRef>
              <c:f>'working space'!$E$74:$E$80</c:f>
              <c:numCache>
                <c:formatCode>General</c:formatCode>
                <c:ptCount val="6"/>
                <c:pt idx="0">
                  <c:v>2280</c:v>
                </c:pt>
                <c:pt idx="1">
                  <c:v>2120</c:v>
                </c:pt>
                <c:pt idx="2">
                  <c:v>2720</c:v>
                </c:pt>
                <c:pt idx="3">
                  <c:v>2000</c:v>
                </c:pt>
                <c:pt idx="4">
                  <c:v>2760</c:v>
                </c:pt>
                <c:pt idx="5">
                  <c:v>2960</c:v>
                </c:pt>
              </c:numCache>
            </c:numRef>
          </c:val>
          <c:smooth val="0"/>
          <c:extLst>
            <c:ext xmlns:c16="http://schemas.microsoft.com/office/drawing/2014/chart" uri="{C3380CC4-5D6E-409C-BE32-E72D297353CC}">
              <c16:uniqueId val="{00000002-D3B0-40E0-BDDB-DDB1EC768D77}"/>
            </c:ext>
          </c:extLst>
        </c:ser>
        <c:dLbls>
          <c:showLegendKey val="0"/>
          <c:showVal val="0"/>
          <c:showCatName val="0"/>
          <c:showSerName val="0"/>
          <c:showPercent val="0"/>
          <c:showBubbleSize val="0"/>
        </c:dLbls>
        <c:marker val="1"/>
        <c:smooth val="0"/>
        <c:axId val="991078912"/>
        <c:axId val="1311076720"/>
      </c:lineChart>
      <c:catAx>
        <c:axId val="99107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076720"/>
        <c:crosses val="autoZero"/>
        <c:auto val="1"/>
        <c:lblAlgn val="ctr"/>
        <c:lblOffset val="100"/>
        <c:noMultiLvlLbl val="0"/>
      </c:catAx>
      <c:valAx>
        <c:axId val="1311076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07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DASHBOARD.xlsx]working space!PivotTable7</c:name>
    <c:fmtId val="14"/>
  </c:pivotSource>
  <c:chart>
    <c:title>
      <c:tx>
        <c:rich>
          <a:bodyPr rot="0" spcFirstLastPara="1" vertOverflow="ellipsis" vert="horz" wrap="square" anchor="ctr" anchorCtr="1"/>
          <a:lstStyle/>
          <a:p>
            <a:pPr>
              <a:defRPr sz="1800" b="1" i="0" u="none" strike="noStrike" kern="1200" cap="all" baseline="0">
                <a:solidFill>
                  <a:schemeClr val="tx1"/>
                </a:solidFill>
                <a:latin typeface="Arial" panose="020B0604020202020204" pitchFamily="34" charset="0"/>
                <a:ea typeface="+mn-ea"/>
                <a:cs typeface="Arial" panose="020B0604020202020204" pitchFamily="34" charset="0"/>
              </a:defRPr>
            </a:pPr>
            <a:r>
              <a:rPr lang="en-IN" b="1">
                <a:latin typeface="Arial" panose="020B0604020202020204" pitchFamily="34" charset="0"/>
                <a:cs typeface="Arial" panose="020B0604020202020204" pitchFamily="34" charset="0"/>
              </a:rPr>
              <a:t>Revenue by Location &amp; Category</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solidFill>
              <a:latin typeface="Arial" panose="020B0604020202020204" pitchFamily="34" charset="0"/>
              <a:ea typeface="+mn-ea"/>
              <a:cs typeface="Arial" panose="020B0604020202020204" pitchFamily="34" charset="0"/>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F0941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C1B56B">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BAF73">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AA6C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90C226">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4A02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6B91E">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1E3A8A">
              <a:alpha val="88000"/>
            </a:srgbClr>
          </a:solidFill>
          <a:ln>
            <a:solidFill>
              <a:sysClr val="windowText" lastClr="000000"/>
            </a:solidFill>
          </a:ln>
          <a:effectLst/>
        </c:spPr>
        <c:marker>
          <c:symbol val="none"/>
        </c:marker>
        <c:dLbl>
          <c:idx val="0"/>
          <c:spPr>
            <a:solidFill>
              <a:srgbClr val="A5B59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6F4E37">
              <a:alpha val="87843"/>
            </a:srgbClr>
          </a:solidFill>
          <a:ln>
            <a:solidFill>
              <a:sysClr val="windowText" lastClr="000000"/>
            </a:solidFill>
          </a:ln>
          <a:effectLst/>
        </c:spPr>
        <c:marker>
          <c:symbol val="none"/>
        </c:marker>
        <c:dLbl>
          <c:idx val="0"/>
          <c:spPr>
            <a:solidFill>
              <a:srgbClr val="F3A4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60A5FA">
              <a:alpha val="88000"/>
            </a:srgbClr>
          </a:solidFill>
          <a:ln>
            <a:solidFill>
              <a:sysClr val="windowText" lastClr="000000"/>
            </a:solidFill>
          </a:ln>
          <a:effectLst/>
        </c:spPr>
        <c:marker>
          <c:symbol val="none"/>
        </c:marker>
        <c:dLbl>
          <c:idx val="0"/>
          <c:spPr>
            <a:solidFill>
              <a:srgbClr val="E7BC29">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F59E0B">
              <a:alpha val="88000"/>
            </a:srgbClr>
          </a:solidFill>
          <a:ln>
            <a:solidFill>
              <a:sysClr val="windowText" lastClr="000000"/>
            </a:solidFill>
          </a:ln>
          <a:effectLst/>
        </c:spPr>
        <c:marker>
          <c:symbol val="none"/>
        </c:marker>
        <c:dLbl>
          <c:idx val="0"/>
          <c:spPr>
            <a:solidFill>
              <a:srgbClr val="D092A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space'!$B$3:$B$4</c:f>
              <c:strCache>
                <c:ptCount val="1"/>
                <c:pt idx="0">
                  <c:v>Bakery</c:v>
                </c:pt>
              </c:strCache>
            </c:strRef>
          </c:tx>
          <c:spPr>
            <a:solidFill>
              <a:srgbClr val="1E3A8A">
                <a:alpha val="88000"/>
              </a:srgbClr>
            </a:solidFill>
            <a:ln>
              <a:solidFill>
                <a:sysClr val="windowText" lastClr="000000"/>
              </a:solidFill>
            </a:ln>
            <a:effectLst/>
          </c:spPr>
          <c:invertIfNegative val="0"/>
          <c:cat>
            <c:strRef>
              <c:f>'working space'!$A$5:$A$8</c:f>
              <c:strCache>
                <c:ptCount val="3"/>
                <c:pt idx="0">
                  <c:v>Connaught Place</c:v>
                </c:pt>
                <c:pt idx="1">
                  <c:v>Cyber Hub</c:v>
                </c:pt>
                <c:pt idx="2">
                  <c:v>Indiranagar</c:v>
                </c:pt>
              </c:strCache>
            </c:strRef>
          </c:cat>
          <c:val>
            <c:numRef>
              <c:f>'working space'!$B$5:$B$8</c:f>
              <c:numCache>
                <c:formatCode>General</c:formatCode>
                <c:ptCount val="3"/>
                <c:pt idx="0">
                  <c:v>14500</c:v>
                </c:pt>
                <c:pt idx="1">
                  <c:v>12900</c:v>
                </c:pt>
                <c:pt idx="2">
                  <c:v>14700</c:v>
                </c:pt>
              </c:numCache>
            </c:numRef>
          </c:val>
          <c:extLst>
            <c:ext xmlns:c16="http://schemas.microsoft.com/office/drawing/2014/chart" uri="{C3380CC4-5D6E-409C-BE32-E72D297353CC}">
              <c16:uniqueId val="{00000000-D2B8-4C84-BE78-7D150E9A41F5}"/>
            </c:ext>
          </c:extLst>
        </c:ser>
        <c:ser>
          <c:idx val="1"/>
          <c:order val="1"/>
          <c:tx>
            <c:strRef>
              <c:f>'working space'!$C$3:$C$4</c:f>
              <c:strCache>
                <c:ptCount val="1"/>
                <c:pt idx="0">
                  <c:v>Beverages</c:v>
                </c:pt>
              </c:strCache>
            </c:strRef>
          </c:tx>
          <c:spPr>
            <a:solidFill>
              <a:srgbClr val="6F4E37">
                <a:alpha val="87843"/>
              </a:srgbClr>
            </a:solidFill>
            <a:ln>
              <a:solidFill>
                <a:sysClr val="windowText" lastClr="000000"/>
              </a:solidFill>
            </a:ln>
            <a:effectLst/>
          </c:spPr>
          <c:invertIfNegative val="0"/>
          <c:cat>
            <c:strRef>
              <c:f>'working space'!$A$5:$A$8</c:f>
              <c:strCache>
                <c:ptCount val="3"/>
                <c:pt idx="0">
                  <c:v>Connaught Place</c:v>
                </c:pt>
                <c:pt idx="1">
                  <c:v>Cyber Hub</c:v>
                </c:pt>
                <c:pt idx="2">
                  <c:v>Indiranagar</c:v>
                </c:pt>
              </c:strCache>
            </c:strRef>
          </c:cat>
          <c:val>
            <c:numRef>
              <c:f>'working space'!$C$5:$C$8</c:f>
              <c:numCache>
                <c:formatCode>General</c:formatCode>
                <c:ptCount val="3"/>
                <c:pt idx="0">
                  <c:v>10160</c:v>
                </c:pt>
                <c:pt idx="1">
                  <c:v>10240</c:v>
                </c:pt>
                <c:pt idx="2">
                  <c:v>9360</c:v>
                </c:pt>
              </c:numCache>
            </c:numRef>
          </c:val>
          <c:extLst>
            <c:ext xmlns:c16="http://schemas.microsoft.com/office/drawing/2014/chart" uri="{C3380CC4-5D6E-409C-BE32-E72D297353CC}">
              <c16:uniqueId val="{00000001-85B5-46DA-9B8F-FE640DA5418E}"/>
            </c:ext>
          </c:extLst>
        </c:ser>
        <c:ser>
          <c:idx val="2"/>
          <c:order val="2"/>
          <c:tx>
            <c:strRef>
              <c:f>'working space'!$D$3:$D$4</c:f>
              <c:strCache>
                <c:ptCount val="1"/>
                <c:pt idx="0">
                  <c:v>Coffee</c:v>
                </c:pt>
              </c:strCache>
            </c:strRef>
          </c:tx>
          <c:spPr>
            <a:solidFill>
              <a:srgbClr val="60A5FA">
                <a:alpha val="88000"/>
              </a:srgbClr>
            </a:solidFill>
            <a:ln>
              <a:solidFill>
                <a:sysClr val="windowText" lastClr="000000"/>
              </a:solidFill>
            </a:ln>
            <a:effectLst/>
          </c:spPr>
          <c:invertIfNegative val="0"/>
          <c:cat>
            <c:strRef>
              <c:f>'working space'!$A$5:$A$8</c:f>
              <c:strCache>
                <c:ptCount val="3"/>
                <c:pt idx="0">
                  <c:v>Connaught Place</c:v>
                </c:pt>
                <c:pt idx="1">
                  <c:v>Cyber Hub</c:v>
                </c:pt>
                <c:pt idx="2">
                  <c:v>Indiranagar</c:v>
                </c:pt>
              </c:strCache>
            </c:strRef>
          </c:cat>
          <c:val>
            <c:numRef>
              <c:f>'working space'!$D$5:$D$8</c:f>
              <c:numCache>
                <c:formatCode>General</c:formatCode>
                <c:ptCount val="3"/>
                <c:pt idx="0">
                  <c:v>9300</c:v>
                </c:pt>
                <c:pt idx="1">
                  <c:v>8340</c:v>
                </c:pt>
                <c:pt idx="2">
                  <c:v>7440</c:v>
                </c:pt>
              </c:numCache>
            </c:numRef>
          </c:val>
          <c:extLst>
            <c:ext xmlns:c16="http://schemas.microsoft.com/office/drawing/2014/chart" uri="{C3380CC4-5D6E-409C-BE32-E72D297353CC}">
              <c16:uniqueId val="{00000002-85B5-46DA-9B8F-FE640DA5418E}"/>
            </c:ext>
          </c:extLst>
        </c:ser>
        <c:ser>
          <c:idx val="3"/>
          <c:order val="3"/>
          <c:tx>
            <c:strRef>
              <c:f>'working space'!$E$3:$E$4</c:f>
              <c:strCache>
                <c:ptCount val="1"/>
                <c:pt idx="0">
                  <c:v>Tea</c:v>
                </c:pt>
              </c:strCache>
            </c:strRef>
          </c:tx>
          <c:spPr>
            <a:solidFill>
              <a:srgbClr val="F59E0B">
                <a:alpha val="88000"/>
              </a:srgbClr>
            </a:solidFill>
            <a:ln>
              <a:solidFill>
                <a:sysClr val="windowText" lastClr="000000"/>
              </a:solidFill>
            </a:ln>
            <a:effectLst/>
          </c:spPr>
          <c:invertIfNegative val="0"/>
          <c:cat>
            <c:strRef>
              <c:f>'working space'!$A$5:$A$8</c:f>
              <c:strCache>
                <c:ptCount val="3"/>
                <c:pt idx="0">
                  <c:v>Connaught Place</c:v>
                </c:pt>
                <c:pt idx="1">
                  <c:v>Cyber Hub</c:v>
                </c:pt>
                <c:pt idx="2">
                  <c:v>Indiranagar</c:v>
                </c:pt>
              </c:strCache>
            </c:strRef>
          </c:cat>
          <c:val>
            <c:numRef>
              <c:f>'working space'!$E$5:$E$8</c:f>
              <c:numCache>
                <c:formatCode>General</c:formatCode>
                <c:ptCount val="3"/>
                <c:pt idx="0">
                  <c:v>5600</c:v>
                </c:pt>
                <c:pt idx="1">
                  <c:v>4160</c:v>
                </c:pt>
                <c:pt idx="2">
                  <c:v>5080</c:v>
                </c:pt>
              </c:numCache>
            </c:numRef>
          </c:val>
          <c:extLst>
            <c:ext xmlns:c16="http://schemas.microsoft.com/office/drawing/2014/chart" uri="{C3380CC4-5D6E-409C-BE32-E72D297353CC}">
              <c16:uniqueId val="{00000003-85B5-46DA-9B8F-FE640DA5418E}"/>
            </c:ext>
          </c:extLst>
        </c:ser>
        <c:dLbls>
          <c:showLegendKey val="0"/>
          <c:showVal val="0"/>
          <c:showCatName val="0"/>
          <c:showSerName val="0"/>
          <c:showPercent val="0"/>
          <c:showBubbleSize val="0"/>
        </c:dLbls>
        <c:gapWidth val="150"/>
        <c:axId val="1271810224"/>
        <c:axId val="1311079600"/>
      </c:barChart>
      <c:catAx>
        <c:axId val="12718102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311079600"/>
        <c:crosses val="autoZero"/>
        <c:auto val="1"/>
        <c:lblAlgn val="ctr"/>
        <c:lblOffset val="100"/>
        <c:noMultiLvlLbl val="0"/>
      </c:catAx>
      <c:valAx>
        <c:axId val="1311079600"/>
        <c:scaling>
          <c:orientation val="minMax"/>
        </c:scaling>
        <c:delete val="0"/>
        <c:axPos val="l"/>
        <c:majorGridlines>
          <c:spPr>
            <a:ln w="9525">
              <a:solidFill>
                <a:schemeClr val="tx1">
                  <a:alpha val="2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27181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DASHBOARD.xlsx]working space!PivotTable9</c:name>
    <c:fmtId val="22"/>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r>
              <a:rPr lang="en-US">
                <a:latin typeface="Arial" panose="020B0604020202020204" pitchFamily="34" charset="0"/>
                <a:cs typeface="Arial" panose="020B0604020202020204" pitchFamily="34" charset="0"/>
              </a:rPr>
              <a:t>TOTAL </a:t>
            </a:r>
          </a:p>
          <a:p>
            <a:pPr>
              <a:defRPr>
                <a:latin typeface="Arial" panose="020B0604020202020204" pitchFamily="34" charset="0"/>
                <a:cs typeface="Arial" panose="020B0604020202020204" pitchFamily="34" charset="0"/>
              </a:defRPr>
            </a:pPr>
            <a:r>
              <a:rPr lang="en-US">
                <a:latin typeface="Arial" panose="020B0604020202020204" pitchFamily="34" charset="0"/>
                <a:cs typeface="Arial" panose="020B0604020202020204" pitchFamily="34" charset="0"/>
              </a:rPr>
              <a:t>CUSTOMER RATINGS</a:t>
            </a:r>
          </a:p>
        </c:rich>
      </c:tx>
      <c:overlay val="0"/>
      <c:spPr>
        <a:solidFill>
          <a:sysClr val="window" lastClr="FFFFFF"/>
        </a:solid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F4E37"/>
          </a:solidFill>
          <a:ln>
            <a:solidFill>
              <a:sysClr val="windowText" lastClr="000000"/>
            </a:solid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59E0B"/>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pivotFmt>
      <c:pivotFmt>
        <c:idx val="6"/>
        <c:spPr>
          <a:solidFill>
            <a:srgbClr val="1E3A8A"/>
          </a:solidFill>
          <a:ln>
            <a:solidFill>
              <a:srgbClr val="00CEC9"/>
            </a:solid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pivotFmt>
      <c:pivotFmt>
        <c:idx val="7"/>
        <c:spPr>
          <a:solidFill>
            <a:srgbClr val="6F4E37"/>
          </a:solidFill>
          <a:ln>
            <a:solidFill>
              <a:sysClr val="windowText" lastClr="000000"/>
            </a:solid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pivotFmt>
      <c:pivotFmt>
        <c:idx val="8"/>
        <c:spPr>
          <a:solidFill>
            <a:srgbClr val="60A5FA"/>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pivotFmt>
    </c:pivotFmts>
    <c:plotArea>
      <c:layout/>
      <c:barChart>
        <c:barDir val="bar"/>
        <c:grouping val="clustered"/>
        <c:varyColors val="0"/>
        <c:ser>
          <c:idx val="0"/>
          <c:order val="0"/>
          <c:tx>
            <c:strRef>
              <c:f>'working space'!$B$38</c:f>
              <c:strCache>
                <c:ptCount val="1"/>
                <c:pt idx="0">
                  <c:v>Total</c:v>
                </c:pt>
              </c:strCache>
            </c:strRef>
          </c:tx>
          <c:spPr>
            <a:solidFill>
              <a:srgbClr val="6F4E37"/>
            </a:solidFill>
            <a:ln>
              <a:solidFill>
                <a:sysClr val="windowText" lastClr="000000"/>
              </a:solid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invertIfNegative val="0"/>
          <c:dPt>
            <c:idx val="0"/>
            <c:invertIfNegative val="0"/>
            <c:bubble3D val="0"/>
            <c:spPr>
              <a:solidFill>
                <a:srgbClr val="1E3A8A"/>
              </a:solidFill>
              <a:ln>
                <a:solidFill>
                  <a:srgbClr val="00CEC9"/>
                </a:solid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extLst>
              <c:ext xmlns:c16="http://schemas.microsoft.com/office/drawing/2014/chart" uri="{C3380CC4-5D6E-409C-BE32-E72D297353CC}">
                <c16:uniqueId val="{00000002-2B29-464F-ACDB-54BCD16F776F}"/>
              </c:ext>
            </c:extLst>
          </c:dPt>
          <c:dPt>
            <c:idx val="1"/>
            <c:invertIfNegative val="0"/>
            <c:bubble3D val="0"/>
            <c:spPr>
              <a:solidFill>
                <a:srgbClr val="6F4E37"/>
              </a:solidFill>
              <a:ln>
                <a:solidFill>
                  <a:sysClr val="windowText" lastClr="000000"/>
                </a:solid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extLst>
              <c:ext xmlns:c16="http://schemas.microsoft.com/office/drawing/2014/chart" uri="{C3380CC4-5D6E-409C-BE32-E72D297353CC}">
                <c16:uniqueId val="{00000003-2B29-464F-ACDB-54BCD16F776F}"/>
              </c:ext>
            </c:extLst>
          </c:dPt>
          <c:dPt>
            <c:idx val="2"/>
            <c:invertIfNegative val="0"/>
            <c:bubble3D val="0"/>
            <c:spPr>
              <a:solidFill>
                <a:srgbClr val="60A5FA"/>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extLst>
              <c:ext xmlns:c16="http://schemas.microsoft.com/office/drawing/2014/chart" uri="{C3380CC4-5D6E-409C-BE32-E72D297353CC}">
                <c16:uniqueId val="{00000004-2B29-464F-ACDB-54BCD16F776F}"/>
              </c:ext>
            </c:extLst>
          </c:dPt>
          <c:dPt>
            <c:idx val="3"/>
            <c:invertIfNegative val="0"/>
            <c:bubble3D val="0"/>
            <c:spPr>
              <a:solidFill>
                <a:srgbClr val="F59E0B"/>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extLst>
              <c:ext xmlns:c16="http://schemas.microsoft.com/office/drawing/2014/chart" uri="{C3380CC4-5D6E-409C-BE32-E72D297353CC}">
                <c16:uniqueId val="{00000001-2B29-464F-ACDB-54BCD16F776F}"/>
              </c:ext>
            </c:extLst>
          </c:dPt>
          <c:dLbls>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'working space'!$A$39:$A$43</c:f>
              <c:strCache>
                <c:ptCount val="4"/>
                <c:pt idx="0">
                  <c:v>Bakery</c:v>
                </c:pt>
                <c:pt idx="1">
                  <c:v>Beverages</c:v>
                </c:pt>
                <c:pt idx="2">
                  <c:v>Coffee</c:v>
                </c:pt>
                <c:pt idx="3">
                  <c:v>Tea</c:v>
                </c:pt>
              </c:strCache>
            </c:strRef>
          </c:cat>
          <c:val>
            <c:numRef>
              <c:f>'working space'!$B$39:$B$43</c:f>
              <c:numCache>
                <c:formatCode>General</c:formatCode>
                <c:ptCount val="4"/>
                <c:pt idx="0">
                  <c:v>651</c:v>
                </c:pt>
                <c:pt idx="1">
                  <c:v>565</c:v>
                </c:pt>
                <c:pt idx="2">
                  <c:v>578</c:v>
                </c:pt>
                <c:pt idx="3">
                  <c:v>602</c:v>
                </c:pt>
              </c:numCache>
            </c:numRef>
          </c:val>
          <c:extLst>
            <c:ext xmlns:c16="http://schemas.microsoft.com/office/drawing/2014/chart" uri="{C3380CC4-5D6E-409C-BE32-E72D297353CC}">
              <c16:uniqueId val="{00000000-2B29-464F-ACDB-54BCD16F776F}"/>
            </c:ext>
          </c:extLst>
        </c:ser>
        <c:dLbls>
          <c:showLegendKey val="0"/>
          <c:showVal val="1"/>
          <c:showCatName val="0"/>
          <c:showSerName val="0"/>
          <c:showPercent val="0"/>
          <c:showBubbleSize val="0"/>
        </c:dLbls>
        <c:gapWidth val="150"/>
        <c:axId val="1332115248"/>
        <c:axId val="1311089680"/>
      </c:barChart>
      <c:catAx>
        <c:axId val="133211524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311089680"/>
        <c:crosses val="autoZero"/>
        <c:auto val="1"/>
        <c:lblAlgn val="ctr"/>
        <c:lblOffset val="100"/>
        <c:noMultiLvlLbl val="0"/>
      </c:catAx>
      <c:valAx>
        <c:axId val="1311089680"/>
        <c:scaling>
          <c:orientation val="minMax"/>
        </c:scaling>
        <c:delete val="1"/>
        <c:axPos val="b"/>
        <c:majorGridlines>
          <c:spPr>
            <a:ln w="9525" cap="flat" cmpd="sng" algn="ctr">
              <a:solidFill>
                <a:schemeClr val="tx1">
                  <a:alpha val="25000"/>
                </a:schemeClr>
              </a:solidFill>
              <a:round/>
            </a:ln>
            <a:effectLst/>
          </c:spPr>
        </c:majorGridlines>
        <c:numFmt formatCode="General" sourceLinked="1"/>
        <c:majorTickMark val="out"/>
        <c:minorTickMark val="none"/>
        <c:tickLblPos val="nextTo"/>
        <c:crossAx val="1332115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a:softEdge rad="31750"/>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DASHBOARD.xlsx]working space!PivotTable11</c:name>
    <c:fmtId val="28"/>
  </c:pivotSource>
  <c:chart>
    <c:title>
      <c:tx>
        <c:rich>
          <a:bodyPr rot="0" spcFirstLastPara="1" vertOverflow="ellipsis" vert="horz" wrap="square" anchor="ctr" anchorCtr="1"/>
          <a:lstStyle/>
          <a:p>
            <a:pPr>
              <a:defRPr sz="1800" b="1" i="0" u="none" strike="noStrike" kern="1200" spc="100" baseline="0">
                <a:solidFill>
                  <a:schemeClr val="tx1"/>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r>
              <a:rPr lang="en-IN" sz="1800">
                <a:solidFill>
                  <a:schemeClr val="tx1"/>
                </a:solidFill>
                <a:latin typeface="Arial" panose="020B0604020202020204" pitchFamily="34" charset="0"/>
                <a:cs typeface="Arial" panose="020B0604020202020204" pitchFamily="34" charset="0"/>
              </a:rPr>
              <a:t>Trend of Product sales</a:t>
            </a:r>
          </a:p>
        </c:rich>
      </c:tx>
      <c:overlay val="0"/>
      <c:spPr>
        <a:noFill/>
        <a:ln>
          <a:noFill/>
        </a:ln>
        <a:effectLst/>
      </c:spPr>
      <c:txPr>
        <a:bodyPr rot="0" spcFirstLastPara="1" vertOverflow="ellipsis" vert="horz" wrap="square" anchor="ctr" anchorCtr="1"/>
        <a:lstStyle/>
        <a:p>
          <a:pPr>
            <a:defRPr sz="1800" b="1" i="0" u="none" strike="noStrike" kern="1200" spc="100" baseline="0">
              <a:solidFill>
                <a:schemeClr val="tx1"/>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96000"/>
                  <a:lumMod val="100000"/>
                </a:schemeClr>
              </a:gs>
              <a:gs pos="78000">
                <a:schemeClr val="accent1">
                  <a:shade val="94000"/>
                  <a:lumMod val="94000"/>
                </a:schemeClr>
              </a:gs>
            </a:gsLst>
            <a:lin ang="5400000" scaled="0"/>
          </a:gradFill>
          <a:ln w="34925" cap="rnd">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96000"/>
                  <a:lumMod val="100000"/>
                </a:schemeClr>
              </a:gs>
              <a:gs pos="78000">
                <a:schemeClr val="accent1">
                  <a:shade val="94000"/>
                  <a:lumMod val="94000"/>
                </a:schemeClr>
              </a:gs>
            </a:gsLst>
            <a:lin ang="5400000" scaled="0"/>
          </a:gradFill>
          <a:ln w="34925" cap="rnd">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2">
                    <a:tint val="96000"/>
                    <a:lumMod val="100000"/>
                  </a:schemeClr>
                </a:gs>
                <a:gs pos="78000">
                  <a:schemeClr val="accent2">
                    <a:shade val="94000"/>
                    <a:lumMod val="94000"/>
                  </a:schemeClr>
                </a:gs>
              </a:gsLst>
              <a:lin ang="5400000" scaled="0"/>
            </a:gradFill>
            <a:ln w="9525">
              <a:solidFill>
                <a:schemeClr val="accent2"/>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6000"/>
                  <a:lumMod val="100000"/>
                </a:schemeClr>
              </a:gs>
              <a:gs pos="78000">
                <a:schemeClr val="accent1">
                  <a:shade val="94000"/>
                  <a:lumMod val="94000"/>
                </a:schemeClr>
              </a:gs>
            </a:gsLst>
            <a:lin ang="5400000" scaled="0"/>
          </a:gradFill>
          <a:ln w="34925" cap="rnd">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3">
                    <a:tint val="96000"/>
                    <a:lumMod val="100000"/>
                  </a:schemeClr>
                </a:gs>
                <a:gs pos="78000">
                  <a:schemeClr val="accent3">
                    <a:shade val="94000"/>
                    <a:lumMod val="94000"/>
                  </a:schemeClr>
                </a:gs>
              </a:gsLst>
              <a:lin ang="5400000" scaled="0"/>
            </a:gradFill>
            <a:ln w="9525">
              <a:solidFill>
                <a:schemeClr val="accent3"/>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96000"/>
                  <a:lumMod val="100000"/>
                </a:schemeClr>
              </a:gs>
              <a:gs pos="78000">
                <a:schemeClr val="accent1">
                  <a:shade val="94000"/>
                  <a:lumMod val="94000"/>
                </a:schemeClr>
              </a:gs>
            </a:gsLst>
            <a:lin ang="5400000" scaled="0"/>
          </a:gradFill>
          <a:ln w="34925" cap="rnd">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hade val="75000"/>
              <a:satMod val="160000"/>
            </a:schemeClr>
          </a:solidFill>
          <a:ln w="34925" cap="rnd">
            <a:solidFill>
              <a:schemeClr val="accent1"/>
            </a:solidFill>
            <a:round/>
          </a:ln>
          <a:effectLst>
            <a:outerShdw blurRad="50800" dist="38100" dir="5400000" rotWithShape="0">
              <a:srgbClr val="000000">
                <a:alpha val="3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hade val="75000"/>
              <a:satMod val="160000"/>
            </a:schemeClr>
          </a:solidFill>
          <a:ln w="34925" cap="rnd">
            <a:solidFill>
              <a:schemeClr val="accent1"/>
            </a:solidFill>
            <a:round/>
          </a:ln>
          <a:effectLst>
            <a:outerShdw blurRad="50800" dist="38100" dir="5400000" rotWithShape="0">
              <a:srgbClr val="000000">
                <a:alpha val="3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symbol val="circle"/>
          <c:size val="6"/>
          <c:spPr>
            <a:gradFill rotWithShape="1">
              <a:gsLst>
                <a:gs pos="0">
                  <a:schemeClr val="accent2">
                    <a:tint val="96000"/>
                    <a:lumMod val="100000"/>
                  </a:schemeClr>
                </a:gs>
                <a:gs pos="78000">
                  <a:schemeClr val="accent2">
                    <a:shade val="94000"/>
                    <a:lumMod val="94000"/>
                  </a:schemeClr>
                </a:gs>
              </a:gsLst>
              <a:lin ang="5400000" scaled="0"/>
            </a:gradFill>
            <a:ln w="9525">
              <a:solidFill>
                <a:schemeClr val="accent2"/>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hade val="75000"/>
              <a:satMod val="160000"/>
            </a:schemeClr>
          </a:solidFill>
          <a:ln w="34925" cap="rnd">
            <a:solidFill>
              <a:schemeClr val="accent1"/>
            </a:solidFill>
            <a:round/>
          </a:ln>
          <a:effectLst>
            <a:outerShdw blurRad="50800" dist="38100" dir="5400000" rotWithShape="0">
              <a:srgbClr val="000000">
                <a:alpha val="3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symbol val="circle"/>
          <c:size val="6"/>
          <c:spPr>
            <a:gradFill rotWithShape="1">
              <a:gsLst>
                <a:gs pos="0">
                  <a:schemeClr val="accent3">
                    <a:tint val="96000"/>
                    <a:lumMod val="100000"/>
                  </a:schemeClr>
                </a:gs>
                <a:gs pos="78000">
                  <a:schemeClr val="accent3">
                    <a:shade val="94000"/>
                    <a:lumMod val="94000"/>
                  </a:schemeClr>
                </a:gs>
              </a:gsLst>
              <a:lin ang="5400000" scaled="0"/>
            </a:gradFill>
            <a:ln w="9525">
              <a:solidFill>
                <a:schemeClr val="accent3"/>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34925" cap="rnd">
            <a:solidFill>
              <a:srgbClr val="1E3A8A"/>
            </a:solidFill>
            <a:round/>
          </a:ln>
          <a:effectLst>
            <a:outerShdw blurRad="76200" dist="25400" dir="5400000" algn="tl" rotWithShape="0">
              <a:srgbClr val="000000">
                <a:alpha val="55000"/>
              </a:srgbClr>
            </a:outerShdw>
          </a:effectLst>
        </c:spPr>
        <c:marker>
          <c:symbol val="circle"/>
          <c:size val="4"/>
          <c:spPr>
            <a:solidFill>
              <a:srgbClr val="EEF595"/>
            </a:solidFill>
            <a:ln w="3175" cap="rnd">
              <a:solidFill>
                <a:schemeClr val="accent1">
                  <a:alpha val="48000"/>
                </a:schemeClr>
              </a:solidFill>
              <a:round/>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34925" cap="rnd">
            <a:solidFill>
              <a:srgbClr val="6F4E37"/>
            </a:solidFill>
            <a:round/>
          </a:ln>
          <a:effectLst>
            <a:outerShdw blurRad="76200" dist="25400" dir="5400000" algn="tl" rotWithShape="0">
              <a:srgbClr val="000000">
                <a:alpha val="55000"/>
              </a:srgbClr>
            </a:outerShdw>
          </a:effectLst>
        </c:spPr>
        <c:marker>
          <c:symbol val="circle"/>
          <c:size val="4"/>
          <c:spPr>
            <a:solidFill>
              <a:srgbClr val="FFC000"/>
            </a:solidFill>
            <a:ln w="3175" cap="rnd">
              <a:solidFill>
                <a:srgbClr val="6F4E37">
                  <a:alpha val="49000"/>
                </a:srgbClr>
              </a:solidFill>
              <a:round/>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4925" cap="rnd">
            <a:solidFill>
              <a:srgbClr val="60A5FA"/>
            </a:solidFill>
            <a:round/>
          </a:ln>
          <a:effectLst>
            <a:outerShdw blurRad="76200" dist="25400" dir="5400000" algn="tl" rotWithShape="0">
              <a:srgbClr val="000000">
                <a:alpha val="55000"/>
              </a:srgbClr>
            </a:outerShdw>
          </a:effectLst>
        </c:spPr>
        <c:marker>
          <c:symbol val="circle"/>
          <c:size val="4"/>
          <c:spPr>
            <a:solidFill>
              <a:srgbClr val="FF0000"/>
            </a:solidFill>
            <a:ln w="3175" cap="rnd">
              <a:solidFill>
                <a:schemeClr val="accent3">
                  <a:alpha val="49000"/>
                </a:schemeClr>
              </a:solidFill>
              <a:round/>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31750" cap="rnd">
            <a:solidFill>
              <a:srgbClr val="F59E0B"/>
            </a:solidFill>
            <a:round/>
          </a:ln>
          <a:effectLst>
            <a:outerShdw blurRad="76200" dist="25400" dir="5400000" algn="tl" rotWithShape="0">
              <a:srgbClr val="000000">
                <a:alpha val="55000"/>
              </a:srgbClr>
            </a:outerShdw>
          </a:effectLst>
        </c:spPr>
        <c:marker>
          <c:symbol val="circle"/>
          <c:size val="4"/>
          <c:spPr>
            <a:solidFill>
              <a:srgbClr val="7030A0"/>
            </a:solidFill>
            <a:ln w="3175" cap="rnd">
              <a:solidFill>
                <a:schemeClr val="accent4">
                  <a:alpha val="48000"/>
                </a:schemeClr>
              </a:solidFill>
              <a:round/>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580927384077"/>
          <c:y val="0.14712744240303297"/>
          <c:w val="0.6023635170603675"/>
          <c:h val="0.65853091280256637"/>
        </c:manualLayout>
      </c:layout>
      <c:lineChart>
        <c:grouping val="standard"/>
        <c:varyColors val="0"/>
        <c:ser>
          <c:idx val="0"/>
          <c:order val="0"/>
          <c:tx>
            <c:strRef>
              <c:f>'working space'!$B$72:$B$73</c:f>
              <c:strCache>
                <c:ptCount val="1"/>
                <c:pt idx="0">
                  <c:v>Bakery</c:v>
                </c:pt>
              </c:strCache>
            </c:strRef>
          </c:tx>
          <c:spPr>
            <a:ln w="34925" cap="rnd">
              <a:solidFill>
                <a:srgbClr val="1E3A8A"/>
              </a:solidFill>
              <a:round/>
            </a:ln>
            <a:effectLst>
              <a:outerShdw blurRad="76200" dist="25400" dir="5400000" algn="tl" rotWithShape="0">
                <a:srgbClr val="000000">
                  <a:alpha val="55000"/>
                </a:srgbClr>
              </a:outerShdw>
            </a:effectLst>
          </c:spPr>
          <c:marker>
            <c:symbol val="circle"/>
            <c:size val="4"/>
            <c:spPr>
              <a:solidFill>
                <a:srgbClr val="EEF595"/>
              </a:solidFill>
              <a:ln w="3175" cap="rnd">
                <a:solidFill>
                  <a:schemeClr val="accent1">
                    <a:alpha val="48000"/>
                  </a:schemeClr>
                </a:solidFill>
                <a:round/>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cat>
            <c:strRef>
              <c:f>'working space'!$A$74:$A$80</c:f>
              <c:strCache>
                <c:ptCount val="6"/>
                <c:pt idx="0">
                  <c:v>Jan</c:v>
                </c:pt>
                <c:pt idx="1">
                  <c:v>Feb</c:v>
                </c:pt>
                <c:pt idx="2">
                  <c:v>Mar</c:v>
                </c:pt>
                <c:pt idx="3">
                  <c:v>Apr</c:v>
                </c:pt>
                <c:pt idx="4">
                  <c:v>May</c:v>
                </c:pt>
                <c:pt idx="5">
                  <c:v>Jun</c:v>
                </c:pt>
              </c:strCache>
            </c:strRef>
          </c:cat>
          <c:val>
            <c:numRef>
              <c:f>'working space'!$B$74:$B$80</c:f>
              <c:numCache>
                <c:formatCode>General</c:formatCode>
                <c:ptCount val="6"/>
                <c:pt idx="0">
                  <c:v>4800</c:v>
                </c:pt>
                <c:pt idx="1">
                  <c:v>6200</c:v>
                </c:pt>
                <c:pt idx="2">
                  <c:v>8400</c:v>
                </c:pt>
                <c:pt idx="3">
                  <c:v>8700</c:v>
                </c:pt>
                <c:pt idx="4">
                  <c:v>6500</c:v>
                </c:pt>
                <c:pt idx="5">
                  <c:v>7500</c:v>
                </c:pt>
              </c:numCache>
            </c:numRef>
          </c:val>
          <c:smooth val="0"/>
          <c:extLst>
            <c:ext xmlns:c16="http://schemas.microsoft.com/office/drawing/2014/chart" uri="{C3380CC4-5D6E-409C-BE32-E72D297353CC}">
              <c16:uniqueId val="{00000000-F573-4646-9F79-EDD489FE7E42}"/>
            </c:ext>
          </c:extLst>
        </c:ser>
        <c:ser>
          <c:idx val="1"/>
          <c:order val="1"/>
          <c:tx>
            <c:strRef>
              <c:f>'working space'!$C$72:$C$73</c:f>
              <c:strCache>
                <c:ptCount val="1"/>
                <c:pt idx="0">
                  <c:v>Beverages</c:v>
                </c:pt>
              </c:strCache>
            </c:strRef>
          </c:tx>
          <c:spPr>
            <a:ln w="34925" cap="rnd">
              <a:solidFill>
                <a:srgbClr val="6F4E37"/>
              </a:solidFill>
              <a:round/>
            </a:ln>
            <a:effectLst>
              <a:outerShdw blurRad="76200" dist="25400" dir="5400000" algn="tl" rotWithShape="0">
                <a:srgbClr val="000000">
                  <a:alpha val="55000"/>
                </a:srgbClr>
              </a:outerShdw>
            </a:effectLst>
          </c:spPr>
          <c:marker>
            <c:symbol val="circle"/>
            <c:size val="4"/>
            <c:spPr>
              <a:solidFill>
                <a:srgbClr val="FFC000"/>
              </a:solidFill>
              <a:ln w="3175" cap="rnd">
                <a:solidFill>
                  <a:srgbClr val="6F4E37">
                    <a:alpha val="49000"/>
                  </a:srgbClr>
                </a:solidFill>
                <a:round/>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cat>
            <c:strRef>
              <c:f>'working space'!$A$74:$A$80</c:f>
              <c:strCache>
                <c:ptCount val="6"/>
                <c:pt idx="0">
                  <c:v>Jan</c:v>
                </c:pt>
                <c:pt idx="1">
                  <c:v>Feb</c:v>
                </c:pt>
                <c:pt idx="2">
                  <c:v>Mar</c:v>
                </c:pt>
                <c:pt idx="3">
                  <c:v>Apr</c:v>
                </c:pt>
                <c:pt idx="4">
                  <c:v>May</c:v>
                </c:pt>
                <c:pt idx="5">
                  <c:v>Jun</c:v>
                </c:pt>
              </c:strCache>
            </c:strRef>
          </c:cat>
          <c:val>
            <c:numRef>
              <c:f>'working space'!$C$74:$C$80</c:f>
              <c:numCache>
                <c:formatCode>General</c:formatCode>
                <c:ptCount val="6"/>
                <c:pt idx="0">
                  <c:v>4320</c:v>
                </c:pt>
                <c:pt idx="1">
                  <c:v>5360</c:v>
                </c:pt>
                <c:pt idx="2">
                  <c:v>5680</c:v>
                </c:pt>
                <c:pt idx="3">
                  <c:v>6320</c:v>
                </c:pt>
                <c:pt idx="4">
                  <c:v>4160</c:v>
                </c:pt>
                <c:pt idx="5">
                  <c:v>3920</c:v>
                </c:pt>
              </c:numCache>
            </c:numRef>
          </c:val>
          <c:smooth val="0"/>
          <c:extLst>
            <c:ext xmlns:c16="http://schemas.microsoft.com/office/drawing/2014/chart" uri="{C3380CC4-5D6E-409C-BE32-E72D297353CC}">
              <c16:uniqueId val="{00000001-FDD4-421E-B481-D3E88C53EF9C}"/>
            </c:ext>
          </c:extLst>
        </c:ser>
        <c:ser>
          <c:idx val="2"/>
          <c:order val="2"/>
          <c:tx>
            <c:strRef>
              <c:f>'working space'!$D$72:$D$73</c:f>
              <c:strCache>
                <c:ptCount val="1"/>
                <c:pt idx="0">
                  <c:v>Coffee</c:v>
                </c:pt>
              </c:strCache>
            </c:strRef>
          </c:tx>
          <c:spPr>
            <a:ln w="34925" cap="rnd">
              <a:solidFill>
                <a:srgbClr val="60A5FA"/>
              </a:solidFill>
              <a:round/>
            </a:ln>
            <a:effectLst>
              <a:outerShdw blurRad="76200" dist="25400" dir="5400000" algn="tl" rotWithShape="0">
                <a:srgbClr val="000000">
                  <a:alpha val="55000"/>
                </a:srgbClr>
              </a:outerShdw>
            </a:effectLst>
          </c:spPr>
          <c:marker>
            <c:symbol val="circle"/>
            <c:size val="4"/>
            <c:spPr>
              <a:solidFill>
                <a:srgbClr val="FF0000"/>
              </a:solidFill>
              <a:ln w="3175" cap="rnd">
                <a:solidFill>
                  <a:schemeClr val="accent3">
                    <a:alpha val="49000"/>
                  </a:schemeClr>
                </a:solidFill>
                <a:round/>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cat>
            <c:strRef>
              <c:f>'working space'!$A$74:$A$80</c:f>
              <c:strCache>
                <c:ptCount val="6"/>
                <c:pt idx="0">
                  <c:v>Jan</c:v>
                </c:pt>
                <c:pt idx="1">
                  <c:v>Feb</c:v>
                </c:pt>
                <c:pt idx="2">
                  <c:v>Mar</c:v>
                </c:pt>
                <c:pt idx="3">
                  <c:v>Apr</c:v>
                </c:pt>
                <c:pt idx="4">
                  <c:v>May</c:v>
                </c:pt>
                <c:pt idx="5">
                  <c:v>Jun</c:v>
                </c:pt>
              </c:strCache>
            </c:strRef>
          </c:cat>
          <c:val>
            <c:numRef>
              <c:f>'working space'!$D$74:$D$80</c:f>
              <c:numCache>
                <c:formatCode>General</c:formatCode>
                <c:ptCount val="6"/>
                <c:pt idx="0">
                  <c:v>5520</c:v>
                </c:pt>
                <c:pt idx="1">
                  <c:v>4440</c:v>
                </c:pt>
                <c:pt idx="2">
                  <c:v>3480</c:v>
                </c:pt>
                <c:pt idx="3">
                  <c:v>3300</c:v>
                </c:pt>
                <c:pt idx="4">
                  <c:v>3960</c:v>
                </c:pt>
                <c:pt idx="5">
                  <c:v>4380</c:v>
                </c:pt>
              </c:numCache>
            </c:numRef>
          </c:val>
          <c:smooth val="0"/>
          <c:extLst>
            <c:ext xmlns:c16="http://schemas.microsoft.com/office/drawing/2014/chart" uri="{C3380CC4-5D6E-409C-BE32-E72D297353CC}">
              <c16:uniqueId val="{00000002-FDD4-421E-B481-D3E88C53EF9C}"/>
            </c:ext>
          </c:extLst>
        </c:ser>
        <c:ser>
          <c:idx val="3"/>
          <c:order val="3"/>
          <c:tx>
            <c:strRef>
              <c:f>'working space'!$E$72:$E$73</c:f>
              <c:strCache>
                <c:ptCount val="1"/>
                <c:pt idx="0">
                  <c:v>Tea</c:v>
                </c:pt>
              </c:strCache>
            </c:strRef>
          </c:tx>
          <c:spPr>
            <a:ln w="31750" cap="rnd">
              <a:solidFill>
                <a:srgbClr val="F59E0B"/>
              </a:solidFill>
              <a:round/>
            </a:ln>
            <a:effectLst>
              <a:outerShdw blurRad="76200" dist="25400" dir="5400000" algn="tl" rotWithShape="0">
                <a:srgbClr val="000000">
                  <a:alpha val="55000"/>
                </a:srgbClr>
              </a:outerShdw>
            </a:effectLst>
          </c:spPr>
          <c:marker>
            <c:symbol val="circle"/>
            <c:size val="4"/>
            <c:spPr>
              <a:solidFill>
                <a:srgbClr val="7030A0"/>
              </a:solidFill>
              <a:ln w="3175" cap="rnd">
                <a:solidFill>
                  <a:schemeClr val="accent4">
                    <a:alpha val="48000"/>
                  </a:schemeClr>
                </a:solidFill>
                <a:round/>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cat>
            <c:strRef>
              <c:f>'working space'!$A$74:$A$80</c:f>
              <c:strCache>
                <c:ptCount val="6"/>
                <c:pt idx="0">
                  <c:v>Jan</c:v>
                </c:pt>
                <c:pt idx="1">
                  <c:v>Feb</c:v>
                </c:pt>
                <c:pt idx="2">
                  <c:v>Mar</c:v>
                </c:pt>
                <c:pt idx="3">
                  <c:v>Apr</c:v>
                </c:pt>
                <c:pt idx="4">
                  <c:v>May</c:v>
                </c:pt>
                <c:pt idx="5">
                  <c:v>Jun</c:v>
                </c:pt>
              </c:strCache>
            </c:strRef>
          </c:cat>
          <c:val>
            <c:numRef>
              <c:f>'working space'!$E$74:$E$80</c:f>
              <c:numCache>
                <c:formatCode>General</c:formatCode>
                <c:ptCount val="6"/>
                <c:pt idx="0">
                  <c:v>2280</c:v>
                </c:pt>
                <c:pt idx="1">
                  <c:v>2120</c:v>
                </c:pt>
                <c:pt idx="2">
                  <c:v>2720</c:v>
                </c:pt>
                <c:pt idx="3">
                  <c:v>2000</c:v>
                </c:pt>
                <c:pt idx="4">
                  <c:v>2760</c:v>
                </c:pt>
                <c:pt idx="5">
                  <c:v>2960</c:v>
                </c:pt>
              </c:numCache>
            </c:numRef>
          </c:val>
          <c:smooth val="0"/>
          <c:extLst>
            <c:ext xmlns:c16="http://schemas.microsoft.com/office/drawing/2014/chart" uri="{C3380CC4-5D6E-409C-BE32-E72D297353CC}">
              <c16:uniqueId val="{00000003-FDD4-421E-B481-D3E88C53EF9C}"/>
            </c:ext>
          </c:extLst>
        </c:ser>
        <c:dLbls>
          <c:showLegendKey val="0"/>
          <c:showVal val="0"/>
          <c:showCatName val="0"/>
          <c:showSerName val="0"/>
          <c:showPercent val="0"/>
          <c:showBubbleSize val="0"/>
        </c:dLbls>
        <c:marker val="1"/>
        <c:smooth val="0"/>
        <c:axId val="991078912"/>
        <c:axId val="1311076720"/>
      </c:lineChart>
      <c:catAx>
        <c:axId val="991078912"/>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alpha val="37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1311076720"/>
        <c:crosses val="autoZero"/>
        <c:auto val="1"/>
        <c:lblAlgn val="ctr"/>
        <c:lblOffset val="100"/>
        <c:noMultiLvlLbl val="0"/>
      </c:catAx>
      <c:valAx>
        <c:axId val="1311076720"/>
        <c:scaling>
          <c:orientation val="minMax"/>
        </c:scaling>
        <c:delete val="0"/>
        <c:axPos val="l"/>
        <c:majorGridlines>
          <c:spPr>
            <a:ln w="9525" cap="flat" cmpd="sng" algn="ctr">
              <a:solidFill>
                <a:schemeClr val="tx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99107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a:softEdge rad="3175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 DASHBOARD.xlsx]working space!PivotTable10</c:name>
    <c:fmtId val="34"/>
  </c:pivotSource>
  <c:chart>
    <c:title>
      <c:tx>
        <c:rich>
          <a:bodyPr rot="0" spcFirstLastPara="1" vertOverflow="ellipsis" vert="horz" wrap="square" anchor="ctr" anchorCtr="1"/>
          <a:lstStyle/>
          <a:p>
            <a:pPr>
              <a:defRPr sz="2000" b="1" i="0" u="none" strike="noStrike" kern="1200" spc="100" baseline="0">
                <a:solidFill>
                  <a:schemeClr val="tx1"/>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r>
              <a:rPr lang="en-IN" sz="2000">
                <a:latin typeface="Arial" panose="020B0604020202020204" pitchFamily="34" charset="0"/>
                <a:cs typeface="Arial" panose="020B0604020202020204" pitchFamily="34" charset="0"/>
              </a:rPr>
              <a:t>Revenue by category</a:t>
            </a:r>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tx1"/>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endParaRPr lang="en-US"/>
        </a:p>
      </c:txPr>
    </c:title>
    <c:autoTitleDeleted val="0"/>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Lbl>
          <c:idx val="0"/>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CC3399"/>
          </a:soli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9"/>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0"/>
      </c:pivotFmt>
      <c:pivotFmt>
        <c:idx val="1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Lbl>
          <c:idx val="0"/>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CC3399"/>
          </a:soli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5"/>
        <c:spPr>
          <a:solidFill>
            <a:srgbClr val="6F4E37"/>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rgbClr val="1E3A8A"/>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dLbl>
          <c:idx val="0"/>
          <c:layout>
            <c:manualLayout>
              <c:x val="9.421062208176724E-2"/>
              <c:y val="2.6024419648243844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6F4E37"/>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dLbl>
          <c:idx val="0"/>
          <c:layout>
            <c:manualLayout>
              <c:x val="0.21615725510826345"/>
              <c:y val="2.1544273434965379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60A5FA"/>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dLbl>
          <c:idx val="0"/>
          <c:layout>
            <c:manualLayout>
              <c:x val="-8.453958061954657E-2"/>
              <c:y val="8.9109148448830288E-3"/>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F59E0B"/>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dLbl>
          <c:idx val="0"/>
          <c:layout>
            <c:manualLayout>
              <c:x val="-8.6997310258247182E-2"/>
              <c:y val="-7.4405408722932304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3434544330871346"/>
          <c:y val="0.32889887955249397"/>
          <c:w val="0.32169059729888577"/>
          <c:h val="0.58333759657091488"/>
        </c:manualLayout>
      </c:layout>
      <c:doughnutChart>
        <c:varyColors val="1"/>
        <c:ser>
          <c:idx val="0"/>
          <c:order val="0"/>
          <c:tx>
            <c:strRef>
              <c:f>'working space'!$B$55</c:f>
              <c:strCache>
                <c:ptCount val="1"/>
                <c:pt idx="0">
                  <c:v>Total</c:v>
                </c:pt>
              </c:strCache>
            </c:strRef>
          </c:tx>
          <c:spPr>
            <a:solidFill>
              <a:srgbClr val="6F4E37"/>
            </a:solidFill>
          </c:spPr>
          <c:dPt>
            <c:idx val="0"/>
            <c:bubble3D val="0"/>
            <c:spPr>
              <a:solidFill>
                <a:srgbClr val="1E3A8A"/>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extLst>
              <c:ext xmlns:c16="http://schemas.microsoft.com/office/drawing/2014/chart" uri="{C3380CC4-5D6E-409C-BE32-E72D297353CC}">
                <c16:uniqueId val="{00000001-39DA-44D7-8526-66691D362775}"/>
              </c:ext>
            </c:extLst>
          </c:dPt>
          <c:dPt>
            <c:idx val="1"/>
            <c:bubble3D val="0"/>
            <c:spPr>
              <a:solidFill>
                <a:srgbClr val="6F4E37"/>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extLst>
              <c:ext xmlns:c16="http://schemas.microsoft.com/office/drawing/2014/chart" uri="{C3380CC4-5D6E-409C-BE32-E72D297353CC}">
                <c16:uniqueId val="{00000003-39DA-44D7-8526-66691D362775}"/>
              </c:ext>
            </c:extLst>
          </c:dPt>
          <c:dPt>
            <c:idx val="2"/>
            <c:bubble3D val="0"/>
            <c:spPr>
              <a:solidFill>
                <a:srgbClr val="60A5FA"/>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extLst>
              <c:ext xmlns:c16="http://schemas.microsoft.com/office/drawing/2014/chart" uri="{C3380CC4-5D6E-409C-BE32-E72D297353CC}">
                <c16:uniqueId val="{00000005-39DA-44D7-8526-66691D362775}"/>
              </c:ext>
            </c:extLst>
          </c:dPt>
          <c:dPt>
            <c:idx val="3"/>
            <c:bubble3D val="0"/>
            <c:spPr>
              <a:solidFill>
                <a:srgbClr val="F59E0B"/>
              </a:solidFill>
              <a:ln>
                <a:noFill/>
              </a:ln>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rgbClr r="0" g="0" b="0">
                    <a:shade val="25000"/>
                    <a:satMod val="140000"/>
                  </a:scrgbClr>
                </a:contourClr>
              </a:sp3d>
            </c:spPr>
            <c:extLst>
              <c:ext xmlns:c16="http://schemas.microsoft.com/office/drawing/2014/chart" uri="{C3380CC4-5D6E-409C-BE32-E72D297353CC}">
                <c16:uniqueId val="{00000007-39DA-44D7-8526-66691D362775}"/>
              </c:ext>
            </c:extLst>
          </c:dPt>
          <c:dLbls>
            <c:dLbl>
              <c:idx val="0"/>
              <c:layout>
                <c:manualLayout>
                  <c:x val="9.421062208176724E-2"/>
                  <c:y val="2.602441964824384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9DA-44D7-8526-66691D362775}"/>
                </c:ext>
              </c:extLst>
            </c:dLbl>
            <c:dLbl>
              <c:idx val="1"/>
              <c:layout>
                <c:manualLayout>
                  <c:x val="0.21615725510826345"/>
                  <c:y val="2.154427343496537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9DA-44D7-8526-66691D362775}"/>
                </c:ext>
              </c:extLst>
            </c:dLbl>
            <c:dLbl>
              <c:idx val="2"/>
              <c:layout>
                <c:manualLayout>
                  <c:x val="-8.453958061954657E-2"/>
                  <c:y val="8.9109148448830288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9DA-44D7-8526-66691D362775}"/>
                </c:ext>
              </c:extLst>
            </c:dLbl>
            <c:dLbl>
              <c:idx val="3"/>
              <c:layout>
                <c:manualLayout>
                  <c:x val="-8.6997310258247182E-2"/>
                  <c:y val="-7.440540872293230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9DA-44D7-8526-66691D362775}"/>
                </c:ext>
              </c:extLst>
            </c:dLbl>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'working space'!$A$56:$A$60</c:f>
              <c:strCache>
                <c:ptCount val="4"/>
                <c:pt idx="0">
                  <c:v>Bakery</c:v>
                </c:pt>
                <c:pt idx="1">
                  <c:v>Beverages</c:v>
                </c:pt>
                <c:pt idx="2">
                  <c:v>Coffee</c:v>
                </c:pt>
                <c:pt idx="3">
                  <c:v>Tea</c:v>
                </c:pt>
              </c:strCache>
            </c:strRef>
          </c:cat>
          <c:val>
            <c:numRef>
              <c:f>'working space'!$B$56:$B$60</c:f>
              <c:numCache>
                <c:formatCode>General</c:formatCode>
                <c:ptCount val="4"/>
                <c:pt idx="0">
                  <c:v>42100</c:v>
                </c:pt>
                <c:pt idx="1">
                  <c:v>29760</c:v>
                </c:pt>
                <c:pt idx="2">
                  <c:v>25080</c:v>
                </c:pt>
                <c:pt idx="3">
                  <c:v>14840</c:v>
                </c:pt>
              </c:numCache>
            </c:numRef>
          </c:val>
          <c:extLst>
            <c:ext xmlns:c16="http://schemas.microsoft.com/office/drawing/2014/chart" uri="{C3380CC4-5D6E-409C-BE32-E72D297353CC}">
              <c16:uniqueId val="{00000008-39DA-44D7-8526-66691D362775}"/>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27932263185480699"/>
          <c:y val="0.15413590253151632"/>
          <c:w val="0.52045582417358416"/>
          <c:h val="0.1186328278440268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a:noFill/>
    </a:ln>
    <a:effectLst/>
  </c:spPr>
  <c:txPr>
    <a:bodyPr/>
    <a:lstStyle/>
    <a:p>
      <a:pPr>
        <a:defRPr>
          <a:solidFill>
            <a:schemeClr val="tx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8.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7.xml"/><Relationship Id="rId16" Type="http://schemas.openxmlformats.org/officeDocument/2006/relationships/image" Target="../media/image12.svg"/><Relationship Id="rId1" Type="http://schemas.openxmlformats.org/officeDocument/2006/relationships/chart" Target="../charts/chart6.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image" Target="../media/image11.png"/><Relationship Id="rId10" Type="http://schemas.openxmlformats.org/officeDocument/2006/relationships/image" Target="../media/image6.svg"/><Relationship Id="rId4" Type="http://schemas.openxmlformats.org/officeDocument/2006/relationships/chart" Target="../charts/chart9.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6</xdr:col>
      <xdr:colOff>44450</xdr:colOff>
      <xdr:row>0</xdr:row>
      <xdr:rowOff>117475</xdr:rowOff>
    </xdr:from>
    <xdr:to>
      <xdr:col>13</xdr:col>
      <xdr:colOff>349250</xdr:colOff>
      <xdr:row>15</xdr:row>
      <xdr:rowOff>98425</xdr:rowOff>
    </xdr:to>
    <xdr:graphicFrame macro="">
      <xdr:nvGraphicFramePr>
        <xdr:cNvPr id="2" name="Chart 1">
          <a:extLst>
            <a:ext uri="{FF2B5EF4-FFF2-40B4-BE49-F238E27FC236}">
              <a16:creationId xmlns:a16="http://schemas.microsoft.com/office/drawing/2014/main" id="{0131BE7D-07DA-F95E-0F87-835A86AFF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1173544</xdr:colOff>
      <xdr:row>16</xdr:row>
      <xdr:rowOff>159634</xdr:rowOff>
    </xdr:from>
    <xdr:to>
      <xdr:col>7</xdr:col>
      <xdr:colOff>1470145</xdr:colOff>
      <xdr:row>31</xdr:row>
      <xdr:rowOff>129733</xdr:rowOff>
    </xdr:to>
    <xdr:graphicFrame macro="">
      <xdr:nvGraphicFramePr>
        <xdr:cNvPr id="3" name="Chart 2">
          <a:extLst>
            <a:ext uri="{FF2B5EF4-FFF2-40B4-BE49-F238E27FC236}">
              <a16:creationId xmlns:a16="http://schemas.microsoft.com/office/drawing/2014/main" id="{A66F7373-FB48-9E55-D97A-AF3BE614FB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78241</xdr:colOff>
      <xdr:row>33</xdr:row>
      <xdr:rowOff>79828</xdr:rowOff>
    </xdr:from>
    <xdr:to>
      <xdr:col>7</xdr:col>
      <xdr:colOff>1531938</xdr:colOff>
      <xdr:row>48</xdr:row>
      <xdr:rowOff>101600</xdr:rowOff>
    </xdr:to>
    <xdr:graphicFrame macro="">
      <xdr:nvGraphicFramePr>
        <xdr:cNvPr id="4" name="Chart 3">
          <a:extLst>
            <a:ext uri="{FF2B5EF4-FFF2-40B4-BE49-F238E27FC236}">
              <a16:creationId xmlns:a16="http://schemas.microsoft.com/office/drawing/2014/main" id="{F06EE030-3B09-9294-BB88-43D49848EB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55563</xdr:colOff>
      <xdr:row>52</xdr:row>
      <xdr:rowOff>108176</xdr:rowOff>
    </xdr:from>
    <xdr:to>
      <xdr:col>7</xdr:col>
      <xdr:colOff>1509259</xdr:colOff>
      <xdr:row>67</xdr:row>
      <xdr:rowOff>129948</xdr:rowOff>
    </xdr:to>
    <xdr:graphicFrame macro="">
      <xdr:nvGraphicFramePr>
        <xdr:cNvPr id="5" name="Chart 4">
          <a:extLst>
            <a:ext uri="{FF2B5EF4-FFF2-40B4-BE49-F238E27FC236}">
              <a16:creationId xmlns:a16="http://schemas.microsoft.com/office/drawing/2014/main" id="{468EC5AD-FE9F-C61C-698D-A2C04BF9A7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71438</xdr:colOff>
      <xdr:row>70</xdr:row>
      <xdr:rowOff>171678</xdr:rowOff>
    </xdr:from>
    <xdr:to>
      <xdr:col>9</xdr:col>
      <xdr:colOff>531814</xdr:colOff>
      <xdr:row>86</xdr:row>
      <xdr:rowOff>12021</xdr:rowOff>
    </xdr:to>
    <xdr:graphicFrame macro="">
      <xdr:nvGraphicFramePr>
        <xdr:cNvPr id="6" name="Chart 5">
          <a:extLst>
            <a:ext uri="{FF2B5EF4-FFF2-40B4-BE49-F238E27FC236}">
              <a16:creationId xmlns:a16="http://schemas.microsoft.com/office/drawing/2014/main" id="{66D4FDF0-A45F-7BA2-DD53-157E6F3886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284079</xdr:colOff>
      <xdr:row>0</xdr:row>
      <xdr:rowOff>0</xdr:rowOff>
    </xdr:from>
    <xdr:to>
      <xdr:col>32</xdr:col>
      <xdr:colOff>304271</xdr:colOff>
      <xdr:row>50</xdr:row>
      <xdr:rowOff>163922</xdr:rowOff>
    </xdr:to>
    <xdr:grpSp>
      <xdr:nvGrpSpPr>
        <xdr:cNvPr id="25" name="Group 24">
          <a:extLst>
            <a:ext uri="{FF2B5EF4-FFF2-40B4-BE49-F238E27FC236}">
              <a16:creationId xmlns:a16="http://schemas.microsoft.com/office/drawing/2014/main" id="{7F9B7073-F18C-4830-0E03-EA8557E88EFB}"/>
            </a:ext>
          </a:extLst>
        </xdr:cNvPr>
        <xdr:cNvGrpSpPr/>
      </xdr:nvGrpSpPr>
      <xdr:grpSpPr>
        <a:xfrm>
          <a:off x="8275786" y="0"/>
          <a:ext cx="13339705" cy="8837093"/>
          <a:chOff x="0" y="0"/>
          <a:chExt cx="13388792" cy="9488396"/>
        </a:xfrm>
      </xdr:grpSpPr>
      <xdr:graphicFrame macro="">
        <xdr:nvGraphicFramePr>
          <xdr:cNvPr id="2" name="Chart 1">
            <a:extLst>
              <a:ext uri="{FF2B5EF4-FFF2-40B4-BE49-F238E27FC236}">
                <a16:creationId xmlns:a16="http://schemas.microsoft.com/office/drawing/2014/main" id="{0EFAFB2C-66F7-483C-A6A4-A45062CF692F}"/>
              </a:ext>
            </a:extLst>
          </xdr:cNvPr>
          <xdr:cNvGraphicFramePr>
            <a:graphicFrameLocks/>
          </xdr:cNvGraphicFramePr>
        </xdr:nvGraphicFramePr>
        <xdr:xfrm>
          <a:off x="526" y="6537920"/>
          <a:ext cx="5291268" cy="2950476"/>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BC3991F1-8EF2-402B-98E5-6C1A4CD573BD}"/>
              </a:ext>
            </a:extLst>
          </xdr:cNvPr>
          <xdr:cNvGraphicFramePr>
            <a:graphicFrameLocks/>
          </xdr:cNvGraphicFramePr>
        </xdr:nvGraphicFramePr>
        <xdr:xfrm>
          <a:off x="16281" y="3569053"/>
          <a:ext cx="5275514" cy="2940818"/>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02C10F98-3EF6-402B-AB39-EB791C92A07E}"/>
              </a:ext>
            </a:extLst>
          </xdr:cNvPr>
          <xdr:cNvGraphicFramePr>
            <a:graphicFrameLocks/>
          </xdr:cNvGraphicFramePr>
        </xdr:nvGraphicFramePr>
        <xdr:xfrm>
          <a:off x="5301966" y="3554186"/>
          <a:ext cx="5339986" cy="2941053"/>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B56FDB46-2E8D-4256-A3D2-690AE0665BF5}"/>
              </a:ext>
            </a:extLst>
          </xdr:cNvPr>
          <xdr:cNvGraphicFramePr>
            <a:graphicFrameLocks/>
          </xdr:cNvGraphicFramePr>
        </xdr:nvGraphicFramePr>
        <xdr:xfrm>
          <a:off x="5324117" y="6521209"/>
          <a:ext cx="5317835" cy="2967187"/>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0" name="TextBox 9">
            <a:extLst>
              <a:ext uri="{FF2B5EF4-FFF2-40B4-BE49-F238E27FC236}">
                <a16:creationId xmlns:a16="http://schemas.microsoft.com/office/drawing/2014/main" id="{21E5075F-B72C-4D31-BB50-89097FA63CB8}"/>
              </a:ext>
            </a:extLst>
          </xdr:cNvPr>
          <xdr:cNvSpPr txBox="1"/>
        </xdr:nvSpPr>
        <xdr:spPr>
          <a:xfrm>
            <a:off x="0" y="0"/>
            <a:ext cx="13371594" cy="1563566"/>
          </a:xfrm>
          <a:prstGeom prst="rect">
            <a:avLst/>
          </a:prstGeom>
          <a:solidFill>
            <a:srgbClr val="1E293B"/>
          </a:solidFill>
          <a:ln>
            <a:noFill/>
          </a:ln>
          <a:effectLst>
            <a:outerShdw blurRad="50800" dist="38100" dir="2700000" algn="tl" rotWithShape="0">
              <a:prstClr val="black">
                <a:alpha val="16000"/>
              </a:prstClr>
            </a:outerShdw>
          </a:effectLst>
          <a:scene3d>
            <a:camera prst="orthographicFront">
              <a:rot lat="0" lon="0" rev="0"/>
            </a:camera>
            <a:lightRig rig="brightRoom" dir="tl"/>
          </a:scene3d>
        </xdr:spPr>
        <xdr:style>
          <a:lnRef idx="1">
            <a:schemeClr val="dk1"/>
          </a:lnRef>
          <a:fillRef idx="3">
            <a:schemeClr val="dk1"/>
          </a:fillRef>
          <a:effectRef idx="2">
            <a:schemeClr val="dk1"/>
          </a:effectRef>
          <a:fontRef idx="minor">
            <a:schemeClr val="lt1"/>
          </a:fontRef>
        </xdr:style>
        <xdr:txBody>
          <a:bodyPr vertOverflow="clip" horzOverflow="clip" wrap="square" rtlCol="0" anchor="ctr"/>
          <a:lstStyle/>
          <a:p>
            <a:pPr algn="ctr"/>
            <a:r>
              <a:rPr lang="en-IN" sz="3600" b="1">
                <a:solidFill>
                  <a:schemeClr val="bg1"/>
                </a:solidFill>
                <a:latin typeface="Century Schoolbook" panose="02040604050505020304" pitchFamily="18" charset="0"/>
                <a:ea typeface="Calibri" panose="020F0502020204030204" pitchFamily="34" charset="0"/>
                <a:cs typeface="Calibri" panose="020F0502020204030204" pitchFamily="34" charset="0"/>
              </a:rPr>
              <a:t>       </a:t>
            </a:r>
            <a:r>
              <a:rPr lang="en-IN" sz="3600" b="1" baseline="0">
                <a:solidFill>
                  <a:schemeClr val="bg1"/>
                </a:solidFill>
                <a:latin typeface="Century Schoolbook" panose="02040604050505020304" pitchFamily="18" charset="0"/>
                <a:ea typeface="Calibri" panose="020F0502020204030204" pitchFamily="34" charset="0"/>
                <a:cs typeface="Calibri" panose="020F0502020204030204" pitchFamily="34" charset="0"/>
              </a:rPr>
              <a:t> </a:t>
            </a:r>
            <a:r>
              <a:rPr lang="en-IN" sz="3600" b="1">
                <a:solidFill>
                  <a:schemeClr val="bg1"/>
                </a:solidFill>
                <a:latin typeface="Century Schoolbook" panose="02040604050505020304" pitchFamily="18" charset="0"/>
                <a:ea typeface="Calibri" panose="020F0502020204030204" pitchFamily="34" charset="0"/>
                <a:cs typeface="Calibri" panose="020F0502020204030204" pitchFamily="34" charset="0"/>
              </a:rPr>
              <a:t>CAFE</a:t>
            </a:r>
            <a:r>
              <a:rPr lang="en-IN" sz="3600" b="1" baseline="0">
                <a:solidFill>
                  <a:schemeClr val="bg1"/>
                </a:solidFill>
                <a:latin typeface="Century Schoolbook" panose="02040604050505020304" pitchFamily="18" charset="0"/>
                <a:ea typeface="Calibri" panose="020F0502020204030204" pitchFamily="34" charset="0"/>
                <a:cs typeface="Calibri" panose="020F0502020204030204" pitchFamily="34" charset="0"/>
              </a:rPr>
              <a:t> SALES DASHBOARD AND CUSTOMER                                                      INSIGHTS</a:t>
            </a:r>
            <a:endParaRPr lang="en-IN" sz="3600" b="1">
              <a:solidFill>
                <a:schemeClr val="bg1"/>
              </a:solidFill>
              <a:latin typeface="Century Schoolbook" panose="02040604050505020304" pitchFamily="18" charset="0"/>
              <a:ea typeface="Calibri" panose="020F0502020204030204" pitchFamily="34" charset="0"/>
              <a:cs typeface="Calibri" panose="020F0502020204030204" pitchFamily="34" charset="0"/>
            </a:endParaRPr>
          </a:p>
        </xdr:txBody>
      </xdr:sp>
      <mc:AlternateContent xmlns:mc="http://schemas.openxmlformats.org/markup-compatibility/2006" xmlns:a14="http://schemas.microsoft.com/office/drawing/2010/main">
        <mc:Choice Requires="a14">
          <xdr:graphicFrame macro="">
            <xdr:nvGraphicFramePr>
              <xdr:cNvPr id="16" name="Store_Location 2">
                <a:extLst>
                  <a:ext uri="{FF2B5EF4-FFF2-40B4-BE49-F238E27FC236}">
                    <a16:creationId xmlns:a16="http://schemas.microsoft.com/office/drawing/2014/main" id="{657F4519-68D8-4365-AAB0-4843A52A078A}"/>
                  </a:ext>
                </a:extLst>
              </xdr:cNvPr>
              <xdr:cNvGraphicFramePr/>
            </xdr:nvGraphicFramePr>
            <xdr:xfrm>
              <a:off x="10673101" y="5200321"/>
              <a:ext cx="2715691" cy="1034155"/>
            </xdr:xfrm>
            <a:graphic>
              <a:graphicData uri="http://schemas.microsoft.com/office/drawing/2010/slicer">
                <sle:slicer xmlns:sle="http://schemas.microsoft.com/office/drawing/2010/slicer" name="Store_Location 2"/>
              </a:graphicData>
            </a:graphic>
          </xdr:graphicFrame>
        </mc:Choice>
        <mc:Fallback xmlns="">
          <xdr:sp macro="" textlink="">
            <xdr:nvSpPr>
              <xdr:cNvPr id="0" name=""/>
              <xdr:cNvSpPr>
                <a:spLocks noTextEdit="1"/>
              </xdr:cNvSpPr>
            </xdr:nvSpPr>
            <xdr:spPr>
              <a:xfrm>
                <a:off x="18850740" y="4914740"/>
                <a:ext cx="2697167" cy="9773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7" name="Product_Category 2">
                <a:extLst>
                  <a:ext uri="{FF2B5EF4-FFF2-40B4-BE49-F238E27FC236}">
                    <a16:creationId xmlns:a16="http://schemas.microsoft.com/office/drawing/2014/main" id="{22B0D9D7-124A-4988-A4D0-802E8E2563C5}"/>
                  </a:ext>
                </a:extLst>
              </xdr:cNvPr>
              <xdr:cNvGraphicFramePr/>
            </xdr:nvGraphicFramePr>
            <xdr:xfrm>
              <a:off x="10673100" y="3588435"/>
              <a:ext cx="2715692" cy="1034156"/>
            </xdr:xfrm>
            <a:graphic>
              <a:graphicData uri="http://schemas.microsoft.com/office/drawing/2010/slicer">
                <sle:slicer xmlns:sle="http://schemas.microsoft.com/office/drawing/2010/slicer" name="Product_Category 2"/>
              </a:graphicData>
            </a:graphic>
          </xdr:graphicFrame>
        </mc:Choice>
        <mc:Fallback xmlns="">
          <xdr:sp macro="" textlink="">
            <xdr:nvSpPr>
              <xdr:cNvPr id="0" name=""/>
              <xdr:cNvSpPr>
                <a:spLocks noTextEdit="1"/>
              </xdr:cNvSpPr>
            </xdr:nvSpPr>
            <xdr:spPr>
              <a:xfrm>
                <a:off x="18850739" y="3391372"/>
                <a:ext cx="2697168" cy="9773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8" name="Payment-method 2">
                <a:extLst>
                  <a:ext uri="{FF2B5EF4-FFF2-40B4-BE49-F238E27FC236}">
                    <a16:creationId xmlns:a16="http://schemas.microsoft.com/office/drawing/2014/main" id="{BF24E5D6-3D0D-4D9E-807B-2DD045E85765}"/>
                  </a:ext>
                </a:extLst>
              </xdr:cNvPr>
              <xdr:cNvGraphicFramePr/>
            </xdr:nvGraphicFramePr>
            <xdr:xfrm>
              <a:off x="10673100" y="8419730"/>
              <a:ext cx="2715691" cy="1029796"/>
            </xdr:xfrm>
            <a:graphic>
              <a:graphicData uri="http://schemas.microsoft.com/office/drawing/2010/slicer">
                <sle:slicer xmlns:sle="http://schemas.microsoft.com/office/drawing/2010/slicer" name="Payment-method 2"/>
              </a:graphicData>
            </a:graphic>
          </xdr:graphicFrame>
        </mc:Choice>
        <mc:Fallback xmlns="">
          <xdr:sp macro="" textlink="">
            <xdr:nvSpPr>
              <xdr:cNvPr id="0" name=""/>
              <xdr:cNvSpPr>
                <a:spLocks noTextEdit="1"/>
              </xdr:cNvSpPr>
            </xdr:nvSpPr>
            <xdr:spPr>
              <a:xfrm>
                <a:off x="18850739" y="7957352"/>
                <a:ext cx="2697167" cy="9732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9" name="Order_type 1">
                <a:extLst>
                  <a:ext uri="{FF2B5EF4-FFF2-40B4-BE49-F238E27FC236}">
                    <a16:creationId xmlns:a16="http://schemas.microsoft.com/office/drawing/2014/main" id="{648E1CB5-E902-4261-B7BA-8D56FE805581}"/>
                  </a:ext>
                </a:extLst>
              </xdr:cNvPr>
              <xdr:cNvGraphicFramePr/>
            </xdr:nvGraphicFramePr>
            <xdr:xfrm>
              <a:off x="10673100" y="6812205"/>
              <a:ext cx="2715691" cy="1029796"/>
            </xdr:xfrm>
            <a:graphic>
              <a:graphicData uri="http://schemas.microsoft.com/office/drawing/2010/slicer">
                <sle:slicer xmlns:sle="http://schemas.microsoft.com/office/drawing/2010/slicer" name="Order_type 1"/>
              </a:graphicData>
            </a:graphic>
          </xdr:graphicFrame>
        </mc:Choice>
        <mc:Fallback xmlns="">
          <xdr:sp macro="" textlink="">
            <xdr:nvSpPr>
              <xdr:cNvPr id="0" name=""/>
              <xdr:cNvSpPr>
                <a:spLocks noTextEdit="1"/>
              </xdr:cNvSpPr>
            </xdr:nvSpPr>
            <xdr:spPr>
              <a:xfrm>
                <a:off x="18850739" y="6438106"/>
                <a:ext cx="2697167" cy="9732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working space'!B13">
        <xdr:nvSpPr>
          <xdr:cNvPr id="28" name="Rectangle: Rounded Corners 27">
            <a:extLst>
              <a:ext uri="{FF2B5EF4-FFF2-40B4-BE49-F238E27FC236}">
                <a16:creationId xmlns:a16="http://schemas.microsoft.com/office/drawing/2014/main" id="{228866C3-B7BD-AD29-03E3-FFC7C99DB258}"/>
              </a:ext>
            </a:extLst>
          </xdr:cNvPr>
          <xdr:cNvSpPr/>
        </xdr:nvSpPr>
        <xdr:spPr>
          <a:xfrm>
            <a:off x="384847" y="1879545"/>
            <a:ext cx="2298101" cy="1308612"/>
          </a:xfrm>
          <a:prstGeom prst="roundRect">
            <a:avLst>
              <a:gd name="adj" fmla="val 27844"/>
            </a:avLst>
          </a:prstGeom>
          <a:solidFill>
            <a:schemeClr val="bg1"/>
          </a:solidFill>
          <a:ln>
            <a:noFill/>
          </a:ln>
          <a:effectLst>
            <a:outerShdw blurRad="50800" dist="38100" dir="2700000" algn="tl" rotWithShape="0">
              <a:prstClr val="black">
                <a:alpha val="16000"/>
              </a:prstClr>
            </a:outerShdw>
          </a:effectLst>
          <a:scene3d>
            <a:camera prst="orthographicFront">
              <a:rot lat="0" lon="0" rev="0"/>
            </a:camera>
            <a:lightRig rig="brightRoom" dir="tl"/>
          </a:scene3d>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marL="0" marR="0" lvl="0" indent="0" algn="r" defTabSz="914400" eaLnBrk="1" fontAlgn="auto" latinLnBrk="0" hangingPunct="1">
              <a:lnSpc>
                <a:spcPct val="100000"/>
              </a:lnSpc>
              <a:spcBef>
                <a:spcPts val="0"/>
              </a:spcBef>
              <a:spcAft>
                <a:spcPts val="0"/>
              </a:spcAft>
              <a:buClrTx/>
              <a:buSzTx/>
              <a:buFontTx/>
              <a:buNone/>
              <a:tabLst/>
              <a:defRPr/>
            </a:pPr>
            <a:r>
              <a:rPr lang="en-US" sz="1800" b="0" i="0">
                <a:solidFill>
                  <a:srgbClr val="64748B"/>
                </a:solidFill>
                <a:effectLst/>
                <a:latin typeface="+mn-lt"/>
                <a:ea typeface="+mn-ea"/>
                <a:cs typeface="+mn-cs"/>
              </a:rPr>
              <a:t> TOTAL</a:t>
            </a:r>
            <a:r>
              <a:rPr lang="en-US" sz="1800" b="0" i="0" baseline="0">
                <a:solidFill>
                  <a:srgbClr val="64748B"/>
                </a:solidFill>
                <a:effectLst/>
                <a:latin typeface="+mn-lt"/>
                <a:ea typeface="+mn-ea"/>
                <a:cs typeface="+mn-cs"/>
              </a:rPr>
              <a:t>         REVENUE</a:t>
            </a:r>
            <a:endParaRPr lang="en-IN" sz="1800">
              <a:solidFill>
                <a:srgbClr val="64748B"/>
              </a:solidFill>
              <a:effectLst/>
            </a:endParaRPr>
          </a:p>
          <a:p>
            <a:pPr algn="r"/>
            <a:endParaRPr lang="en-IN" sz="1800" b="1" u="none">
              <a:solidFill>
                <a:srgbClr val="002060"/>
              </a:solidFill>
              <a:latin typeface="Bodoni MT" panose="02070603080606020203" pitchFamily="18" charset="0"/>
            </a:endParaRPr>
          </a:p>
        </xdr:txBody>
      </xdr:sp>
      <xdr:sp macro="" textlink="'working space'!B98">
        <xdr:nvSpPr>
          <xdr:cNvPr id="29" name="Rectangle: Rounded Corners 28">
            <a:extLst>
              <a:ext uri="{FF2B5EF4-FFF2-40B4-BE49-F238E27FC236}">
                <a16:creationId xmlns:a16="http://schemas.microsoft.com/office/drawing/2014/main" id="{3C4532BE-DA96-C42E-6B13-CD639C2B6E8E}"/>
              </a:ext>
            </a:extLst>
          </xdr:cNvPr>
          <xdr:cNvSpPr/>
        </xdr:nvSpPr>
        <xdr:spPr>
          <a:xfrm>
            <a:off x="3041521" y="1879545"/>
            <a:ext cx="2308010" cy="1316472"/>
          </a:xfrm>
          <a:prstGeom prst="roundRect">
            <a:avLst>
              <a:gd name="adj" fmla="val 20731"/>
            </a:avLst>
          </a:prstGeom>
          <a:solidFill>
            <a:schemeClr val="bg1"/>
          </a:solidFill>
          <a:ln>
            <a:noFill/>
          </a:ln>
          <a:effectLst>
            <a:outerShdw blurRad="50800" dist="38100" dir="2700000" algn="tl" rotWithShape="0">
              <a:prstClr val="black">
                <a:alpha val="16000"/>
              </a:prstClr>
            </a:outerShdw>
          </a:effectLst>
          <a:scene3d>
            <a:camera prst="orthographicFront">
              <a:rot lat="0" lon="0" rev="0"/>
            </a:camera>
            <a:lightRig rig="brightRoom" dir="tl"/>
          </a:scene3d>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r"/>
            <a:r>
              <a:rPr lang="en-US" sz="1800" b="0" i="0">
                <a:solidFill>
                  <a:srgbClr val="64748B"/>
                </a:solidFill>
                <a:effectLst/>
                <a:latin typeface="+mn-lt"/>
                <a:ea typeface="+mn-ea"/>
                <a:cs typeface="+mn-cs"/>
              </a:rPr>
              <a:t> TOTAL      </a:t>
            </a:r>
            <a:r>
              <a:rPr lang="en-US" sz="1800" b="0" i="0" baseline="0">
                <a:solidFill>
                  <a:srgbClr val="64748B"/>
                </a:solidFill>
                <a:effectLst/>
                <a:latin typeface="+mn-lt"/>
                <a:ea typeface="+mn-ea"/>
                <a:cs typeface="+mn-cs"/>
              </a:rPr>
              <a:t>                 </a:t>
            </a:r>
            <a:endParaRPr lang="en-IN" sz="1800">
              <a:solidFill>
                <a:srgbClr val="64748B"/>
              </a:solidFill>
              <a:effectLst/>
            </a:endParaRPr>
          </a:p>
          <a:p>
            <a:pPr algn="r"/>
            <a:r>
              <a:rPr lang="en-US" sz="1800" b="0" i="0" baseline="0">
                <a:solidFill>
                  <a:srgbClr val="64748B"/>
                </a:solidFill>
                <a:effectLst/>
                <a:latin typeface="+mn-lt"/>
                <a:ea typeface="+mn-ea"/>
                <a:cs typeface="+mn-cs"/>
              </a:rPr>
              <a:t> </a:t>
            </a:r>
            <a:r>
              <a:rPr lang="en-US" sz="1800" b="0" i="0">
                <a:solidFill>
                  <a:srgbClr val="64748B"/>
                </a:solidFill>
                <a:effectLst/>
                <a:latin typeface="+mn-lt"/>
                <a:ea typeface="+mn-ea"/>
                <a:cs typeface="+mn-cs"/>
              </a:rPr>
              <a:t>ORDERS</a:t>
            </a:r>
            <a:r>
              <a:rPr lang="en-US" sz="2000" b="0" i="0" baseline="0">
                <a:solidFill>
                  <a:srgbClr val="64748B"/>
                </a:solidFill>
                <a:effectLst/>
                <a:latin typeface="+mn-lt"/>
                <a:ea typeface="+mn-ea"/>
                <a:cs typeface="+mn-cs"/>
              </a:rPr>
              <a:t> </a:t>
            </a:r>
          </a:p>
          <a:p>
            <a:pPr algn="r"/>
            <a:r>
              <a:rPr lang="en-US" sz="1800" b="1" i="0" u="none" strike="noStrike">
                <a:solidFill>
                  <a:srgbClr val="64748B"/>
                </a:solidFill>
                <a:latin typeface="Trebuchet MS"/>
                <a:ea typeface="Calibri"/>
                <a:cs typeface="Calibri"/>
              </a:rPr>
              <a:t> </a:t>
            </a:r>
            <a:endParaRPr lang="en-IN" sz="2000" b="1">
              <a:solidFill>
                <a:srgbClr val="1E3A8A"/>
              </a:solidFill>
              <a:latin typeface="Bodoni MT" panose="02070603080606020203" pitchFamily="18" charset="0"/>
            </a:endParaRPr>
          </a:p>
        </xdr:txBody>
      </xdr:sp>
      <xdr:sp macro="" textlink="'working space'!B110">
        <xdr:nvSpPr>
          <xdr:cNvPr id="30" name="Rectangle: Rounded Corners 29">
            <a:extLst>
              <a:ext uri="{FF2B5EF4-FFF2-40B4-BE49-F238E27FC236}">
                <a16:creationId xmlns:a16="http://schemas.microsoft.com/office/drawing/2014/main" id="{E50F5D30-0014-E2E8-AA6C-369903E7CC1A}"/>
              </a:ext>
            </a:extLst>
          </xdr:cNvPr>
          <xdr:cNvSpPr/>
        </xdr:nvSpPr>
        <xdr:spPr>
          <a:xfrm>
            <a:off x="8381038" y="1879545"/>
            <a:ext cx="2298100" cy="1319093"/>
          </a:xfrm>
          <a:prstGeom prst="roundRect">
            <a:avLst/>
          </a:prstGeom>
          <a:solidFill>
            <a:schemeClr val="bg1"/>
          </a:solidFill>
          <a:ln>
            <a:noFill/>
          </a:ln>
          <a:effectLst>
            <a:outerShdw blurRad="50800" dist="38100" dir="2700000" algn="tl" rotWithShape="0">
              <a:prstClr val="black">
                <a:alpha val="16000"/>
              </a:prstClr>
            </a:outerShdw>
          </a:effectLst>
          <a:scene3d>
            <a:camera prst="orthographicFront">
              <a:rot lat="0" lon="0" rev="0"/>
            </a:camera>
            <a:lightRig rig="brightRoom" dir="tl"/>
          </a:scene3d>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r"/>
            <a:r>
              <a:rPr lang="en-US" sz="2000" b="0" i="0">
                <a:solidFill>
                  <a:srgbClr val="64748B"/>
                </a:solidFill>
                <a:effectLst/>
                <a:latin typeface="+mn-lt"/>
                <a:ea typeface="+mn-ea"/>
                <a:cs typeface="+mn-cs"/>
              </a:rPr>
              <a:t>AVG</a:t>
            </a:r>
            <a:r>
              <a:rPr lang="en-IN" sz="2000" b="0" i="0" baseline="0">
                <a:solidFill>
                  <a:srgbClr val="64748B"/>
                </a:solidFill>
                <a:effectLst/>
                <a:latin typeface="+mn-lt"/>
                <a:ea typeface="+mn-ea"/>
                <a:cs typeface="+mn-cs"/>
              </a:rPr>
              <a:t> </a:t>
            </a:r>
            <a:r>
              <a:rPr lang="en-US" sz="2000" b="0" i="0" baseline="0">
                <a:solidFill>
                  <a:srgbClr val="64748B"/>
                </a:solidFill>
                <a:effectLst/>
                <a:latin typeface="+mn-lt"/>
                <a:ea typeface="+mn-ea"/>
                <a:cs typeface="+mn-cs"/>
              </a:rPr>
              <a:t>ORDER </a:t>
            </a:r>
            <a:endParaRPr lang="en-IN" sz="2000" b="0">
              <a:solidFill>
                <a:srgbClr val="64748B"/>
              </a:solidFill>
              <a:effectLst/>
            </a:endParaRPr>
          </a:p>
          <a:p>
            <a:pPr algn="r"/>
            <a:r>
              <a:rPr lang="en-US" sz="2000" b="0" i="0" baseline="0">
                <a:solidFill>
                  <a:srgbClr val="64748B"/>
                </a:solidFill>
                <a:effectLst/>
                <a:latin typeface="+mn-lt"/>
                <a:ea typeface="+mn-ea"/>
                <a:cs typeface="+mn-cs"/>
              </a:rPr>
              <a:t>REVENUE</a:t>
            </a:r>
            <a:endParaRPr lang="en-IN" sz="2000" b="0">
              <a:solidFill>
                <a:srgbClr val="64748B"/>
              </a:solidFill>
              <a:effectLst/>
            </a:endParaRPr>
          </a:p>
          <a:p>
            <a:pPr algn="r"/>
            <a:endParaRPr lang="en-US" sz="2200" b="1">
              <a:solidFill>
                <a:srgbClr val="1E3A8A"/>
              </a:solidFill>
              <a:latin typeface="Bodoni MT" panose="02070603080606020203" pitchFamily="18" charset="0"/>
            </a:endParaRPr>
          </a:p>
        </xdr:txBody>
      </xdr:sp>
      <xdr:sp macro="" textlink="'working space'!E97">
        <xdr:nvSpPr>
          <xdr:cNvPr id="31" name="Rectangle: Rounded Corners 30">
            <a:extLst>
              <a:ext uri="{FF2B5EF4-FFF2-40B4-BE49-F238E27FC236}">
                <a16:creationId xmlns:a16="http://schemas.microsoft.com/office/drawing/2014/main" id="{D5EE3594-1B20-394B-30C5-A9C7770C0579}"/>
              </a:ext>
            </a:extLst>
          </xdr:cNvPr>
          <xdr:cNvSpPr/>
        </xdr:nvSpPr>
        <xdr:spPr>
          <a:xfrm>
            <a:off x="11037712" y="1879545"/>
            <a:ext cx="2298101" cy="1319093"/>
          </a:xfrm>
          <a:prstGeom prst="roundRect">
            <a:avLst/>
          </a:prstGeom>
          <a:solidFill>
            <a:schemeClr val="bg1"/>
          </a:solidFill>
          <a:ln>
            <a:noFill/>
          </a:ln>
          <a:effectLst>
            <a:outerShdw blurRad="50800" dist="38100" dir="2700000" algn="tl" rotWithShape="0">
              <a:prstClr val="black">
                <a:alpha val="16000"/>
              </a:prstClr>
            </a:outerShdw>
          </a:effectLst>
          <a:scene3d>
            <a:camera prst="orthographicFront">
              <a:rot lat="0" lon="0" rev="0"/>
            </a:camera>
            <a:lightRig rig="brightRoom" dir="tl"/>
          </a:scene3d>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r"/>
            <a:r>
              <a:rPr lang="en-US" sz="2000" b="0" i="0" baseline="0">
                <a:solidFill>
                  <a:srgbClr val="64748B"/>
                </a:solidFill>
                <a:effectLst/>
                <a:latin typeface="+mn-lt"/>
                <a:ea typeface="+mn-ea"/>
                <a:cs typeface="+mn-cs"/>
              </a:rPr>
              <a:t>AVERAGE  </a:t>
            </a:r>
            <a:endParaRPr lang="en-IN" sz="2000">
              <a:solidFill>
                <a:srgbClr val="64748B"/>
              </a:solidFill>
              <a:effectLst/>
            </a:endParaRPr>
          </a:p>
          <a:p>
            <a:pPr algn="r"/>
            <a:r>
              <a:rPr lang="en-US" sz="2000" b="0" i="0" baseline="0">
                <a:solidFill>
                  <a:srgbClr val="64748B"/>
                </a:solidFill>
                <a:effectLst/>
                <a:latin typeface="+mn-lt"/>
                <a:ea typeface="+mn-ea"/>
                <a:cs typeface="+mn-cs"/>
              </a:rPr>
              <a:t>Rating</a:t>
            </a:r>
          </a:p>
          <a:p>
            <a:pPr algn="r"/>
            <a:endParaRPr lang="en-US" sz="4000" b="1" baseline="0">
              <a:solidFill>
                <a:srgbClr val="1E3A8A"/>
              </a:solidFill>
              <a:latin typeface="Bodoni MT" panose="02070603080606020203" pitchFamily="18" charset="0"/>
            </a:endParaRPr>
          </a:p>
        </xdr:txBody>
      </xdr:sp>
      <xdr:pic>
        <xdr:nvPicPr>
          <xdr:cNvPr id="44" name="Graphic 43" descr="Bar graph with upward trend with solid fill">
            <a:extLst>
              <a:ext uri="{FF2B5EF4-FFF2-40B4-BE49-F238E27FC236}">
                <a16:creationId xmlns:a16="http://schemas.microsoft.com/office/drawing/2014/main" id="{0BBD92C0-4FD8-480D-E693-7E3BC68B117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7625" y="63500"/>
            <a:ext cx="1400342" cy="1541834"/>
          </a:xfrm>
          <a:prstGeom prst="rect">
            <a:avLst/>
          </a:prstGeom>
          <a:effectLst>
            <a:outerShdw blurRad="50800" dist="38100" dir="2700000" algn="tl" rotWithShape="0">
              <a:prstClr val="black">
                <a:alpha val="16000"/>
              </a:prstClr>
            </a:outerShdw>
          </a:effectLst>
        </xdr:spPr>
      </xdr:pic>
      <xdr:pic>
        <xdr:nvPicPr>
          <xdr:cNvPr id="46" name="Graphic 45" descr="Money with solid fill">
            <a:extLst>
              <a:ext uri="{FF2B5EF4-FFF2-40B4-BE49-F238E27FC236}">
                <a16:creationId xmlns:a16="http://schemas.microsoft.com/office/drawing/2014/main" id="{C915989C-70EB-8877-5506-B59E4FFB3F0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90622" y="2024068"/>
            <a:ext cx="879313" cy="624669"/>
          </a:xfrm>
          <a:prstGeom prst="rect">
            <a:avLst/>
          </a:prstGeom>
          <a:effectLst>
            <a:outerShdw blurRad="50800" dist="38100" dir="2700000" algn="tl" rotWithShape="0">
              <a:prstClr val="black">
                <a:alpha val="16000"/>
              </a:prstClr>
            </a:outerShdw>
          </a:effectLst>
        </xdr:spPr>
      </xdr:pic>
      <xdr:pic>
        <xdr:nvPicPr>
          <xdr:cNvPr id="48" name="Graphic 47" descr="Shopping cart with solid fill">
            <a:extLst>
              <a:ext uri="{FF2B5EF4-FFF2-40B4-BE49-F238E27FC236}">
                <a16:creationId xmlns:a16="http://schemas.microsoft.com/office/drawing/2014/main" id="{DCB81107-3782-2CCC-4E6E-C2C545259BE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3186895" y="1957874"/>
            <a:ext cx="813887" cy="781388"/>
          </a:xfrm>
          <a:prstGeom prst="rect">
            <a:avLst/>
          </a:prstGeom>
          <a:effectLst>
            <a:outerShdw blurRad="50800" dist="38100" dir="2700000" algn="tl" rotWithShape="0">
              <a:prstClr val="black">
                <a:alpha val="16000"/>
              </a:prstClr>
            </a:outerShdw>
          </a:effectLst>
        </xdr:spPr>
      </xdr:pic>
      <xdr:pic>
        <xdr:nvPicPr>
          <xdr:cNvPr id="7" name="Graphic 6" descr="Thumbs up sign with solid fill">
            <a:extLst>
              <a:ext uri="{FF2B5EF4-FFF2-40B4-BE49-F238E27FC236}">
                <a16:creationId xmlns:a16="http://schemas.microsoft.com/office/drawing/2014/main" id="{F7D92354-953A-5516-E97A-47B01BB7CB0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11166831" y="2035932"/>
            <a:ext cx="694931" cy="700256"/>
          </a:xfrm>
          <a:prstGeom prst="rect">
            <a:avLst/>
          </a:prstGeom>
          <a:effectLst>
            <a:outerShdw blurRad="50800" dist="38100" dir="2700000" algn="tl" rotWithShape="0">
              <a:prstClr val="black">
                <a:alpha val="16000"/>
              </a:prstClr>
            </a:outerShdw>
          </a:effectLst>
        </xdr:spPr>
      </xdr:pic>
      <xdr:sp macro="" textlink="'working space'!G103">
        <xdr:nvSpPr>
          <xdr:cNvPr id="8" name="Rectangle: Rounded Corners 7">
            <a:extLst>
              <a:ext uri="{FF2B5EF4-FFF2-40B4-BE49-F238E27FC236}">
                <a16:creationId xmlns:a16="http://schemas.microsoft.com/office/drawing/2014/main" id="{459599CC-E724-427B-8C4D-A7C3F94E18E5}"/>
              </a:ext>
            </a:extLst>
          </xdr:cNvPr>
          <xdr:cNvSpPr/>
        </xdr:nvSpPr>
        <xdr:spPr>
          <a:xfrm>
            <a:off x="5708104" y="1879545"/>
            <a:ext cx="2314361" cy="1319093"/>
          </a:xfrm>
          <a:prstGeom prst="roundRect">
            <a:avLst/>
          </a:prstGeom>
          <a:solidFill>
            <a:schemeClr val="bg1"/>
          </a:solidFill>
          <a:ln>
            <a:noFill/>
          </a:ln>
          <a:effectLst>
            <a:outerShdw blurRad="50800" dist="38100" dir="2700000" algn="tl" rotWithShape="0">
              <a:prstClr val="black">
                <a:alpha val="16000"/>
              </a:prstClr>
            </a:outerShdw>
          </a:effectLst>
          <a:scene3d>
            <a:camera prst="orthographicFront">
              <a:rot lat="0" lon="0" rev="0"/>
            </a:camera>
            <a:lightRig rig="brightRoom" dir="tl"/>
          </a:scene3d>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r"/>
            <a:r>
              <a:rPr lang="en-US" sz="2000" b="0" i="0" u="none" strike="noStrike" baseline="0">
                <a:solidFill>
                  <a:srgbClr val="64748B"/>
                </a:solidFill>
                <a:latin typeface="Century Schoolbook"/>
              </a:rPr>
              <a:t>TOTAL QUANTITY</a:t>
            </a:r>
          </a:p>
          <a:p>
            <a:pPr algn="r"/>
            <a:fld id="{046809C9-47EE-4140-B66B-90103319C8E7}" type="TxLink">
              <a:rPr lang="en-US" sz="2500" b="1" i="0" u="none" strike="noStrike" baseline="0">
                <a:solidFill>
                  <a:srgbClr val="002060"/>
                </a:solidFill>
                <a:latin typeface="Century Schoolbook"/>
              </a:rPr>
              <a:pPr algn="r"/>
              <a:t>1582</a:t>
            </a:fld>
            <a:endParaRPr lang="en-US" sz="2500" b="1" baseline="0">
              <a:solidFill>
                <a:srgbClr val="002060"/>
              </a:solidFill>
              <a:latin typeface="Bodoni MT" panose="02070603080606020203" pitchFamily="18" charset="0"/>
            </a:endParaRPr>
          </a:p>
        </xdr:txBody>
      </xdr:sp>
      <xdr:sp macro="" textlink="'working space'!B110">
        <xdr:nvSpPr>
          <xdr:cNvPr id="12" name="TextBox 11">
            <a:extLst>
              <a:ext uri="{FF2B5EF4-FFF2-40B4-BE49-F238E27FC236}">
                <a16:creationId xmlns:a16="http://schemas.microsoft.com/office/drawing/2014/main" id="{04F8AD66-C42D-5BBB-271C-FF361C53447B}"/>
              </a:ext>
            </a:extLst>
          </xdr:cNvPr>
          <xdr:cNvSpPr txBox="1"/>
        </xdr:nvSpPr>
        <xdr:spPr>
          <a:xfrm>
            <a:off x="9288531" y="2609000"/>
            <a:ext cx="1217030" cy="4256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A6C3CA-CB88-4DCE-9DD4-76E7A029331E}" type="TxLink">
              <a:rPr lang="en-US" sz="2600" b="1" i="0" u="none" strike="noStrike">
                <a:solidFill>
                  <a:srgbClr val="002060"/>
                </a:solidFill>
                <a:latin typeface="Century Schoolbook"/>
              </a:rPr>
              <a:pPr/>
              <a:t>₹ 140</a:t>
            </a:fld>
            <a:endParaRPr lang="en-IN" sz="2600" b="1">
              <a:solidFill>
                <a:srgbClr val="002060"/>
              </a:solidFill>
            </a:endParaRPr>
          </a:p>
        </xdr:txBody>
      </xdr:sp>
      <xdr:sp macro="" textlink="'working space'!G110">
        <xdr:nvSpPr>
          <xdr:cNvPr id="13" name="TextBox 12">
            <a:extLst>
              <a:ext uri="{FF2B5EF4-FFF2-40B4-BE49-F238E27FC236}">
                <a16:creationId xmlns:a16="http://schemas.microsoft.com/office/drawing/2014/main" id="{D5792C64-1F7A-1EA7-6DD8-2C85B1A3CFB2}"/>
              </a:ext>
            </a:extLst>
          </xdr:cNvPr>
          <xdr:cNvSpPr txBox="1"/>
        </xdr:nvSpPr>
        <xdr:spPr>
          <a:xfrm>
            <a:off x="4467681" y="2580387"/>
            <a:ext cx="797406" cy="4543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0A21E6-1CE6-419D-9E04-DB0CC19B247A}" type="TxLink">
              <a:rPr lang="en-US" sz="2800" b="1" i="0" u="none" strike="noStrike">
                <a:solidFill>
                  <a:srgbClr val="002060"/>
                </a:solidFill>
                <a:latin typeface="Century Schoolbook"/>
              </a:rPr>
              <a:pPr/>
              <a:t>800</a:t>
            </a:fld>
            <a:endParaRPr lang="en-IN" sz="2800" b="1">
              <a:solidFill>
                <a:srgbClr val="002060"/>
              </a:solidFill>
            </a:endParaRPr>
          </a:p>
        </xdr:txBody>
      </xdr:sp>
      <xdr:sp macro="" textlink="'working space'!E97">
        <xdr:nvSpPr>
          <xdr:cNvPr id="14" name="TextBox 13">
            <a:extLst>
              <a:ext uri="{FF2B5EF4-FFF2-40B4-BE49-F238E27FC236}">
                <a16:creationId xmlns:a16="http://schemas.microsoft.com/office/drawing/2014/main" id="{226587E1-2530-0DF7-F768-9CA8C7C4327F}"/>
              </a:ext>
            </a:extLst>
          </xdr:cNvPr>
          <xdr:cNvSpPr txBox="1"/>
        </xdr:nvSpPr>
        <xdr:spPr>
          <a:xfrm>
            <a:off x="12438939" y="2631118"/>
            <a:ext cx="728326" cy="4406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FB8DCEC-67AD-489E-9F80-753855E970D4}" type="TxLink">
              <a:rPr lang="en-US" sz="2800" b="1" i="0" u="none" strike="noStrike">
                <a:solidFill>
                  <a:srgbClr val="002060"/>
                </a:solidFill>
                <a:latin typeface="Century Schoolbook"/>
              </a:rPr>
              <a:pPr/>
              <a:t>3.0</a:t>
            </a:fld>
            <a:endParaRPr lang="en-IN" sz="2800" b="1">
              <a:solidFill>
                <a:srgbClr val="002060"/>
              </a:solidFill>
            </a:endParaRPr>
          </a:p>
        </xdr:txBody>
      </xdr:sp>
      <xdr:sp macro="" textlink="'working space'!B13">
        <xdr:nvSpPr>
          <xdr:cNvPr id="15" name="TextBox 14">
            <a:extLst>
              <a:ext uri="{FF2B5EF4-FFF2-40B4-BE49-F238E27FC236}">
                <a16:creationId xmlns:a16="http://schemas.microsoft.com/office/drawing/2014/main" id="{8DE59349-2F55-E9DD-07E6-6E612CE5C225}"/>
              </a:ext>
            </a:extLst>
          </xdr:cNvPr>
          <xdr:cNvSpPr txBox="1"/>
        </xdr:nvSpPr>
        <xdr:spPr>
          <a:xfrm>
            <a:off x="764271" y="2643102"/>
            <a:ext cx="1756181" cy="39159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E0CE5E9-C1BB-445B-BDCE-3C218D930697}" type="TxLink">
              <a:rPr lang="en-US" sz="2400" b="1" i="0" u="none" strike="noStrike">
                <a:solidFill>
                  <a:srgbClr val="002060"/>
                </a:solidFill>
                <a:latin typeface="Century Schoolbook"/>
              </a:rPr>
              <a:pPr/>
              <a:t>₹ 1,11,780</a:t>
            </a:fld>
            <a:endParaRPr lang="en-IN" sz="2400" b="1">
              <a:solidFill>
                <a:srgbClr val="002060"/>
              </a:solidFill>
            </a:endParaRPr>
          </a:p>
        </xdr:txBody>
      </xdr:sp>
      <xdr:pic>
        <xdr:nvPicPr>
          <xdr:cNvPr id="21" name="Graphic 20" descr="Burger and drink with solid fill">
            <a:extLst>
              <a:ext uri="{FF2B5EF4-FFF2-40B4-BE49-F238E27FC236}">
                <a16:creationId xmlns:a16="http://schemas.microsoft.com/office/drawing/2014/main" id="{1FED84DE-C2FD-1806-3F48-594659B0C03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694820" y="1907838"/>
            <a:ext cx="828010" cy="823230"/>
          </a:xfrm>
          <a:prstGeom prst="rect">
            <a:avLst/>
          </a:prstGeom>
        </xdr:spPr>
      </xdr:pic>
      <xdr:pic>
        <xdr:nvPicPr>
          <xdr:cNvPr id="23" name="Graphic 22" descr="Coins with solid fill">
            <a:extLst>
              <a:ext uri="{FF2B5EF4-FFF2-40B4-BE49-F238E27FC236}">
                <a16:creationId xmlns:a16="http://schemas.microsoft.com/office/drawing/2014/main" id="{5AE3985F-FD18-73A9-4431-8E0D6168F15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8392468" y="2043729"/>
            <a:ext cx="680403" cy="711301"/>
          </a:xfrm>
          <a:prstGeom prst="rect">
            <a:avLst/>
          </a:prstGeom>
        </xdr:spPr>
      </xdr:pic>
    </xdr:grpSp>
    <xdr:clientData/>
  </xdr:twoCellAnchor>
</xdr:wsDr>
</file>

<file path=xl/drawings/drawing3.xml><?xml version="1.0" encoding="utf-8"?>
<c:userShapes xmlns:c="http://schemas.openxmlformats.org/drawingml/2006/chart">
  <cdr:relSizeAnchor xmlns:cdr="http://schemas.openxmlformats.org/drawingml/2006/chartDrawing">
    <cdr:from>
      <cdr:x>0.44855</cdr:x>
      <cdr:y>0.59506</cdr:y>
    </cdr:from>
    <cdr:to>
      <cdr:x>0.56102</cdr:x>
      <cdr:y>0.65698</cdr:y>
    </cdr:to>
    <cdr:sp macro="" textlink="">
      <cdr:nvSpPr>
        <cdr:cNvPr id="2" name="TextBox 1">
          <a:extLst xmlns:a="http://schemas.openxmlformats.org/drawingml/2006/main">
            <a:ext uri="{FF2B5EF4-FFF2-40B4-BE49-F238E27FC236}">
              <a16:creationId xmlns:a16="http://schemas.microsoft.com/office/drawing/2014/main" id="{42BACFA1-A6E2-7F95-12DF-FB307296963B}"/>
            </a:ext>
          </a:extLst>
        </cdr:cNvPr>
        <cdr:cNvSpPr txBox="1"/>
      </cdr:nvSpPr>
      <cdr:spPr>
        <a:xfrm xmlns:a="http://schemas.openxmlformats.org/drawingml/2006/main">
          <a:off x="2365549" y="1676497"/>
          <a:ext cx="593132" cy="1744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0.40433</cdr:x>
      <cdr:y>0.57773</cdr:y>
    </cdr:from>
    <cdr:to>
      <cdr:x>0.59297</cdr:x>
      <cdr:y>0.67862</cdr:y>
    </cdr:to>
    <cdr:sp macro="" textlink="'working space'!$B$13">
      <cdr:nvSpPr>
        <cdr:cNvPr id="3" name="TextBox 2">
          <a:extLst xmlns:a="http://schemas.openxmlformats.org/drawingml/2006/main">
            <a:ext uri="{FF2B5EF4-FFF2-40B4-BE49-F238E27FC236}">
              <a16:creationId xmlns:a16="http://schemas.microsoft.com/office/drawing/2014/main" id="{FFCA556E-8F91-BE89-29F5-983ED0EC8220}"/>
            </a:ext>
          </a:extLst>
        </cdr:cNvPr>
        <cdr:cNvSpPr txBox="1"/>
      </cdr:nvSpPr>
      <cdr:spPr>
        <a:xfrm xmlns:a="http://schemas.openxmlformats.org/drawingml/2006/main">
          <a:off x="2135397" y="1682628"/>
          <a:ext cx="996307" cy="2938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0B237E2F-1F5F-4D28-9F65-5705DB5470BC}" type="TxLink">
            <a:rPr lang="en-US" sz="1100" b="1" i="0" u="none" strike="noStrike" kern="1200">
              <a:solidFill>
                <a:srgbClr val="1E293B"/>
              </a:solidFill>
              <a:latin typeface="Arial Black" panose="020B0A04020102020204" pitchFamily="34" charset="0"/>
            </a:rPr>
            <a:pPr/>
            <a:t>₹ 1,11,780</a:t>
          </a:fld>
          <a:endParaRPr lang="en-IN" sz="1100" b="1" kern="1200">
            <a:solidFill>
              <a:srgbClr val="1E293B"/>
            </a:solidFill>
            <a:latin typeface="Arial Black" panose="020B0A04020102020204"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WAS SHARMA" refreshedDate="46257.90584259259" createdVersion="8" refreshedVersion="8" minRefreshableVersion="3" recordCount="800" xr:uid="{41CF7169-3524-4D05-B8F4-D935095618B6}">
  <cacheSource type="worksheet">
    <worksheetSource ref="A1:J801" sheet="COFFEE SALES DATA"/>
  </cacheSource>
  <cacheFields count="12">
    <cacheField name="Transaction_ID" numFmtId="0">
      <sharedItems containsSemiMixedTypes="0" containsString="0" containsNumber="1" containsInteger="1" minValue="1001" maxValue="1800"/>
    </cacheField>
    <cacheField name="Date" numFmtId="14">
      <sharedItems containsSemiMixedTypes="0" containsNonDate="0" containsDate="1" containsString="0" minDate="2026-01-02T00:00:00" maxDate="2026-07-01T00:00:00" count="178">
        <d v="2026-02-22T00:00:00"/>
        <d v="2026-01-11T00:00:00"/>
        <d v="2026-02-14T00:00:00"/>
        <d v="2026-03-29T00:00:00"/>
        <d v="2026-06-22T00:00:00"/>
        <d v="2026-01-16T00:00:00"/>
        <d v="2026-05-08T00:00:00"/>
        <d v="2026-02-19T00:00:00"/>
        <d v="2026-04-22T00:00:00"/>
        <d v="2026-06-03T00:00:00"/>
        <d v="2026-03-18T00:00:00"/>
        <d v="2026-05-21T00:00:00"/>
        <d v="2026-03-13T00:00:00"/>
        <d v="2026-06-09T00:00:00"/>
        <d v="2026-06-21T00:00:00"/>
        <d v="2026-03-05T00:00:00"/>
        <d v="2026-05-07T00:00:00"/>
        <d v="2026-01-03T00:00:00"/>
        <d v="2026-05-15T00:00:00"/>
        <d v="2026-02-15T00:00:00"/>
        <d v="2026-04-09T00:00:00"/>
        <d v="2026-01-21T00:00:00"/>
        <d v="2026-06-17T00:00:00"/>
        <d v="2026-05-10T00:00:00"/>
        <d v="2026-04-04T00:00:00"/>
        <d v="2026-03-04T00:00:00"/>
        <d v="2026-02-13T00:00:00"/>
        <d v="2026-02-20T00:00:00"/>
        <d v="2026-04-18T00:00:00"/>
        <d v="2026-03-31T00:00:00"/>
        <d v="2026-02-24T00:00:00"/>
        <d v="2026-01-29T00:00:00"/>
        <d v="2026-03-10T00:00:00"/>
        <d v="2026-04-10T00:00:00"/>
        <d v="2026-01-10T00:00:00"/>
        <d v="2026-02-21T00:00:00"/>
        <d v="2026-06-02T00:00:00"/>
        <d v="2026-06-15T00:00:00"/>
        <d v="2026-01-05T00:00:00"/>
        <d v="2026-04-24T00:00:00"/>
        <d v="2026-01-18T00:00:00"/>
        <d v="2026-04-29T00:00:00"/>
        <d v="2026-01-23T00:00:00"/>
        <d v="2026-05-13T00:00:00"/>
        <d v="2026-03-21T00:00:00"/>
        <d v="2026-06-07T00:00:00"/>
        <d v="2026-02-23T00:00:00"/>
        <d v="2026-02-05T00:00:00"/>
        <d v="2026-02-28T00:00:00"/>
        <d v="2026-03-03T00:00:00"/>
        <d v="2026-02-12T00:00:00"/>
        <d v="2026-04-01T00:00:00"/>
        <d v="2026-01-27T00:00:00"/>
        <d v="2026-04-25T00:00:00"/>
        <d v="2026-03-06T00:00:00"/>
        <d v="2026-06-19T00:00:00"/>
        <d v="2026-01-31T00:00:00"/>
        <d v="2026-01-06T00:00:00"/>
        <d v="2026-03-09T00:00:00"/>
        <d v="2026-01-14T00:00:00"/>
        <d v="2026-06-13T00:00:00"/>
        <d v="2026-06-10T00:00:00"/>
        <d v="2026-05-30T00:00:00"/>
        <d v="2026-05-16T00:00:00"/>
        <d v="2026-04-14T00:00:00"/>
        <d v="2026-02-10T00:00:00"/>
        <d v="2026-01-08T00:00:00"/>
        <d v="2026-03-16T00:00:00"/>
        <d v="2026-06-12T00:00:00"/>
        <d v="2026-03-14T00:00:00"/>
        <d v="2026-05-25T00:00:00"/>
        <d v="2026-01-26T00:00:00"/>
        <d v="2026-03-19T00:00:00"/>
        <d v="2026-04-05T00:00:00"/>
        <d v="2026-05-22T00:00:00"/>
        <d v="2026-06-04T00:00:00"/>
        <d v="2026-03-30T00:00:00"/>
        <d v="2026-04-03T00:00:00"/>
        <d v="2026-04-11T00:00:00"/>
        <d v="2026-01-19T00:00:00"/>
        <d v="2026-02-02T00:00:00"/>
        <d v="2026-02-04T00:00:00"/>
        <d v="2026-05-27T00:00:00"/>
        <d v="2026-03-02T00:00:00"/>
        <d v="2026-03-26T00:00:00"/>
        <d v="2026-05-06T00:00:00"/>
        <d v="2026-06-05T00:00:00"/>
        <d v="2026-06-23T00:00:00"/>
        <d v="2026-05-19T00:00:00"/>
        <d v="2026-05-18T00:00:00"/>
        <d v="2026-06-20T00:00:00"/>
        <d v="2026-05-03T00:00:00"/>
        <d v="2026-06-11T00:00:00"/>
        <d v="2026-05-01T00:00:00"/>
        <d v="2026-03-24T00:00:00"/>
        <d v="2026-05-17T00:00:00"/>
        <d v="2026-04-16T00:00:00"/>
        <d v="2026-03-25T00:00:00"/>
        <d v="2026-01-09T00:00:00"/>
        <d v="2026-04-23T00:00:00"/>
        <d v="2026-04-19T00:00:00"/>
        <d v="2026-05-11T00:00:00"/>
        <d v="2026-02-07T00:00:00"/>
        <d v="2026-04-02T00:00:00"/>
        <d v="2026-04-20T00:00:00"/>
        <d v="2026-06-28T00:00:00"/>
        <d v="2026-05-05T00:00:00"/>
        <d v="2026-04-27T00:00:00"/>
        <d v="2026-01-20T00:00:00"/>
        <d v="2026-03-20T00:00:00"/>
        <d v="2026-04-26T00:00:00"/>
        <d v="2026-01-13T00:00:00"/>
        <d v="2026-05-02T00:00:00"/>
        <d v="2026-02-08T00:00:00"/>
        <d v="2026-05-04T00:00:00"/>
        <d v="2026-01-17T00:00:00"/>
        <d v="2026-04-21T00:00:00"/>
        <d v="2026-06-16T00:00:00"/>
        <d v="2026-01-07T00:00:00"/>
        <d v="2026-02-18T00:00:00"/>
        <d v="2026-01-25T00:00:00"/>
        <d v="2026-04-17T00:00:00"/>
        <d v="2026-03-07T00:00:00"/>
        <d v="2026-05-26T00:00:00"/>
        <d v="2026-04-12T00:00:00"/>
        <d v="2026-05-29T00:00:00"/>
        <d v="2026-04-15T00:00:00"/>
        <d v="2026-06-06T00:00:00"/>
        <d v="2026-01-22T00:00:00"/>
        <d v="2026-06-30T00:00:00"/>
        <d v="2026-02-06T00:00:00"/>
        <d v="2026-02-01T00:00:00"/>
        <d v="2026-03-08T00:00:00"/>
        <d v="2026-02-03T00:00:00"/>
        <d v="2026-03-27T00:00:00"/>
        <d v="2026-01-24T00:00:00"/>
        <d v="2026-04-13T00:00:00"/>
        <d v="2026-05-28T00:00:00"/>
        <d v="2026-03-23T00:00:00"/>
        <d v="2026-01-30T00:00:00"/>
        <d v="2026-06-14T00:00:00"/>
        <d v="2026-02-17T00:00:00"/>
        <d v="2026-06-08T00:00:00"/>
        <d v="2026-05-31T00:00:00"/>
        <d v="2026-02-25T00:00:00"/>
        <d v="2026-03-11T00:00:00"/>
        <d v="2026-03-17T00:00:00"/>
        <d v="2026-05-23T00:00:00"/>
        <d v="2026-06-27T00:00:00"/>
        <d v="2026-02-11T00:00:00"/>
        <d v="2026-05-20T00:00:00"/>
        <d v="2026-03-15T00:00:00"/>
        <d v="2026-05-24T00:00:00"/>
        <d v="2026-01-12T00:00:00"/>
        <d v="2026-06-24T00:00:00"/>
        <d v="2026-06-26T00:00:00"/>
        <d v="2026-04-30T00:00:00"/>
        <d v="2026-02-26T00:00:00"/>
        <d v="2026-01-15T00:00:00"/>
        <d v="2026-06-01T00:00:00"/>
        <d v="2026-04-28T00:00:00"/>
        <d v="2026-03-22T00:00:00"/>
        <d v="2026-05-14T00:00:00"/>
        <d v="2026-02-27T00:00:00"/>
        <d v="2026-05-09T00:00:00"/>
        <d v="2026-02-16T00:00:00"/>
        <d v="2026-03-28T00:00:00"/>
        <d v="2026-01-28T00:00:00"/>
        <d v="2026-04-06T00:00:00"/>
        <d v="2026-03-01T00:00:00"/>
        <d v="2026-04-08T00:00:00"/>
        <d v="2026-01-02T00:00:00"/>
        <d v="2026-06-18T00:00:00"/>
        <d v="2026-06-25T00:00:00"/>
        <d v="2026-01-04T00:00:00"/>
        <d v="2026-03-12T00:00:00"/>
        <d v="2026-02-09T00:00:00"/>
        <d v="2026-04-07T00:00:00"/>
      </sharedItems>
      <fieldGroup par="11"/>
    </cacheField>
    <cacheField name="Store_Location" numFmtId="0">
      <sharedItems count="3">
        <s v="Connaught Place"/>
        <s v="Cyber Hub"/>
        <s v="Indiranagar"/>
      </sharedItems>
    </cacheField>
    <cacheField name="Product_Category" numFmtId="0">
      <sharedItems count="4">
        <s v="Tea"/>
        <s v="Coffee"/>
        <s v="Bakery"/>
        <s v="Beverages"/>
      </sharedItems>
    </cacheField>
    <cacheField name="Quantity" numFmtId="0">
      <sharedItems containsSemiMixedTypes="0" containsString="0" containsNumber="1" containsInteger="1" minValue="1" maxValue="3"/>
    </cacheField>
    <cacheField name="Unit_Price" numFmtId="0">
      <sharedItems containsSemiMixedTypes="0" containsString="0" containsNumber="1" containsInteger="1" minValue="40" maxValue="100"/>
    </cacheField>
    <cacheField name="Total_Amount" numFmtId="0">
      <sharedItems containsSemiMixedTypes="0" containsString="0" containsNumber="1" containsInteger="1" minValue="40" maxValue="300"/>
    </cacheField>
    <cacheField name="Payment-method" numFmtId="0">
      <sharedItems count="3">
        <s v="UPI"/>
        <s v="Card"/>
        <s v="Cash"/>
      </sharedItems>
    </cacheField>
    <cacheField name="Order_type" numFmtId="0">
      <sharedItems count="3">
        <s v="Dine-in"/>
        <s v="Online Delivery"/>
        <s v="Takeaway"/>
      </sharedItems>
    </cacheField>
    <cacheField name="Customer_Rating" numFmtId="0">
      <sharedItems containsSemiMixedTypes="0" containsString="0" containsNumber="1" containsInteger="1" minValue="1" maxValue="5"/>
    </cacheField>
    <cacheField name="Days (Date)" numFmtId="0" databaseField="0">
      <fieldGroup base="1">
        <rangePr groupBy="days" startDate="2026-01-02T00:00:00" endDate="2026-07-01T00:00:00"/>
        <groupItems count="368">
          <s v="&lt;02-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6"/>
        </groupItems>
      </fieldGroup>
    </cacheField>
    <cacheField name="Months (Date)" numFmtId="0" databaseField="0">
      <fieldGroup base="1">
        <rangePr groupBy="months" startDate="2026-01-02T00:00:00" endDate="2026-07-01T00:00:00"/>
        <groupItems count="14">
          <s v="&lt;02-01-2026"/>
          <s v="Jan"/>
          <s v="Feb"/>
          <s v="Mar"/>
          <s v="Apr"/>
          <s v="May"/>
          <s v="Jun"/>
          <s v="Jul"/>
          <s v="Aug"/>
          <s v="Sep"/>
          <s v="Oct"/>
          <s v="Nov"/>
          <s v="Dec"/>
          <s v="&gt;01-07-2026"/>
        </groupItems>
      </fieldGroup>
    </cacheField>
  </cacheFields>
  <extLst>
    <ext xmlns:x14="http://schemas.microsoft.com/office/spreadsheetml/2009/9/main" uri="{725AE2AE-9491-48be-B2B4-4EB974FC3084}">
      <x14:pivotCacheDefinition pivotCacheId="1008250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n v="1001"/>
    <x v="0"/>
    <x v="0"/>
    <x v="0"/>
    <n v="3"/>
    <n v="40"/>
    <n v="120"/>
    <x v="0"/>
    <x v="0"/>
    <n v="2"/>
  </r>
  <r>
    <n v="1002"/>
    <x v="1"/>
    <x v="1"/>
    <x v="1"/>
    <n v="1"/>
    <n v="60"/>
    <n v="60"/>
    <x v="0"/>
    <x v="1"/>
    <n v="1"/>
  </r>
  <r>
    <n v="1003"/>
    <x v="2"/>
    <x v="1"/>
    <x v="0"/>
    <n v="1"/>
    <n v="40"/>
    <n v="40"/>
    <x v="1"/>
    <x v="0"/>
    <n v="3"/>
  </r>
  <r>
    <n v="1004"/>
    <x v="3"/>
    <x v="0"/>
    <x v="1"/>
    <n v="3"/>
    <n v="60"/>
    <n v="180"/>
    <x v="0"/>
    <x v="1"/>
    <n v="2"/>
  </r>
  <r>
    <n v="1005"/>
    <x v="4"/>
    <x v="2"/>
    <x v="1"/>
    <n v="2"/>
    <n v="60"/>
    <n v="120"/>
    <x v="2"/>
    <x v="0"/>
    <n v="5"/>
  </r>
  <r>
    <n v="1006"/>
    <x v="5"/>
    <x v="2"/>
    <x v="2"/>
    <n v="2"/>
    <n v="100"/>
    <n v="200"/>
    <x v="2"/>
    <x v="1"/>
    <n v="1"/>
  </r>
  <r>
    <n v="1007"/>
    <x v="3"/>
    <x v="2"/>
    <x v="3"/>
    <n v="1"/>
    <n v="80"/>
    <n v="80"/>
    <x v="0"/>
    <x v="0"/>
    <n v="5"/>
  </r>
  <r>
    <n v="1008"/>
    <x v="6"/>
    <x v="2"/>
    <x v="2"/>
    <n v="3"/>
    <n v="100"/>
    <n v="300"/>
    <x v="2"/>
    <x v="1"/>
    <n v="3"/>
  </r>
  <r>
    <n v="1009"/>
    <x v="7"/>
    <x v="1"/>
    <x v="3"/>
    <n v="2"/>
    <n v="80"/>
    <n v="160"/>
    <x v="2"/>
    <x v="2"/>
    <n v="4"/>
  </r>
  <r>
    <n v="1010"/>
    <x v="8"/>
    <x v="0"/>
    <x v="3"/>
    <n v="2"/>
    <n v="80"/>
    <n v="160"/>
    <x v="2"/>
    <x v="0"/>
    <n v="1"/>
  </r>
  <r>
    <n v="1011"/>
    <x v="9"/>
    <x v="0"/>
    <x v="2"/>
    <n v="3"/>
    <n v="100"/>
    <n v="300"/>
    <x v="2"/>
    <x v="0"/>
    <n v="1"/>
  </r>
  <r>
    <n v="1012"/>
    <x v="1"/>
    <x v="0"/>
    <x v="1"/>
    <n v="3"/>
    <n v="60"/>
    <n v="180"/>
    <x v="1"/>
    <x v="0"/>
    <n v="4"/>
  </r>
  <r>
    <n v="1013"/>
    <x v="10"/>
    <x v="0"/>
    <x v="1"/>
    <n v="3"/>
    <n v="60"/>
    <n v="180"/>
    <x v="2"/>
    <x v="0"/>
    <n v="4"/>
  </r>
  <r>
    <n v="1014"/>
    <x v="11"/>
    <x v="1"/>
    <x v="1"/>
    <n v="2"/>
    <n v="60"/>
    <n v="120"/>
    <x v="1"/>
    <x v="0"/>
    <n v="4"/>
  </r>
  <r>
    <n v="1015"/>
    <x v="3"/>
    <x v="2"/>
    <x v="2"/>
    <n v="3"/>
    <n v="100"/>
    <n v="300"/>
    <x v="1"/>
    <x v="1"/>
    <n v="4"/>
  </r>
  <r>
    <n v="1016"/>
    <x v="12"/>
    <x v="2"/>
    <x v="0"/>
    <n v="2"/>
    <n v="40"/>
    <n v="80"/>
    <x v="2"/>
    <x v="0"/>
    <n v="5"/>
  </r>
  <r>
    <n v="1017"/>
    <x v="6"/>
    <x v="0"/>
    <x v="0"/>
    <n v="3"/>
    <n v="40"/>
    <n v="120"/>
    <x v="0"/>
    <x v="2"/>
    <n v="4"/>
  </r>
  <r>
    <n v="1018"/>
    <x v="13"/>
    <x v="0"/>
    <x v="1"/>
    <n v="1"/>
    <n v="60"/>
    <n v="60"/>
    <x v="2"/>
    <x v="2"/>
    <n v="3"/>
  </r>
  <r>
    <n v="1019"/>
    <x v="14"/>
    <x v="1"/>
    <x v="0"/>
    <n v="2"/>
    <n v="40"/>
    <n v="80"/>
    <x v="1"/>
    <x v="2"/>
    <n v="4"/>
  </r>
  <r>
    <n v="1020"/>
    <x v="15"/>
    <x v="1"/>
    <x v="0"/>
    <n v="1"/>
    <n v="40"/>
    <n v="40"/>
    <x v="2"/>
    <x v="2"/>
    <n v="3"/>
  </r>
  <r>
    <n v="1021"/>
    <x v="16"/>
    <x v="0"/>
    <x v="3"/>
    <n v="3"/>
    <n v="80"/>
    <n v="240"/>
    <x v="0"/>
    <x v="0"/>
    <n v="5"/>
  </r>
  <r>
    <n v="1022"/>
    <x v="17"/>
    <x v="1"/>
    <x v="3"/>
    <n v="3"/>
    <n v="80"/>
    <n v="240"/>
    <x v="1"/>
    <x v="2"/>
    <n v="1"/>
  </r>
  <r>
    <n v="1023"/>
    <x v="18"/>
    <x v="2"/>
    <x v="0"/>
    <n v="2"/>
    <n v="40"/>
    <n v="80"/>
    <x v="0"/>
    <x v="1"/>
    <n v="5"/>
  </r>
  <r>
    <n v="1024"/>
    <x v="19"/>
    <x v="1"/>
    <x v="3"/>
    <n v="3"/>
    <n v="80"/>
    <n v="240"/>
    <x v="1"/>
    <x v="2"/>
    <n v="3"/>
  </r>
  <r>
    <n v="1025"/>
    <x v="20"/>
    <x v="0"/>
    <x v="1"/>
    <n v="2"/>
    <n v="60"/>
    <n v="120"/>
    <x v="2"/>
    <x v="2"/>
    <n v="4"/>
  </r>
  <r>
    <n v="1026"/>
    <x v="21"/>
    <x v="2"/>
    <x v="2"/>
    <n v="1"/>
    <n v="100"/>
    <n v="100"/>
    <x v="1"/>
    <x v="0"/>
    <n v="1"/>
  </r>
  <r>
    <n v="1027"/>
    <x v="22"/>
    <x v="0"/>
    <x v="3"/>
    <n v="3"/>
    <n v="80"/>
    <n v="240"/>
    <x v="1"/>
    <x v="0"/>
    <n v="4"/>
  </r>
  <r>
    <n v="1028"/>
    <x v="18"/>
    <x v="0"/>
    <x v="2"/>
    <n v="2"/>
    <n v="100"/>
    <n v="200"/>
    <x v="2"/>
    <x v="2"/>
    <n v="3"/>
  </r>
  <r>
    <n v="1029"/>
    <x v="23"/>
    <x v="0"/>
    <x v="3"/>
    <n v="2"/>
    <n v="80"/>
    <n v="160"/>
    <x v="1"/>
    <x v="1"/>
    <n v="1"/>
  </r>
  <r>
    <n v="1030"/>
    <x v="24"/>
    <x v="1"/>
    <x v="2"/>
    <n v="2"/>
    <n v="100"/>
    <n v="200"/>
    <x v="1"/>
    <x v="2"/>
    <n v="5"/>
  </r>
  <r>
    <n v="1031"/>
    <x v="25"/>
    <x v="0"/>
    <x v="0"/>
    <n v="3"/>
    <n v="40"/>
    <n v="120"/>
    <x v="1"/>
    <x v="2"/>
    <n v="5"/>
  </r>
  <r>
    <n v="1032"/>
    <x v="26"/>
    <x v="1"/>
    <x v="3"/>
    <n v="2"/>
    <n v="80"/>
    <n v="160"/>
    <x v="2"/>
    <x v="0"/>
    <n v="4"/>
  </r>
  <r>
    <n v="1033"/>
    <x v="27"/>
    <x v="2"/>
    <x v="2"/>
    <n v="1"/>
    <n v="100"/>
    <n v="100"/>
    <x v="1"/>
    <x v="0"/>
    <n v="2"/>
  </r>
  <r>
    <n v="1034"/>
    <x v="28"/>
    <x v="0"/>
    <x v="2"/>
    <n v="2"/>
    <n v="100"/>
    <n v="200"/>
    <x v="1"/>
    <x v="0"/>
    <n v="3"/>
  </r>
  <r>
    <n v="1035"/>
    <x v="29"/>
    <x v="2"/>
    <x v="2"/>
    <n v="2"/>
    <n v="100"/>
    <n v="200"/>
    <x v="2"/>
    <x v="0"/>
    <n v="3"/>
  </r>
  <r>
    <n v="1036"/>
    <x v="30"/>
    <x v="1"/>
    <x v="2"/>
    <n v="3"/>
    <n v="100"/>
    <n v="300"/>
    <x v="2"/>
    <x v="0"/>
    <n v="1"/>
  </r>
  <r>
    <n v="1037"/>
    <x v="31"/>
    <x v="0"/>
    <x v="3"/>
    <n v="1"/>
    <n v="80"/>
    <n v="80"/>
    <x v="0"/>
    <x v="1"/>
    <n v="4"/>
  </r>
  <r>
    <n v="1038"/>
    <x v="17"/>
    <x v="2"/>
    <x v="0"/>
    <n v="1"/>
    <n v="40"/>
    <n v="40"/>
    <x v="1"/>
    <x v="0"/>
    <n v="2"/>
  </r>
  <r>
    <n v="1039"/>
    <x v="32"/>
    <x v="1"/>
    <x v="2"/>
    <n v="1"/>
    <n v="100"/>
    <n v="100"/>
    <x v="1"/>
    <x v="2"/>
    <n v="1"/>
  </r>
  <r>
    <n v="1040"/>
    <x v="33"/>
    <x v="0"/>
    <x v="2"/>
    <n v="3"/>
    <n v="100"/>
    <n v="300"/>
    <x v="1"/>
    <x v="1"/>
    <n v="1"/>
  </r>
  <r>
    <n v="1041"/>
    <x v="34"/>
    <x v="1"/>
    <x v="3"/>
    <n v="3"/>
    <n v="80"/>
    <n v="240"/>
    <x v="2"/>
    <x v="2"/>
    <n v="5"/>
  </r>
  <r>
    <n v="1042"/>
    <x v="35"/>
    <x v="0"/>
    <x v="0"/>
    <n v="2"/>
    <n v="40"/>
    <n v="80"/>
    <x v="0"/>
    <x v="1"/>
    <n v="1"/>
  </r>
  <r>
    <n v="1043"/>
    <x v="36"/>
    <x v="1"/>
    <x v="0"/>
    <n v="2"/>
    <n v="40"/>
    <n v="80"/>
    <x v="2"/>
    <x v="1"/>
    <n v="4"/>
  </r>
  <r>
    <n v="1044"/>
    <x v="37"/>
    <x v="2"/>
    <x v="0"/>
    <n v="2"/>
    <n v="40"/>
    <n v="80"/>
    <x v="1"/>
    <x v="2"/>
    <n v="4"/>
  </r>
  <r>
    <n v="1045"/>
    <x v="38"/>
    <x v="2"/>
    <x v="0"/>
    <n v="2"/>
    <n v="40"/>
    <n v="80"/>
    <x v="2"/>
    <x v="2"/>
    <n v="5"/>
  </r>
  <r>
    <n v="1046"/>
    <x v="39"/>
    <x v="1"/>
    <x v="2"/>
    <n v="3"/>
    <n v="100"/>
    <n v="300"/>
    <x v="0"/>
    <x v="1"/>
    <n v="1"/>
  </r>
  <r>
    <n v="1047"/>
    <x v="40"/>
    <x v="1"/>
    <x v="2"/>
    <n v="1"/>
    <n v="100"/>
    <n v="100"/>
    <x v="0"/>
    <x v="1"/>
    <n v="2"/>
  </r>
  <r>
    <n v="1048"/>
    <x v="32"/>
    <x v="1"/>
    <x v="1"/>
    <n v="3"/>
    <n v="60"/>
    <n v="180"/>
    <x v="1"/>
    <x v="2"/>
    <n v="4"/>
  </r>
  <r>
    <n v="1049"/>
    <x v="41"/>
    <x v="2"/>
    <x v="2"/>
    <n v="2"/>
    <n v="100"/>
    <n v="200"/>
    <x v="2"/>
    <x v="2"/>
    <n v="4"/>
  </r>
  <r>
    <n v="1050"/>
    <x v="42"/>
    <x v="0"/>
    <x v="1"/>
    <n v="3"/>
    <n v="60"/>
    <n v="180"/>
    <x v="0"/>
    <x v="1"/>
    <n v="2"/>
  </r>
  <r>
    <n v="1051"/>
    <x v="43"/>
    <x v="2"/>
    <x v="0"/>
    <n v="3"/>
    <n v="40"/>
    <n v="120"/>
    <x v="0"/>
    <x v="0"/>
    <n v="1"/>
  </r>
  <r>
    <n v="1052"/>
    <x v="42"/>
    <x v="0"/>
    <x v="3"/>
    <n v="1"/>
    <n v="80"/>
    <n v="80"/>
    <x v="0"/>
    <x v="2"/>
    <n v="3"/>
  </r>
  <r>
    <n v="1053"/>
    <x v="44"/>
    <x v="1"/>
    <x v="0"/>
    <n v="2"/>
    <n v="40"/>
    <n v="80"/>
    <x v="2"/>
    <x v="2"/>
    <n v="4"/>
  </r>
  <r>
    <n v="1054"/>
    <x v="45"/>
    <x v="1"/>
    <x v="3"/>
    <n v="3"/>
    <n v="80"/>
    <n v="240"/>
    <x v="2"/>
    <x v="0"/>
    <n v="3"/>
  </r>
  <r>
    <n v="1055"/>
    <x v="46"/>
    <x v="2"/>
    <x v="1"/>
    <n v="3"/>
    <n v="60"/>
    <n v="180"/>
    <x v="1"/>
    <x v="0"/>
    <n v="1"/>
  </r>
  <r>
    <n v="1056"/>
    <x v="47"/>
    <x v="0"/>
    <x v="1"/>
    <n v="2"/>
    <n v="60"/>
    <n v="120"/>
    <x v="2"/>
    <x v="0"/>
    <n v="1"/>
  </r>
  <r>
    <n v="1057"/>
    <x v="48"/>
    <x v="1"/>
    <x v="3"/>
    <n v="2"/>
    <n v="80"/>
    <n v="160"/>
    <x v="1"/>
    <x v="1"/>
    <n v="4"/>
  </r>
  <r>
    <n v="1058"/>
    <x v="13"/>
    <x v="1"/>
    <x v="0"/>
    <n v="3"/>
    <n v="40"/>
    <n v="120"/>
    <x v="2"/>
    <x v="0"/>
    <n v="2"/>
  </r>
  <r>
    <n v="1059"/>
    <x v="6"/>
    <x v="0"/>
    <x v="3"/>
    <n v="1"/>
    <n v="80"/>
    <n v="80"/>
    <x v="2"/>
    <x v="1"/>
    <n v="1"/>
  </r>
  <r>
    <n v="1060"/>
    <x v="24"/>
    <x v="0"/>
    <x v="2"/>
    <n v="3"/>
    <n v="100"/>
    <n v="300"/>
    <x v="0"/>
    <x v="2"/>
    <n v="3"/>
  </r>
  <r>
    <n v="1061"/>
    <x v="49"/>
    <x v="0"/>
    <x v="2"/>
    <n v="1"/>
    <n v="100"/>
    <n v="100"/>
    <x v="2"/>
    <x v="2"/>
    <n v="1"/>
  </r>
  <r>
    <n v="1062"/>
    <x v="42"/>
    <x v="2"/>
    <x v="1"/>
    <n v="1"/>
    <n v="60"/>
    <n v="60"/>
    <x v="1"/>
    <x v="2"/>
    <n v="4"/>
  </r>
  <r>
    <n v="1063"/>
    <x v="50"/>
    <x v="2"/>
    <x v="3"/>
    <n v="3"/>
    <n v="80"/>
    <n v="240"/>
    <x v="2"/>
    <x v="2"/>
    <n v="5"/>
  </r>
  <r>
    <n v="1064"/>
    <x v="51"/>
    <x v="1"/>
    <x v="3"/>
    <n v="2"/>
    <n v="80"/>
    <n v="160"/>
    <x v="1"/>
    <x v="0"/>
    <n v="2"/>
  </r>
  <r>
    <n v="1065"/>
    <x v="39"/>
    <x v="1"/>
    <x v="1"/>
    <n v="3"/>
    <n v="60"/>
    <n v="180"/>
    <x v="2"/>
    <x v="2"/>
    <n v="4"/>
  </r>
  <r>
    <n v="1066"/>
    <x v="52"/>
    <x v="1"/>
    <x v="3"/>
    <n v="1"/>
    <n v="80"/>
    <n v="80"/>
    <x v="1"/>
    <x v="1"/>
    <n v="2"/>
  </r>
  <r>
    <n v="1067"/>
    <x v="47"/>
    <x v="2"/>
    <x v="3"/>
    <n v="2"/>
    <n v="80"/>
    <n v="160"/>
    <x v="0"/>
    <x v="0"/>
    <n v="1"/>
  </r>
  <r>
    <n v="1068"/>
    <x v="53"/>
    <x v="2"/>
    <x v="2"/>
    <n v="1"/>
    <n v="100"/>
    <n v="100"/>
    <x v="1"/>
    <x v="0"/>
    <n v="3"/>
  </r>
  <r>
    <n v="1069"/>
    <x v="54"/>
    <x v="0"/>
    <x v="2"/>
    <n v="1"/>
    <n v="100"/>
    <n v="100"/>
    <x v="1"/>
    <x v="2"/>
    <n v="4"/>
  </r>
  <r>
    <n v="1070"/>
    <x v="45"/>
    <x v="2"/>
    <x v="1"/>
    <n v="1"/>
    <n v="60"/>
    <n v="60"/>
    <x v="0"/>
    <x v="1"/>
    <n v="2"/>
  </r>
  <r>
    <n v="1071"/>
    <x v="55"/>
    <x v="1"/>
    <x v="1"/>
    <n v="1"/>
    <n v="60"/>
    <n v="60"/>
    <x v="1"/>
    <x v="0"/>
    <n v="2"/>
  </r>
  <r>
    <n v="1072"/>
    <x v="56"/>
    <x v="1"/>
    <x v="0"/>
    <n v="3"/>
    <n v="40"/>
    <n v="120"/>
    <x v="1"/>
    <x v="0"/>
    <n v="5"/>
  </r>
  <r>
    <n v="1073"/>
    <x v="57"/>
    <x v="0"/>
    <x v="1"/>
    <n v="1"/>
    <n v="60"/>
    <n v="60"/>
    <x v="0"/>
    <x v="1"/>
    <n v="3"/>
  </r>
  <r>
    <n v="1074"/>
    <x v="58"/>
    <x v="1"/>
    <x v="2"/>
    <n v="3"/>
    <n v="100"/>
    <n v="300"/>
    <x v="2"/>
    <x v="0"/>
    <n v="5"/>
  </r>
  <r>
    <n v="1075"/>
    <x v="59"/>
    <x v="2"/>
    <x v="1"/>
    <n v="1"/>
    <n v="60"/>
    <n v="60"/>
    <x v="1"/>
    <x v="2"/>
    <n v="4"/>
  </r>
  <r>
    <n v="1076"/>
    <x v="60"/>
    <x v="2"/>
    <x v="1"/>
    <n v="1"/>
    <n v="60"/>
    <n v="60"/>
    <x v="2"/>
    <x v="2"/>
    <n v="5"/>
  </r>
  <r>
    <n v="1077"/>
    <x v="8"/>
    <x v="0"/>
    <x v="3"/>
    <n v="1"/>
    <n v="80"/>
    <n v="80"/>
    <x v="2"/>
    <x v="2"/>
    <n v="4"/>
  </r>
  <r>
    <n v="1078"/>
    <x v="61"/>
    <x v="0"/>
    <x v="0"/>
    <n v="3"/>
    <n v="40"/>
    <n v="120"/>
    <x v="1"/>
    <x v="1"/>
    <n v="1"/>
  </r>
  <r>
    <n v="1079"/>
    <x v="62"/>
    <x v="0"/>
    <x v="0"/>
    <n v="1"/>
    <n v="40"/>
    <n v="40"/>
    <x v="0"/>
    <x v="1"/>
    <n v="4"/>
  </r>
  <r>
    <n v="1080"/>
    <x v="63"/>
    <x v="1"/>
    <x v="2"/>
    <n v="1"/>
    <n v="100"/>
    <n v="100"/>
    <x v="0"/>
    <x v="1"/>
    <n v="5"/>
  </r>
  <r>
    <n v="1081"/>
    <x v="64"/>
    <x v="0"/>
    <x v="1"/>
    <n v="3"/>
    <n v="60"/>
    <n v="180"/>
    <x v="1"/>
    <x v="2"/>
    <n v="5"/>
  </r>
  <r>
    <n v="1082"/>
    <x v="6"/>
    <x v="2"/>
    <x v="1"/>
    <n v="1"/>
    <n v="60"/>
    <n v="60"/>
    <x v="0"/>
    <x v="0"/>
    <n v="4"/>
  </r>
  <r>
    <n v="1083"/>
    <x v="65"/>
    <x v="0"/>
    <x v="1"/>
    <n v="2"/>
    <n v="60"/>
    <n v="120"/>
    <x v="0"/>
    <x v="0"/>
    <n v="3"/>
  </r>
  <r>
    <n v="1084"/>
    <x v="66"/>
    <x v="0"/>
    <x v="2"/>
    <n v="1"/>
    <n v="100"/>
    <n v="100"/>
    <x v="2"/>
    <x v="0"/>
    <n v="5"/>
  </r>
  <r>
    <n v="1085"/>
    <x v="67"/>
    <x v="2"/>
    <x v="0"/>
    <n v="1"/>
    <n v="40"/>
    <n v="40"/>
    <x v="2"/>
    <x v="1"/>
    <n v="2"/>
  </r>
  <r>
    <n v="1086"/>
    <x v="68"/>
    <x v="2"/>
    <x v="1"/>
    <n v="2"/>
    <n v="60"/>
    <n v="120"/>
    <x v="0"/>
    <x v="2"/>
    <n v="4"/>
  </r>
  <r>
    <n v="1087"/>
    <x v="69"/>
    <x v="0"/>
    <x v="2"/>
    <n v="1"/>
    <n v="100"/>
    <n v="100"/>
    <x v="1"/>
    <x v="1"/>
    <n v="3"/>
  </r>
  <r>
    <n v="1088"/>
    <x v="70"/>
    <x v="1"/>
    <x v="0"/>
    <n v="2"/>
    <n v="40"/>
    <n v="80"/>
    <x v="1"/>
    <x v="0"/>
    <n v="5"/>
  </r>
  <r>
    <n v="1089"/>
    <x v="60"/>
    <x v="2"/>
    <x v="0"/>
    <n v="2"/>
    <n v="40"/>
    <n v="80"/>
    <x v="0"/>
    <x v="1"/>
    <n v="3"/>
  </r>
  <r>
    <n v="1090"/>
    <x v="71"/>
    <x v="2"/>
    <x v="1"/>
    <n v="1"/>
    <n v="60"/>
    <n v="60"/>
    <x v="2"/>
    <x v="1"/>
    <n v="2"/>
  </r>
  <r>
    <n v="1091"/>
    <x v="72"/>
    <x v="0"/>
    <x v="0"/>
    <n v="1"/>
    <n v="40"/>
    <n v="40"/>
    <x v="0"/>
    <x v="1"/>
    <n v="5"/>
  </r>
  <r>
    <n v="1092"/>
    <x v="73"/>
    <x v="0"/>
    <x v="1"/>
    <n v="3"/>
    <n v="60"/>
    <n v="180"/>
    <x v="1"/>
    <x v="1"/>
    <n v="4"/>
  </r>
  <r>
    <n v="1093"/>
    <x v="74"/>
    <x v="2"/>
    <x v="3"/>
    <n v="1"/>
    <n v="80"/>
    <n v="80"/>
    <x v="0"/>
    <x v="1"/>
    <n v="3"/>
  </r>
  <r>
    <n v="1094"/>
    <x v="65"/>
    <x v="0"/>
    <x v="2"/>
    <n v="2"/>
    <n v="100"/>
    <n v="200"/>
    <x v="1"/>
    <x v="0"/>
    <n v="1"/>
  </r>
  <r>
    <n v="1095"/>
    <x v="75"/>
    <x v="1"/>
    <x v="3"/>
    <n v="1"/>
    <n v="80"/>
    <n v="80"/>
    <x v="2"/>
    <x v="0"/>
    <n v="4"/>
  </r>
  <r>
    <n v="1096"/>
    <x v="64"/>
    <x v="2"/>
    <x v="2"/>
    <n v="2"/>
    <n v="100"/>
    <n v="200"/>
    <x v="0"/>
    <x v="2"/>
    <n v="3"/>
  </r>
  <r>
    <n v="1097"/>
    <x v="76"/>
    <x v="1"/>
    <x v="0"/>
    <n v="1"/>
    <n v="40"/>
    <n v="40"/>
    <x v="1"/>
    <x v="2"/>
    <n v="2"/>
  </r>
  <r>
    <n v="1098"/>
    <x v="77"/>
    <x v="2"/>
    <x v="3"/>
    <n v="3"/>
    <n v="80"/>
    <n v="240"/>
    <x v="2"/>
    <x v="0"/>
    <n v="2"/>
  </r>
  <r>
    <n v="1099"/>
    <x v="34"/>
    <x v="1"/>
    <x v="0"/>
    <n v="1"/>
    <n v="40"/>
    <n v="40"/>
    <x v="1"/>
    <x v="0"/>
    <n v="5"/>
  </r>
  <r>
    <n v="1100"/>
    <x v="78"/>
    <x v="2"/>
    <x v="2"/>
    <n v="3"/>
    <n v="100"/>
    <n v="300"/>
    <x v="0"/>
    <x v="2"/>
    <n v="2"/>
  </r>
  <r>
    <n v="1101"/>
    <x v="79"/>
    <x v="1"/>
    <x v="0"/>
    <n v="2"/>
    <n v="40"/>
    <n v="80"/>
    <x v="1"/>
    <x v="2"/>
    <n v="1"/>
  </r>
  <r>
    <n v="1102"/>
    <x v="80"/>
    <x v="1"/>
    <x v="1"/>
    <n v="3"/>
    <n v="60"/>
    <n v="180"/>
    <x v="0"/>
    <x v="1"/>
    <n v="1"/>
  </r>
  <r>
    <n v="1103"/>
    <x v="52"/>
    <x v="2"/>
    <x v="3"/>
    <n v="1"/>
    <n v="80"/>
    <n v="80"/>
    <x v="2"/>
    <x v="2"/>
    <n v="3"/>
  </r>
  <r>
    <n v="1104"/>
    <x v="81"/>
    <x v="2"/>
    <x v="0"/>
    <n v="2"/>
    <n v="40"/>
    <n v="80"/>
    <x v="1"/>
    <x v="0"/>
    <n v="5"/>
  </r>
  <r>
    <n v="1105"/>
    <x v="69"/>
    <x v="1"/>
    <x v="3"/>
    <n v="2"/>
    <n v="80"/>
    <n v="160"/>
    <x v="0"/>
    <x v="0"/>
    <n v="3"/>
  </r>
  <r>
    <n v="1106"/>
    <x v="82"/>
    <x v="0"/>
    <x v="0"/>
    <n v="2"/>
    <n v="40"/>
    <n v="80"/>
    <x v="1"/>
    <x v="0"/>
    <n v="1"/>
  </r>
  <r>
    <n v="1107"/>
    <x v="83"/>
    <x v="2"/>
    <x v="3"/>
    <n v="2"/>
    <n v="80"/>
    <n v="160"/>
    <x v="1"/>
    <x v="2"/>
    <n v="2"/>
  </r>
  <r>
    <n v="1108"/>
    <x v="37"/>
    <x v="2"/>
    <x v="3"/>
    <n v="2"/>
    <n v="80"/>
    <n v="160"/>
    <x v="0"/>
    <x v="2"/>
    <n v="3"/>
  </r>
  <r>
    <n v="1109"/>
    <x v="84"/>
    <x v="0"/>
    <x v="2"/>
    <n v="3"/>
    <n v="100"/>
    <n v="300"/>
    <x v="0"/>
    <x v="2"/>
    <n v="3"/>
  </r>
  <r>
    <n v="1110"/>
    <x v="16"/>
    <x v="2"/>
    <x v="0"/>
    <n v="1"/>
    <n v="40"/>
    <n v="40"/>
    <x v="1"/>
    <x v="0"/>
    <n v="5"/>
  </r>
  <r>
    <n v="1111"/>
    <x v="85"/>
    <x v="2"/>
    <x v="1"/>
    <n v="2"/>
    <n v="60"/>
    <n v="120"/>
    <x v="1"/>
    <x v="1"/>
    <n v="1"/>
  </r>
  <r>
    <n v="1112"/>
    <x v="86"/>
    <x v="2"/>
    <x v="2"/>
    <n v="1"/>
    <n v="100"/>
    <n v="100"/>
    <x v="0"/>
    <x v="0"/>
    <n v="3"/>
  </r>
  <r>
    <n v="1113"/>
    <x v="87"/>
    <x v="0"/>
    <x v="0"/>
    <n v="1"/>
    <n v="40"/>
    <n v="40"/>
    <x v="0"/>
    <x v="1"/>
    <n v="5"/>
  </r>
  <r>
    <n v="1114"/>
    <x v="33"/>
    <x v="1"/>
    <x v="2"/>
    <n v="1"/>
    <n v="100"/>
    <n v="100"/>
    <x v="1"/>
    <x v="2"/>
    <n v="2"/>
  </r>
  <r>
    <n v="1115"/>
    <x v="62"/>
    <x v="2"/>
    <x v="1"/>
    <n v="1"/>
    <n v="60"/>
    <n v="60"/>
    <x v="2"/>
    <x v="0"/>
    <n v="5"/>
  </r>
  <r>
    <n v="1116"/>
    <x v="88"/>
    <x v="1"/>
    <x v="3"/>
    <n v="2"/>
    <n v="80"/>
    <n v="160"/>
    <x v="2"/>
    <x v="1"/>
    <n v="3"/>
  </r>
  <r>
    <n v="1117"/>
    <x v="56"/>
    <x v="1"/>
    <x v="1"/>
    <n v="3"/>
    <n v="60"/>
    <n v="180"/>
    <x v="0"/>
    <x v="2"/>
    <n v="2"/>
  </r>
  <r>
    <n v="1118"/>
    <x v="3"/>
    <x v="2"/>
    <x v="1"/>
    <n v="2"/>
    <n v="60"/>
    <n v="120"/>
    <x v="2"/>
    <x v="1"/>
    <n v="2"/>
  </r>
  <r>
    <n v="1119"/>
    <x v="89"/>
    <x v="1"/>
    <x v="0"/>
    <n v="1"/>
    <n v="40"/>
    <n v="40"/>
    <x v="1"/>
    <x v="2"/>
    <n v="5"/>
  </r>
  <r>
    <n v="1120"/>
    <x v="78"/>
    <x v="2"/>
    <x v="1"/>
    <n v="1"/>
    <n v="60"/>
    <n v="60"/>
    <x v="0"/>
    <x v="1"/>
    <n v="2"/>
  </r>
  <r>
    <n v="1121"/>
    <x v="72"/>
    <x v="2"/>
    <x v="0"/>
    <n v="1"/>
    <n v="40"/>
    <n v="40"/>
    <x v="2"/>
    <x v="1"/>
    <n v="4"/>
  </r>
  <r>
    <n v="1122"/>
    <x v="90"/>
    <x v="0"/>
    <x v="1"/>
    <n v="3"/>
    <n v="60"/>
    <n v="180"/>
    <x v="1"/>
    <x v="2"/>
    <n v="5"/>
  </r>
  <r>
    <n v="1123"/>
    <x v="58"/>
    <x v="0"/>
    <x v="2"/>
    <n v="3"/>
    <n v="100"/>
    <n v="300"/>
    <x v="0"/>
    <x v="1"/>
    <n v="3"/>
  </r>
  <r>
    <n v="1124"/>
    <x v="91"/>
    <x v="1"/>
    <x v="2"/>
    <n v="1"/>
    <n v="100"/>
    <n v="100"/>
    <x v="0"/>
    <x v="0"/>
    <n v="3"/>
  </r>
  <r>
    <n v="1125"/>
    <x v="0"/>
    <x v="0"/>
    <x v="1"/>
    <n v="3"/>
    <n v="60"/>
    <n v="180"/>
    <x v="0"/>
    <x v="1"/>
    <n v="1"/>
  </r>
  <r>
    <n v="1126"/>
    <x v="92"/>
    <x v="1"/>
    <x v="2"/>
    <n v="2"/>
    <n v="100"/>
    <n v="200"/>
    <x v="1"/>
    <x v="1"/>
    <n v="3"/>
  </r>
  <r>
    <n v="1127"/>
    <x v="93"/>
    <x v="0"/>
    <x v="0"/>
    <n v="2"/>
    <n v="40"/>
    <n v="80"/>
    <x v="0"/>
    <x v="2"/>
    <n v="3"/>
  </r>
  <r>
    <n v="1128"/>
    <x v="94"/>
    <x v="1"/>
    <x v="2"/>
    <n v="1"/>
    <n v="100"/>
    <n v="100"/>
    <x v="0"/>
    <x v="0"/>
    <n v="2"/>
  </r>
  <r>
    <n v="1129"/>
    <x v="95"/>
    <x v="0"/>
    <x v="1"/>
    <n v="3"/>
    <n v="60"/>
    <n v="180"/>
    <x v="1"/>
    <x v="0"/>
    <n v="5"/>
  </r>
  <r>
    <n v="1130"/>
    <x v="58"/>
    <x v="0"/>
    <x v="0"/>
    <n v="2"/>
    <n v="40"/>
    <n v="80"/>
    <x v="0"/>
    <x v="0"/>
    <n v="2"/>
  </r>
  <r>
    <n v="1131"/>
    <x v="11"/>
    <x v="0"/>
    <x v="3"/>
    <n v="2"/>
    <n v="80"/>
    <n v="160"/>
    <x v="2"/>
    <x v="0"/>
    <n v="4"/>
  </r>
  <r>
    <n v="1132"/>
    <x v="33"/>
    <x v="0"/>
    <x v="0"/>
    <n v="3"/>
    <n v="40"/>
    <n v="120"/>
    <x v="2"/>
    <x v="1"/>
    <n v="1"/>
  </r>
  <r>
    <n v="1133"/>
    <x v="96"/>
    <x v="1"/>
    <x v="0"/>
    <n v="1"/>
    <n v="40"/>
    <n v="40"/>
    <x v="1"/>
    <x v="1"/>
    <n v="2"/>
  </r>
  <r>
    <n v="1134"/>
    <x v="64"/>
    <x v="2"/>
    <x v="0"/>
    <n v="2"/>
    <n v="40"/>
    <n v="80"/>
    <x v="0"/>
    <x v="2"/>
    <n v="4"/>
  </r>
  <r>
    <n v="1135"/>
    <x v="97"/>
    <x v="1"/>
    <x v="3"/>
    <n v="1"/>
    <n v="80"/>
    <n v="80"/>
    <x v="1"/>
    <x v="0"/>
    <n v="3"/>
  </r>
  <r>
    <n v="1136"/>
    <x v="98"/>
    <x v="1"/>
    <x v="0"/>
    <n v="2"/>
    <n v="40"/>
    <n v="80"/>
    <x v="2"/>
    <x v="0"/>
    <n v="3"/>
  </r>
  <r>
    <n v="1137"/>
    <x v="99"/>
    <x v="0"/>
    <x v="3"/>
    <n v="3"/>
    <n v="80"/>
    <n v="240"/>
    <x v="0"/>
    <x v="0"/>
    <n v="2"/>
  </r>
  <r>
    <n v="1138"/>
    <x v="100"/>
    <x v="1"/>
    <x v="3"/>
    <n v="1"/>
    <n v="80"/>
    <n v="80"/>
    <x v="1"/>
    <x v="1"/>
    <n v="3"/>
  </r>
  <r>
    <n v="1139"/>
    <x v="52"/>
    <x v="0"/>
    <x v="3"/>
    <n v="3"/>
    <n v="80"/>
    <n v="240"/>
    <x v="2"/>
    <x v="2"/>
    <n v="2"/>
  </r>
  <r>
    <n v="1140"/>
    <x v="71"/>
    <x v="0"/>
    <x v="1"/>
    <n v="2"/>
    <n v="60"/>
    <n v="120"/>
    <x v="1"/>
    <x v="2"/>
    <n v="5"/>
  </r>
  <r>
    <n v="1141"/>
    <x v="51"/>
    <x v="2"/>
    <x v="2"/>
    <n v="2"/>
    <n v="100"/>
    <n v="200"/>
    <x v="0"/>
    <x v="0"/>
    <n v="5"/>
  </r>
  <r>
    <n v="1142"/>
    <x v="23"/>
    <x v="1"/>
    <x v="1"/>
    <n v="2"/>
    <n v="60"/>
    <n v="120"/>
    <x v="0"/>
    <x v="0"/>
    <n v="3"/>
  </r>
  <r>
    <n v="1143"/>
    <x v="75"/>
    <x v="0"/>
    <x v="1"/>
    <n v="2"/>
    <n v="60"/>
    <n v="120"/>
    <x v="2"/>
    <x v="1"/>
    <n v="2"/>
  </r>
  <r>
    <n v="1144"/>
    <x v="39"/>
    <x v="2"/>
    <x v="1"/>
    <n v="2"/>
    <n v="60"/>
    <n v="120"/>
    <x v="1"/>
    <x v="1"/>
    <n v="1"/>
  </r>
  <r>
    <n v="1145"/>
    <x v="20"/>
    <x v="1"/>
    <x v="2"/>
    <n v="3"/>
    <n v="100"/>
    <n v="300"/>
    <x v="2"/>
    <x v="1"/>
    <n v="3"/>
  </r>
  <r>
    <n v="1146"/>
    <x v="39"/>
    <x v="2"/>
    <x v="3"/>
    <n v="3"/>
    <n v="80"/>
    <n v="240"/>
    <x v="1"/>
    <x v="2"/>
    <n v="5"/>
  </r>
  <r>
    <n v="1147"/>
    <x v="88"/>
    <x v="1"/>
    <x v="1"/>
    <n v="2"/>
    <n v="60"/>
    <n v="120"/>
    <x v="1"/>
    <x v="1"/>
    <n v="2"/>
  </r>
  <r>
    <n v="1148"/>
    <x v="101"/>
    <x v="0"/>
    <x v="0"/>
    <n v="2"/>
    <n v="40"/>
    <n v="80"/>
    <x v="1"/>
    <x v="1"/>
    <n v="3"/>
  </r>
  <r>
    <n v="1149"/>
    <x v="30"/>
    <x v="0"/>
    <x v="3"/>
    <n v="3"/>
    <n v="80"/>
    <n v="240"/>
    <x v="1"/>
    <x v="0"/>
    <n v="5"/>
  </r>
  <r>
    <n v="1150"/>
    <x v="15"/>
    <x v="2"/>
    <x v="0"/>
    <n v="1"/>
    <n v="40"/>
    <n v="40"/>
    <x v="2"/>
    <x v="2"/>
    <n v="5"/>
  </r>
  <r>
    <n v="1151"/>
    <x v="33"/>
    <x v="0"/>
    <x v="3"/>
    <n v="3"/>
    <n v="80"/>
    <n v="240"/>
    <x v="0"/>
    <x v="0"/>
    <n v="2"/>
  </r>
  <r>
    <n v="1152"/>
    <x v="102"/>
    <x v="0"/>
    <x v="1"/>
    <n v="1"/>
    <n v="60"/>
    <n v="60"/>
    <x v="2"/>
    <x v="1"/>
    <n v="3"/>
  </r>
  <r>
    <n v="1153"/>
    <x v="13"/>
    <x v="2"/>
    <x v="1"/>
    <n v="1"/>
    <n v="60"/>
    <n v="60"/>
    <x v="1"/>
    <x v="1"/>
    <n v="1"/>
  </r>
  <r>
    <n v="1154"/>
    <x v="103"/>
    <x v="2"/>
    <x v="1"/>
    <n v="3"/>
    <n v="60"/>
    <n v="180"/>
    <x v="2"/>
    <x v="0"/>
    <n v="3"/>
  </r>
  <r>
    <n v="1155"/>
    <x v="104"/>
    <x v="2"/>
    <x v="3"/>
    <n v="1"/>
    <n v="80"/>
    <n v="80"/>
    <x v="2"/>
    <x v="0"/>
    <n v="5"/>
  </r>
  <r>
    <n v="1156"/>
    <x v="101"/>
    <x v="1"/>
    <x v="0"/>
    <n v="2"/>
    <n v="40"/>
    <n v="80"/>
    <x v="0"/>
    <x v="2"/>
    <n v="4"/>
  </r>
  <r>
    <n v="1157"/>
    <x v="14"/>
    <x v="2"/>
    <x v="3"/>
    <n v="2"/>
    <n v="80"/>
    <n v="160"/>
    <x v="1"/>
    <x v="2"/>
    <n v="1"/>
  </r>
  <r>
    <n v="1158"/>
    <x v="105"/>
    <x v="0"/>
    <x v="2"/>
    <n v="3"/>
    <n v="100"/>
    <n v="300"/>
    <x v="1"/>
    <x v="0"/>
    <n v="2"/>
  </r>
  <r>
    <n v="1159"/>
    <x v="98"/>
    <x v="0"/>
    <x v="3"/>
    <n v="3"/>
    <n v="80"/>
    <n v="240"/>
    <x v="1"/>
    <x v="1"/>
    <n v="2"/>
  </r>
  <r>
    <n v="1160"/>
    <x v="8"/>
    <x v="1"/>
    <x v="2"/>
    <n v="2"/>
    <n v="100"/>
    <n v="200"/>
    <x v="0"/>
    <x v="1"/>
    <n v="4"/>
  </r>
  <r>
    <n v="1161"/>
    <x v="66"/>
    <x v="0"/>
    <x v="3"/>
    <n v="2"/>
    <n v="80"/>
    <n v="160"/>
    <x v="2"/>
    <x v="2"/>
    <n v="3"/>
  </r>
  <r>
    <n v="1162"/>
    <x v="106"/>
    <x v="2"/>
    <x v="1"/>
    <n v="3"/>
    <n v="60"/>
    <n v="180"/>
    <x v="2"/>
    <x v="2"/>
    <n v="2"/>
  </r>
  <r>
    <n v="1163"/>
    <x v="65"/>
    <x v="1"/>
    <x v="2"/>
    <n v="1"/>
    <n v="100"/>
    <n v="100"/>
    <x v="0"/>
    <x v="0"/>
    <n v="2"/>
  </r>
  <r>
    <n v="1164"/>
    <x v="61"/>
    <x v="1"/>
    <x v="0"/>
    <n v="3"/>
    <n v="40"/>
    <n v="120"/>
    <x v="0"/>
    <x v="1"/>
    <n v="4"/>
  </r>
  <r>
    <n v="1165"/>
    <x v="88"/>
    <x v="0"/>
    <x v="0"/>
    <n v="3"/>
    <n v="40"/>
    <n v="120"/>
    <x v="2"/>
    <x v="2"/>
    <n v="4"/>
  </r>
  <r>
    <n v="1166"/>
    <x v="107"/>
    <x v="0"/>
    <x v="3"/>
    <n v="1"/>
    <n v="80"/>
    <n v="80"/>
    <x v="0"/>
    <x v="0"/>
    <n v="5"/>
  </r>
  <r>
    <n v="1167"/>
    <x v="25"/>
    <x v="0"/>
    <x v="2"/>
    <n v="2"/>
    <n v="100"/>
    <n v="200"/>
    <x v="1"/>
    <x v="1"/>
    <n v="5"/>
  </r>
  <r>
    <n v="1168"/>
    <x v="72"/>
    <x v="2"/>
    <x v="1"/>
    <n v="1"/>
    <n v="60"/>
    <n v="60"/>
    <x v="2"/>
    <x v="0"/>
    <n v="4"/>
  </r>
  <r>
    <n v="1169"/>
    <x v="90"/>
    <x v="0"/>
    <x v="0"/>
    <n v="2"/>
    <n v="40"/>
    <n v="80"/>
    <x v="0"/>
    <x v="1"/>
    <n v="4"/>
  </r>
  <r>
    <n v="1170"/>
    <x v="108"/>
    <x v="0"/>
    <x v="3"/>
    <n v="1"/>
    <n v="80"/>
    <n v="80"/>
    <x v="1"/>
    <x v="1"/>
    <n v="2"/>
  </r>
  <r>
    <n v="1171"/>
    <x v="12"/>
    <x v="2"/>
    <x v="2"/>
    <n v="1"/>
    <n v="100"/>
    <n v="100"/>
    <x v="2"/>
    <x v="0"/>
    <n v="2"/>
  </r>
  <r>
    <n v="1172"/>
    <x v="6"/>
    <x v="2"/>
    <x v="3"/>
    <n v="3"/>
    <n v="80"/>
    <n v="240"/>
    <x v="2"/>
    <x v="1"/>
    <n v="2"/>
  </r>
  <r>
    <n v="1173"/>
    <x v="109"/>
    <x v="2"/>
    <x v="0"/>
    <n v="1"/>
    <n v="40"/>
    <n v="40"/>
    <x v="1"/>
    <x v="0"/>
    <n v="2"/>
  </r>
  <r>
    <n v="1174"/>
    <x v="49"/>
    <x v="0"/>
    <x v="1"/>
    <n v="3"/>
    <n v="60"/>
    <n v="180"/>
    <x v="1"/>
    <x v="2"/>
    <n v="5"/>
  </r>
  <r>
    <n v="1175"/>
    <x v="110"/>
    <x v="1"/>
    <x v="0"/>
    <n v="3"/>
    <n v="40"/>
    <n v="120"/>
    <x v="2"/>
    <x v="0"/>
    <n v="5"/>
  </r>
  <r>
    <n v="1176"/>
    <x v="111"/>
    <x v="0"/>
    <x v="1"/>
    <n v="3"/>
    <n v="60"/>
    <n v="180"/>
    <x v="1"/>
    <x v="0"/>
    <n v="4"/>
  </r>
  <r>
    <n v="1177"/>
    <x v="91"/>
    <x v="0"/>
    <x v="2"/>
    <n v="2"/>
    <n v="100"/>
    <n v="200"/>
    <x v="2"/>
    <x v="0"/>
    <n v="2"/>
  </r>
  <r>
    <n v="1178"/>
    <x v="37"/>
    <x v="1"/>
    <x v="1"/>
    <n v="3"/>
    <n v="60"/>
    <n v="180"/>
    <x v="2"/>
    <x v="0"/>
    <n v="2"/>
  </r>
  <r>
    <n v="1179"/>
    <x v="53"/>
    <x v="1"/>
    <x v="2"/>
    <n v="2"/>
    <n v="100"/>
    <n v="200"/>
    <x v="1"/>
    <x v="1"/>
    <n v="3"/>
  </r>
  <r>
    <n v="1180"/>
    <x v="109"/>
    <x v="2"/>
    <x v="1"/>
    <n v="2"/>
    <n v="60"/>
    <n v="120"/>
    <x v="0"/>
    <x v="0"/>
    <n v="2"/>
  </r>
  <r>
    <n v="1181"/>
    <x v="26"/>
    <x v="0"/>
    <x v="0"/>
    <n v="3"/>
    <n v="40"/>
    <n v="120"/>
    <x v="0"/>
    <x v="0"/>
    <n v="3"/>
  </r>
  <r>
    <n v="1182"/>
    <x v="72"/>
    <x v="1"/>
    <x v="1"/>
    <n v="2"/>
    <n v="60"/>
    <n v="120"/>
    <x v="0"/>
    <x v="1"/>
    <n v="3"/>
  </r>
  <r>
    <n v="1183"/>
    <x v="22"/>
    <x v="0"/>
    <x v="3"/>
    <n v="2"/>
    <n v="80"/>
    <n v="160"/>
    <x v="1"/>
    <x v="0"/>
    <n v="5"/>
  </r>
  <r>
    <n v="1184"/>
    <x v="48"/>
    <x v="2"/>
    <x v="3"/>
    <n v="2"/>
    <n v="80"/>
    <n v="160"/>
    <x v="0"/>
    <x v="2"/>
    <n v="2"/>
  </r>
  <r>
    <n v="1185"/>
    <x v="76"/>
    <x v="1"/>
    <x v="3"/>
    <n v="2"/>
    <n v="80"/>
    <n v="160"/>
    <x v="2"/>
    <x v="1"/>
    <n v="3"/>
  </r>
  <r>
    <n v="1186"/>
    <x v="79"/>
    <x v="2"/>
    <x v="1"/>
    <n v="2"/>
    <n v="60"/>
    <n v="120"/>
    <x v="1"/>
    <x v="2"/>
    <n v="3"/>
  </r>
  <r>
    <n v="1187"/>
    <x v="8"/>
    <x v="0"/>
    <x v="3"/>
    <n v="3"/>
    <n v="80"/>
    <n v="240"/>
    <x v="1"/>
    <x v="2"/>
    <n v="5"/>
  </r>
  <r>
    <n v="1188"/>
    <x v="66"/>
    <x v="1"/>
    <x v="2"/>
    <n v="3"/>
    <n v="100"/>
    <n v="300"/>
    <x v="0"/>
    <x v="0"/>
    <n v="4"/>
  </r>
  <r>
    <n v="1189"/>
    <x v="112"/>
    <x v="2"/>
    <x v="2"/>
    <n v="1"/>
    <n v="100"/>
    <n v="100"/>
    <x v="1"/>
    <x v="1"/>
    <n v="3"/>
  </r>
  <r>
    <n v="1190"/>
    <x v="30"/>
    <x v="2"/>
    <x v="3"/>
    <n v="1"/>
    <n v="80"/>
    <n v="80"/>
    <x v="0"/>
    <x v="0"/>
    <n v="4"/>
  </r>
  <r>
    <n v="1191"/>
    <x v="113"/>
    <x v="0"/>
    <x v="2"/>
    <n v="2"/>
    <n v="100"/>
    <n v="200"/>
    <x v="1"/>
    <x v="2"/>
    <n v="4"/>
  </r>
  <r>
    <n v="1192"/>
    <x v="114"/>
    <x v="2"/>
    <x v="0"/>
    <n v="1"/>
    <n v="40"/>
    <n v="40"/>
    <x v="1"/>
    <x v="0"/>
    <n v="3"/>
  </r>
  <r>
    <n v="1193"/>
    <x v="115"/>
    <x v="2"/>
    <x v="1"/>
    <n v="1"/>
    <n v="60"/>
    <n v="60"/>
    <x v="2"/>
    <x v="2"/>
    <n v="4"/>
  </r>
  <r>
    <n v="1194"/>
    <x v="7"/>
    <x v="1"/>
    <x v="3"/>
    <n v="2"/>
    <n v="80"/>
    <n v="160"/>
    <x v="2"/>
    <x v="2"/>
    <n v="2"/>
  </r>
  <r>
    <n v="1195"/>
    <x v="108"/>
    <x v="0"/>
    <x v="3"/>
    <n v="2"/>
    <n v="80"/>
    <n v="160"/>
    <x v="0"/>
    <x v="2"/>
    <n v="4"/>
  </r>
  <r>
    <n v="1196"/>
    <x v="12"/>
    <x v="0"/>
    <x v="1"/>
    <n v="2"/>
    <n v="60"/>
    <n v="120"/>
    <x v="1"/>
    <x v="2"/>
    <n v="3"/>
  </r>
  <r>
    <n v="1197"/>
    <x v="41"/>
    <x v="0"/>
    <x v="3"/>
    <n v="2"/>
    <n v="80"/>
    <n v="160"/>
    <x v="2"/>
    <x v="0"/>
    <n v="5"/>
  </r>
  <r>
    <n v="1198"/>
    <x v="36"/>
    <x v="2"/>
    <x v="2"/>
    <n v="2"/>
    <n v="100"/>
    <n v="200"/>
    <x v="0"/>
    <x v="0"/>
    <n v="1"/>
  </r>
  <r>
    <n v="1199"/>
    <x v="11"/>
    <x v="2"/>
    <x v="0"/>
    <n v="1"/>
    <n v="40"/>
    <n v="40"/>
    <x v="0"/>
    <x v="1"/>
    <n v="5"/>
  </r>
  <r>
    <n v="1200"/>
    <x v="77"/>
    <x v="0"/>
    <x v="0"/>
    <n v="1"/>
    <n v="40"/>
    <n v="40"/>
    <x v="1"/>
    <x v="0"/>
    <n v="4"/>
  </r>
  <r>
    <n v="1201"/>
    <x v="116"/>
    <x v="2"/>
    <x v="3"/>
    <n v="1"/>
    <n v="80"/>
    <n v="80"/>
    <x v="2"/>
    <x v="0"/>
    <n v="2"/>
  </r>
  <r>
    <n v="1202"/>
    <x v="117"/>
    <x v="0"/>
    <x v="2"/>
    <n v="2"/>
    <n v="100"/>
    <n v="200"/>
    <x v="1"/>
    <x v="2"/>
    <n v="3"/>
  </r>
  <r>
    <n v="1203"/>
    <x v="113"/>
    <x v="0"/>
    <x v="0"/>
    <n v="1"/>
    <n v="40"/>
    <n v="40"/>
    <x v="0"/>
    <x v="0"/>
    <n v="1"/>
  </r>
  <r>
    <n v="1204"/>
    <x v="112"/>
    <x v="0"/>
    <x v="0"/>
    <n v="1"/>
    <n v="40"/>
    <n v="40"/>
    <x v="2"/>
    <x v="2"/>
    <n v="3"/>
  </r>
  <r>
    <n v="1205"/>
    <x v="74"/>
    <x v="0"/>
    <x v="2"/>
    <n v="1"/>
    <n v="100"/>
    <n v="100"/>
    <x v="1"/>
    <x v="1"/>
    <n v="4"/>
  </r>
  <r>
    <n v="1206"/>
    <x v="118"/>
    <x v="0"/>
    <x v="3"/>
    <n v="1"/>
    <n v="80"/>
    <n v="80"/>
    <x v="2"/>
    <x v="0"/>
    <n v="1"/>
  </r>
  <r>
    <n v="1207"/>
    <x v="119"/>
    <x v="2"/>
    <x v="2"/>
    <n v="2"/>
    <n v="100"/>
    <n v="200"/>
    <x v="0"/>
    <x v="2"/>
    <n v="3"/>
  </r>
  <r>
    <n v="1208"/>
    <x v="14"/>
    <x v="1"/>
    <x v="2"/>
    <n v="2"/>
    <n v="100"/>
    <n v="200"/>
    <x v="2"/>
    <x v="1"/>
    <n v="5"/>
  </r>
  <r>
    <n v="1209"/>
    <x v="18"/>
    <x v="2"/>
    <x v="0"/>
    <n v="2"/>
    <n v="40"/>
    <n v="80"/>
    <x v="0"/>
    <x v="2"/>
    <n v="3"/>
  </r>
  <r>
    <n v="1210"/>
    <x v="120"/>
    <x v="0"/>
    <x v="1"/>
    <n v="1"/>
    <n v="60"/>
    <n v="60"/>
    <x v="0"/>
    <x v="2"/>
    <n v="1"/>
  </r>
  <r>
    <n v="1211"/>
    <x v="121"/>
    <x v="1"/>
    <x v="3"/>
    <n v="3"/>
    <n v="80"/>
    <n v="240"/>
    <x v="1"/>
    <x v="0"/>
    <n v="3"/>
  </r>
  <r>
    <n v="1212"/>
    <x v="122"/>
    <x v="2"/>
    <x v="2"/>
    <n v="2"/>
    <n v="100"/>
    <n v="200"/>
    <x v="1"/>
    <x v="0"/>
    <n v="5"/>
  </r>
  <r>
    <n v="1213"/>
    <x v="123"/>
    <x v="0"/>
    <x v="0"/>
    <n v="2"/>
    <n v="40"/>
    <n v="80"/>
    <x v="1"/>
    <x v="2"/>
    <n v="5"/>
  </r>
  <r>
    <n v="1214"/>
    <x v="30"/>
    <x v="2"/>
    <x v="0"/>
    <n v="3"/>
    <n v="40"/>
    <n v="120"/>
    <x v="2"/>
    <x v="2"/>
    <n v="4"/>
  </r>
  <r>
    <n v="1215"/>
    <x v="103"/>
    <x v="2"/>
    <x v="2"/>
    <n v="1"/>
    <n v="100"/>
    <n v="100"/>
    <x v="0"/>
    <x v="2"/>
    <n v="3"/>
  </r>
  <r>
    <n v="1216"/>
    <x v="93"/>
    <x v="2"/>
    <x v="2"/>
    <n v="2"/>
    <n v="100"/>
    <n v="200"/>
    <x v="0"/>
    <x v="1"/>
    <n v="2"/>
  </r>
  <r>
    <n v="1217"/>
    <x v="5"/>
    <x v="1"/>
    <x v="2"/>
    <n v="3"/>
    <n v="100"/>
    <n v="300"/>
    <x v="2"/>
    <x v="2"/>
    <n v="5"/>
  </r>
  <r>
    <n v="1218"/>
    <x v="13"/>
    <x v="2"/>
    <x v="0"/>
    <n v="3"/>
    <n v="40"/>
    <n v="120"/>
    <x v="1"/>
    <x v="0"/>
    <n v="2"/>
  </r>
  <r>
    <n v="1219"/>
    <x v="124"/>
    <x v="1"/>
    <x v="3"/>
    <n v="2"/>
    <n v="80"/>
    <n v="160"/>
    <x v="2"/>
    <x v="0"/>
    <n v="2"/>
  </r>
  <r>
    <n v="1220"/>
    <x v="96"/>
    <x v="0"/>
    <x v="2"/>
    <n v="1"/>
    <n v="100"/>
    <n v="100"/>
    <x v="0"/>
    <x v="2"/>
    <n v="4"/>
  </r>
  <r>
    <n v="1221"/>
    <x v="44"/>
    <x v="0"/>
    <x v="0"/>
    <n v="3"/>
    <n v="40"/>
    <n v="120"/>
    <x v="1"/>
    <x v="2"/>
    <n v="5"/>
  </r>
  <r>
    <n v="1222"/>
    <x v="36"/>
    <x v="2"/>
    <x v="1"/>
    <n v="1"/>
    <n v="60"/>
    <n v="60"/>
    <x v="0"/>
    <x v="2"/>
    <n v="4"/>
  </r>
  <r>
    <n v="1223"/>
    <x v="94"/>
    <x v="0"/>
    <x v="2"/>
    <n v="1"/>
    <n v="100"/>
    <n v="100"/>
    <x v="2"/>
    <x v="0"/>
    <n v="1"/>
  </r>
  <r>
    <n v="1224"/>
    <x v="20"/>
    <x v="2"/>
    <x v="0"/>
    <n v="3"/>
    <n v="40"/>
    <n v="120"/>
    <x v="0"/>
    <x v="1"/>
    <n v="3"/>
  </r>
  <r>
    <n v="1225"/>
    <x v="125"/>
    <x v="1"/>
    <x v="1"/>
    <n v="3"/>
    <n v="60"/>
    <n v="180"/>
    <x v="2"/>
    <x v="0"/>
    <n v="3"/>
  </r>
  <r>
    <n v="1226"/>
    <x v="126"/>
    <x v="2"/>
    <x v="2"/>
    <n v="2"/>
    <n v="100"/>
    <n v="200"/>
    <x v="1"/>
    <x v="2"/>
    <n v="1"/>
  </r>
  <r>
    <n v="1227"/>
    <x v="127"/>
    <x v="0"/>
    <x v="3"/>
    <n v="1"/>
    <n v="80"/>
    <n v="80"/>
    <x v="1"/>
    <x v="0"/>
    <n v="4"/>
  </r>
  <r>
    <n v="1228"/>
    <x v="128"/>
    <x v="2"/>
    <x v="1"/>
    <n v="2"/>
    <n v="60"/>
    <n v="120"/>
    <x v="1"/>
    <x v="1"/>
    <n v="1"/>
  </r>
  <r>
    <n v="1229"/>
    <x v="129"/>
    <x v="0"/>
    <x v="2"/>
    <n v="3"/>
    <n v="100"/>
    <n v="300"/>
    <x v="0"/>
    <x v="2"/>
    <n v="1"/>
  </r>
  <r>
    <n v="1230"/>
    <x v="113"/>
    <x v="1"/>
    <x v="2"/>
    <n v="1"/>
    <n v="100"/>
    <n v="100"/>
    <x v="0"/>
    <x v="2"/>
    <n v="5"/>
  </r>
  <r>
    <n v="1231"/>
    <x v="65"/>
    <x v="1"/>
    <x v="0"/>
    <n v="2"/>
    <n v="40"/>
    <n v="80"/>
    <x v="2"/>
    <x v="2"/>
    <n v="3"/>
  </r>
  <r>
    <n v="1232"/>
    <x v="102"/>
    <x v="0"/>
    <x v="3"/>
    <n v="2"/>
    <n v="80"/>
    <n v="160"/>
    <x v="2"/>
    <x v="1"/>
    <n v="5"/>
  </r>
  <r>
    <n v="1233"/>
    <x v="75"/>
    <x v="1"/>
    <x v="0"/>
    <n v="3"/>
    <n v="40"/>
    <n v="120"/>
    <x v="1"/>
    <x v="1"/>
    <n v="2"/>
  </r>
  <r>
    <n v="1234"/>
    <x v="13"/>
    <x v="1"/>
    <x v="2"/>
    <n v="2"/>
    <n v="100"/>
    <n v="200"/>
    <x v="2"/>
    <x v="2"/>
    <n v="2"/>
  </r>
  <r>
    <n v="1235"/>
    <x v="65"/>
    <x v="2"/>
    <x v="2"/>
    <n v="2"/>
    <n v="100"/>
    <n v="200"/>
    <x v="2"/>
    <x v="2"/>
    <n v="1"/>
  </r>
  <r>
    <n v="1236"/>
    <x v="130"/>
    <x v="0"/>
    <x v="0"/>
    <n v="1"/>
    <n v="40"/>
    <n v="40"/>
    <x v="1"/>
    <x v="2"/>
    <n v="3"/>
  </r>
  <r>
    <n v="1237"/>
    <x v="116"/>
    <x v="1"/>
    <x v="1"/>
    <n v="1"/>
    <n v="60"/>
    <n v="60"/>
    <x v="0"/>
    <x v="0"/>
    <n v="1"/>
  </r>
  <r>
    <n v="1238"/>
    <x v="12"/>
    <x v="0"/>
    <x v="3"/>
    <n v="1"/>
    <n v="80"/>
    <n v="80"/>
    <x v="0"/>
    <x v="2"/>
    <n v="2"/>
  </r>
  <r>
    <n v="1239"/>
    <x v="62"/>
    <x v="1"/>
    <x v="0"/>
    <n v="3"/>
    <n v="40"/>
    <n v="120"/>
    <x v="1"/>
    <x v="1"/>
    <n v="5"/>
  </r>
  <r>
    <n v="1240"/>
    <x v="92"/>
    <x v="2"/>
    <x v="0"/>
    <n v="2"/>
    <n v="40"/>
    <n v="80"/>
    <x v="1"/>
    <x v="0"/>
    <n v="5"/>
  </r>
  <r>
    <n v="1241"/>
    <x v="20"/>
    <x v="0"/>
    <x v="2"/>
    <n v="3"/>
    <n v="100"/>
    <n v="300"/>
    <x v="1"/>
    <x v="2"/>
    <n v="3"/>
  </r>
  <r>
    <n v="1242"/>
    <x v="131"/>
    <x v="2"/>
    <x v="3"/>
    <n v="3"/>
    <n v="80"/>
    <n v="240"/>
    <x v="1"/>
    <x v="2"/>
    <n v="2"/>
  </r>
  <r>
    <n v="1243"/>
    <x v="100"/>
    <x v="2"/>
    <x v="2"/>
    <n v="1"/>
    <n v="100"/>
    <n v="100"/>
    <x v="1"/>
    <x v="1"/>
    <n v="1"/>
  </r>
  <r>
    <n v="1244"/>
    <x v="86"/>
    <x v="1"/>
    <x v="2"/>
    <n v="2"/>
    <n v="100"/>
    <n v="200"/>
    <x v="2"/>
    <x v="0"/>
    <n v="4"/>
  </r>
  <r>
    <n v="1245"/>
    <x v="51"/>
    <x v="1"/>
    <x v="0"/>
    <n v="2"/>
    <n v="40"/>
    <n v="80"/>
    <x v="0"/>
    <x v="0"/>
    <n v="3"/>
  </r>
  <r>
    <n v="1246"/>
    <x v="78"/>
    <x v="2"/>
    <x v="3"/>
    <n v="2"/>
    <n v="80"/>
    <n v="160"/>
    <x v="0"/>
    <x v="0"/>
    <n v="1"/>
  </r>
  <r>
    <n v="1247"/>
    <x v="89"/>
    <x v="1"/>
    <x v="0"/>
    <n v="3"/>
    <n v="40"/>
    <n v="120"/>
    <x v="1"/>
    <x v="1"/>
    <n v="4"/>
  </r>
  <r>
    <n v="1248"/>
    <x v="132"/>
    <x v="1"/>
    <x v="2"/>
    <n v="3"/>
    <n v="100"/>
    <n v="300"/>
    <x v="0"/>
    <x v="1"/>
    <n v="5"/>
  </r>
  <r>
    <n v="1249"/>
    <x v="72"/>
    <x v="2"/>
    <x v="2"/>
    <n v="3"/>
    <n v="100"/>
    <n v="300"/>
    <x v="0"/>
    <x v="0"/>
    <n v="3"/>
  </r>
  <r>
    <n v="1250"/>
    <x v="116"/>
    <x v="0"/>
    <x v="1"/>
    <n v="1"/>
    <n v="60"/>
    <n v="60"/>
    <x v="1"/>
    <x v="0"/>
    <n v="1"/>
  </r>
  <r>
    <n v="1251"/>
    <x v="133"/>
    <x v="2"/>
    <x v="2"/>
    <n v="2"/>
    <n v="100"/>
    <n v="200"/>
    <x v="2"/>
    <x v="0"/>
    <n v="2"/>
  </r>
  <r>
    <n v="1252"/>
    <x v="52"/>
    <x v="1"/>
    <x v="2"/>
    <n v="2"/>
    <n v="100"/>
    <n v="200"/>
    <x v="0"/>
    <x v="0"/>
    <n v="5"/>
  </r>
  <r>
    <n v="1253"/>
    <x v="68"/>
    <x v="2"/>
    <x v="3"/>
    <n v="3"/>
    <n v="80"/>
    <n v="240"/>
    <x v="1"/>
    <x v="0"/>
    <n v="3"/>
  </r>
  <r>
    <n v="1254"/>
    <x v="134"/>
    <x v="1"/>
    <x v="2"/>
    <n v="1"/>
    <n v="100"/>
    <n v="100"/>
    <x v="0"/>
    <x v="1"/>
    <n v="1"/>
  </r>
  <r>
    <n v="1255"/>
    <x v="21"/>
    <x v="0"/>
    <x v="3"/>
    <n v="2"/>
    <n v="80"/>
    <n v="160"/>
    <x v="0"/>
    <x v="2"/>
    <n v="1"/>
  </r>
  <r>
    <n v="1256"/>
    <x v="135"/>
    <x v="0"/>
    <x v="0"/>
    <n v="3"/>
    <n v="40"/>
    <n v="120"/>
    <x v="1"/>
    <x v="2"/>
    <n v="1"/>
  </r>
  <r>
    <n v="1257"/>
    <x v="0"/>
    <x v="2"/>
    <x v="0"/>
    <n v="2"/>
    <n v="40"/>
    <n v="80"/>
    <x v="0"/>
    <x v="2"/>
    <n v="3"/>
  </r>
  <r>
    <n v="1258"/>
    <x v="30"/>
    <x v="0"/>
    <x v="1"/>
    <n v="2"/>
    <n v="60"/>
    <n v="120"/>
    <x v="2"/>
    <x v="1"/>
    <n v="1"/>
  </r>
  <r>
    <n v="1259"/>
    <x v="10"/>
    <x v="2"/>
    <x v="0"/>
    <n v="1"/>
    <n v="40"/>
    <n v="40"/>
    <x v="1"/>
    <x v="2"/>
    <n v="4"/>
  </r>
  <r>
    <n v="1260"/>
    <x v="31"/>
    <x v="0"/>
    <x v="1"/>
    <n v="1"/>
    <n v="60"/>
    <n v="60"/>
    <x v="1"/>
    <x v="2"/>
    <n v="3"/>
  </r>
  <r>
    <n v="1261"/>
    <x v="80"/>
    <x v="0"/>
    <x v="0"/>
    <n v="3"/>
    <n v="40"/>
    <n v="120"/>
    <x v="0"/>
    <x v="0"/>
    <n v="3"/>
  </r>
  <r>
    <n v="1262"/>
    <x v="50"/>
    <x v="2"/>
    <x v="2"/>
    <n v="2"/>
    <n v="100"/>
    <n v="200"/>
    <x v="1"/>
    <x v="1"/>
    <n v="3"/>
  </r>
  <r>
    <n v="1263"/>
    <x v="80"/>
    <x v="0"/>
    <x v="0"/>
    <n v="2"/>
    <n v="40"/>
    <n v="80"/>
    <x v="2"/>
    <x v="0"/>
    <n v="3"/>
  </r>
  <r>
    <n v="1264"/>
    <x v="136"/>
    <x v="0"/>
    <x v="3"/>
    <n v="3"/>
    <n v="80"/>
    <n v="240"/>
    <x v="0"/>
    <x v="1"/>
    <n v="1"/>
  </r>
  <r>
    <n v="1265"/>
    <x v="122"/>
    <x v="1"/>
    <x v="2"/>
    <n v="2"/>
    <n v="100"/>
    <n v="200"/>
    <x v="0"/>
    <x v="0"/>
    <n v="4"/>
  </r>
  <r>
    <n v="1266"/>
    <x v="64"/>
    <x v="0"/>
    <x v="2"/>
    <n v="2"/>
    <n v="100"/>
    <n v="200"/>
    <x v="1"/>
    <x v="0"/>
    <n v="1"/>
  </r>
  <r>
    <n v="1267"/>
    <x v="69"/>
    <x v="2"/>
    <x v="0"/>
    <n v="3"/>
    <n v="40"/>
    <n v="120"/>
    <x v="0"/>
    <x v="0"/>
    <n v="2"/>
  </r>
  <r>
    <n v="1268"/>
    <x v="137"/>
    <x v="0"/>
    <x v="2"/>
    <n v="2"/>
    <n v="100"/>
    <n v="200"/>
    <x v="0"/>
    <x v="0"/>
    <n v="3"/>
  </r>
  <r>
    <n v="1269"/>
    <x v="79"/>
    <x v="2"/>
    <x v="1"/>
    <n v="2"/>
    <n v="60"/>
    <n v="120"/>
    <x v="2"/>
    <x v="1"/>
    <n v="1"/>
  </r>
  <r>
    <n v="1270"/>
    <x v="25"/>
    <x v="2"/>
    <x v="3"/>
    <n v="3"/>
    <n v="80"/>
    <n v="240"/>
    <x v="0"/>
    <x v="1"/>
    <n v="1"/>
  </r>
  <r>
    <n v="1271"/>
    <x v="107"/>
    <x v="2"/>
    <x v="3"/>
    <n v="3"/>
    <n v="80"/>
    <n v="240"/>
    <x v="0"/>
    <x v="0"/>
    <n v="2"/>
  </r>
  <r>
    <n v="1272"/>
    <x v="33"/>
    <x v="2"/>
    <x v="0"/>
    <n v="2"/>
    <n v="40"/>
    <n v="80"/>
    <x v="2"/>
    <x v="0"/>
    <n v="3"/>
  </r>
  <r>
    <n v="1273"/>
    <x v="138"/>
    <x v="2"/>
    <x v="1"/>
    <n v="2"/>
    <n v="60"/>
    <n v="120"/>
    <x v="2"/>
    <x v="0"/>
    <n v="3"/>
  </r>
  <r>
    <n v="1274"/>
    <x v="139"/>
    <x v="1"/>
    <x v="1"/>
    <n v="2"/>
    <n v="60"/>
    <n v="120"/>
    <x v="1"/>
    <x v="1"/>
    <n v="1"/>
  </r>
  <r>
    <n v="1275"/>
    <x v="90"/>
    <x v="2"/>
    <x v="2"/>
    <n v="1"/>
    <n v="100"/>
    <n v="100"/>
    <x v="0"/>
    <x v="0"/>
    <n v="4"/>
  </r>
  <r>
    <n v="1276"/>
    <x v="120"/>
    <x v="2"/>
    <x v="0"/>
    <n v="1"/>
    <n v="40"/>
    <n v="40"/>
    <x v="0"/>
    <x v="0"/>
    <n v="4"/>
  </r>
  <r>
    <n v="1277"/>
    <x v="106"/>
    <x v="1"/>
    <x v="2"/>
    <n v="3"/>
    <n v="100"/>
    <n v="300"/>
    <x v="0"/>
    <x v="2"/>
    <n v="3"/>
  </r>
  <r>
    <n v="1278"/>
    <x v="92"/>
    <x v="0"/>
    <x v="3"/>
    <n v="3"/>
    <n v="80"/>
    <n v="240"/>
    <x v="1"/>
    <x v="1"/>
    <n v="1"/>
  </r>
  <r>
    <n v="1279"/>
    <x v="105"/>
    <x v="0"/>
    <x v="1"/>
    <n v="3"/>
    <n v="60"/>
    <n v="180"/>
    <x v="2"/>
    <x v="1"/>
    <n v="2"/>
  </r>
  <r>
    <n v="1280"/>
    <x v="133"/>
    <x v="1"/>
    <x v="2"/>
    <n v="1"/>
    <n v="100"/>
    <n v="100"/>
    <x v="2"/>
    <x v="1"/>
    <n v="3"/>
  </r>
  <r>
    <n v="1281"/>
    <x v="38"/>
    <x v="0"/>
    <x v="0"/>
    <n v="2"/>
    <n v="40"/>
    <n v="80"/>
    <x v="2"/>
    <x v="2"/>
    <n v="3"/>
  </r>
  <r>
    <n v="1282"/>
    <x v="113"/>
    <x v="0"/>
    <x v="2"/>
    <n v="1"/>
    <n v="100"/>
    <n v="100"/>
    <x v="0"/>
    <x v="2"/>
    <n v="3"/>
  </r>
  <r>
    <n v="1283"/>
    <x v="140"/>
    <x v="2"/>
    <x v="3"/>
    <n v="2"/>
    <n v="80"/>
    <n v="160"/>
    <x v="2"/>
    <x v="2"/>
    <n v="3"/>
  </r>
  <r>
    <n v="1284"/>
    <x v="35"/>
    <x v="1"/>
    <x v="3"/>
    <n v="3"/>
    <n v="80"/>
    <n v="240"/>
    <x v="2"/>
    <x v="2"/>
    <n v="2"/>
  </r>
  <r>
    <n v="1285"/>
    <x v="141"/>
    <x v="2"/>
    <x v="2"/>
    <n v="2"/>
    <n v="100"/>
    <n v="200"/>
    <x v="2"/>
    <x v="0"/>
    <n v="1"/>
  </r>
  <r>
    <n v="1286"/>
    <x v="32"/>
    <x v="2"/>
    <x v="3"/>
    <n v="1"/>
    <n v="80"/>
    <n v="80"/>
    <x v="0"/>
    <x v="1"/>
    <n v="2"/>
  </r>
  <r>
    <n v="1287"/>
    <x v="60"/>
    <x v="0"/>
    <x v="2"/>
    <n v="1"/>
    <n v="100"/>
    <n v="100"/>
    <x v="0"/>
    <x v="2"/>
    <n v="1"/>
  </r>
  <r>
    <n v="1288"/>
    <x v="84"/>
    <x v="2"/>
    <x v="0"/>
    <n v="1"/>
    <n v="40"/>
    <n v="40"/>
    <x v="1"/>
    <x v="1"/>
    <n v="1"/>
  </r>
  <r>
    <n v="1289"/>
    <x v="92"/>
    <x v="2"/>
    <x v="1"/>
    <n v="2"/>
    <n v="60"/>
    <n v="120"/>
    <x v="0"/>
    <x v="1"/>
    <n v="2"/>
  </r>
  <r>
    <n v="1290"/>
    <x v="142"/>
    <x v="1"/>
    <x v="2"/>
    <n v="2"/>
    <n v="100"/>
    <n v="200"/>
    <x v="0"/>
    <x v="2"/>
    <n v="3"/>
  </r>
  <r>
    <n v="1291"/>
    <x v="110"/>
    <x v="1"/>
    <x v="3"/>
    <n v="1"/>
    <n v="80"/>
    <n v="80"/>
    <x v="2"/>
    <x v="0"/>
    <n v="4"/>
  </r>
  <r>
    <n v="1292"/>
    <x v="123"/>
    <x v="2"/>
    <x v="2"/>
    <n v="2"/>
    <n v="100"/>
    <n v="200"/>
    <x v="1"/>
    <x v="0"/>
    <n v="4"/>
  </r>
  <r>
    <n v="1293"/>
    <x v="123"/>
    <x v="0"/>
    <x v="3"/>
    <n v="1"/>
    <n v="80"/>
    <n v="80"/>
    <x v="1"/>
    <x v="2"/>
    <n v="1"/>
  </r>
  <r>
    <n v="1294"/>
    <x v="143"/>
    <x v="2"/>
    <x v="0"/>
    <n v="1"/>
    <n v="40"/>
    <n v="40"/>
    <x v="2"/>
    <x v="1"/>
    <n v="2"/>
  </r>
  <r>
    <n v="1295"/>
    <x v="76"/>
    <x v="1"/>
    <x v="3"/>
    <n v="3"/>
    <n v="80"/>
    <n v="240"/>
    <x v="1"/>
    <x v="0"/>
    <n v="1"/>
  </r>
  <r>
    <n v="1296"/>
    <x v="2"/>
    <x v="0"/>
    <x v="1"/>
    <n v="1"/>
    <n v="60"/>
    <n v="60"/>
    <x v="0"/>
    <x v="0"/>
    <n v="2"/>
  </r>
  <r>
    <n v="1297"/>
    <x v="69"/>
    <x v="1"/>
    <x v="3"/>
    <n v="1"/>
    <n v="80"/>
    <n v="80"/>
    <x v="2"/>
    <x v="1"/>
    <n v="5"/>
  </r>
  <r>
    <n v="1298"/>
    <x v="144"/>
    <x v="1"/>
    <x v="1"/>
    <n v="3"/>
    <n v="60"/>
    <n v="180"/>
    <x v="1"/>
    <x v="2"/>
    <n v="4"/>
  </r>
  <r>
    <n v="1299"/>
    <x v="23"/>
    <x v="0"/>
    <x v="3"/>
    <n v="1"/>
    <n v="80"/>
    <n v="80"/>
    <x v="1"/>
    <x v="2"/>
    <n v="5"/>
  </r>
  <r>
    <n v="1300"/>
    <x v="139"/>
    <x v="2"/>
    <x v="1"/>
    <n v="1"/>
    <n v="60"/>
    <n v="60"/>
    <x v="1"/>
    <x v="2"/>
    <n v="4"/>
  </r>
  <r>
    <n v="1301"/>
    <x v="65"/>
    <x v="2"/>
    <x v="2"/>
    <n v="2"/>
    <n v="100"/>
    <n v="200"/>
    <x v="2"/>
    <x v="1"/>
    <n v="5"/>
  </r>
  <r>
    <n v="1302"/>
    <x v="130"/>
    <x v="2"/>
    <x v="0"/>
    <n v="1"/>
    <n v="40"/>
    <n v="40"/>
    <x v="2"/>
    <x v="0"/>
    <n v="5"/>
  </r>
  <r>
    <n v="1303"/>
    <x v="51"/>
    <x v="0"/>
    <x v="0"/>
    <n v="1"/>
    <n v="40"/>
    <n v="40"/>
    <x v="1"/>
    <x v="0"/>
    <n v="5"/>
  </r>
  <r>
    <n v="1304"/>
    <x v="145"/>
    <x v="1"/>
    <x v="0"/>
    <n v="3"/>
    <n v="40"/>
    <n v="120"/>
    <x v="2"/>
    <x v="2"/>
    <n v="1"/>
  </r>
  <r>
    <n v="1305"/>
    <x v="96"/>
    <x v="1"/>
    <x v="1"/>
    <n v="2"/>
    <n v="60"/>
    <n v="120"/>
    <x v="0"/>
    <x v="2"/>
    <n v="4"/>
  </r>
  <r>
    <n v="1306"/>
    <x v="146"/>
    <x v="1"/>
    <x v="2"/>
    <n v="3"/>
    <n v="100"/>
    <n v="300"/>
    <x v="0"/>
    <x v="1"/>
    <n v="1"/>
  </r>
  <r>
    <n v="1307"/>
    <x v="147"/>
    <x v="1"/>
    <x v="1"/>
    <n v="2"/>
    <n v="60"/>
    <n v="120"/>
    <x v="2"/>
    <x v="2"/>
    <n v="4"/>
  </r>
  <r>
    <n v="1308"/>
    <x v="83"/>
    <x v="2"/>
    <x v="1"/>
    <n v="2"/>
    <n v="60"/>
    <n v="120"/>
    <x v="1"/>
    <x v="0"/>
    <n v="4"/>
  </r>
  <r>
    <n v="1309"/>
    <x v="33"/>
    <x v="0"/>
    <x v="0"/>
    <n v="2"/>
    <n v="40"/>
    <n v="80"/>
    <x v="2"/>
    <x v="2"/>
    <n v="5"/>
  </r>
  <r>
    <n v="1310"/>
    <x v="44"/>
    <x v="0"/>
    <x v="1"/>
    <n v="2"/>
    <n v="60"/>
    <n v="120"/>
    <x v="0"/>
    <x v="2"/>
    <n v="1"/>
  </r>
  <r>
    <n v="1311"/>
    <x v="143"/>
    <x v="0"/>
    <x v="1"/>
    <n v="3"/>
    <n v="60"/>
    <n v="180"/>
    <x v="2"/>
    <x v="1"/>
    <n v="5"/>
  </r>
  <r>
    <n v="1312"/>
    <x v="26"/>
    <x v="2"/>
    <x v="1"/>
    <n v="3"/>
    <n v="60"/>
    <n v="180"/>
    <x v="2"/>
    <x v="2"/>
    <n v="1"/>
  </r>
  <r>
    <n v="1313"/>
    <x v="148"/>
    <x v="0"/>
    <x v="0"/>
    <n v="3"/>
    <n v="40"/>
    <n v="120"/>
    <x v="2"/>
    <x v="0"/>
    <n v="5"/>
  </r>
  <r>
    <n v="1314"/>
    <x v="149"/>
    <x v="2"/>
    <x v="2"/>
    <n v="1"/>
    <n v="100"/>
    <n v="100"/>
    <x v="1"/>
    <x v="0"/>
    <n v="5"/>
  </r>
  <r>
    <n v="1315"/>
    <x v="29"/>
    <x v="1"/>
    <x v="3"/>
    <n v="2"/>
    <n v="80"/>
    <n v="160"/>
    <x v="2"/>
    <x v="1"/>
    <n v="1"/>
  </r>
  <r>
    <n v="1316"/>
    <x v="150"/>
    <x v="1"/>
    <x v="0"/>
    <n v="2"/>
    <n v="40"/>
    <n v="80"/>
    <x v="0"/>
    <x v="2"/>
    <n v="5"/>
  </r>
  <r>
    <n v="1317"/>
    <x v="139"/>
    <x v="2"/>
    <x v="3"/>
    <n v="1"/>
    <n v="80"/>
    <n v="80"/>
    <x v="1"/>
    <x v="1"/>
    <n v="2"/>
  </r>
  <r>
    <n v="1318"/>
    <x v="117"/>
    <x v="0"/>
    <x v="1"/>
    <n v="3"/>
    <n v="60"/>
    <n v="180"/>
    <x v="2"/>
    <x v="0"/>
    <n v="5"/>
  </r>
  <r>
    <n v="1319"/>
    <x v="30"/>
    <x v="2"/>
    <x v="0"/>
    <n v="3"/>
    <n v="40"/>
    <n v="120"/>
    <x v="0"/>
    <x v="0"/>
    <n v="2"/>
  </r>
  <r>
    <n v="1320"/>
    <x v="104"/>
    <x v="0"/>
    <x v="0"/>
    <n v="3"/>
    <n v="40"/>
    <n v="120"/>
    <x v="1"/>
    <x v="0"/>
    <n v="2"/>
  </r>
  <r>
    <n v="1321"/>
    <x v="25"/>
    <x v="2"/>
    <x v="2"/>
    <n v="3"/>
    <n v="100"/>
    <n v="300"/>
    <x v="0"/>
    <x v="1"/>
    <n v="5"/>
  </r>
  <r>
    <n v="1322"/>
    <x v="39"/>
    <x v="0"/>
    <x v="2"/>
    <n v="1"/>
    <n v="100"/>
    <n v="100"/>
    <x v="0"/>
    <x v="0"/>
    <n v="4"/>
  </r>
  <r>
    <n v="1323"/>
    <x v="22"/>
    <x v="2"/>
    <x v="0"/>
    <n v="2"/>
    <n v="40"/>
    <n v="80"/>
    <x v="2"/>
    <x v="2"/>
    <n v="2"/>
  </r>
  <r>
    <n v="1324"/>
    <x v="41"/>
    <x v="2"/>
    <x v="2"/>
    <n v="3"/>
    <n v="100"/>
    <n v="300"/>
    <x v="0"/>
    <x v="0"/>
    <n v="4"/>
  </r>
  <r>
    <n v="1325"/>
    <x v="143"/>
    <x v="1"/>
    <x v="0"/>
    <n v="3"/>
    <n v="40"/>
    <n v="120"/>
    <x v="1"/>
    <x v="1"/>
    <n v="1"/>
  </r>
  <r>
    <n v="1326"/>
    <x v="89"/>
    <x v="2"/>
    <x v="3"/>
    <n v="3"/>
    <n v="80"/>
    <n v="240"/>
    <x v="1"/>
    <x v="1"/>
    <n v="5"/>
  </r>
  <r>
    <n v="1327"/>
    <x v="121"/>
    <x v="2"/>
    <x v="3"/>
    <n v="3"/>
    <n v="80"/>
    <n v="240"/>
    <x v="1"/>
    <x v="2"/>
    <n v="5"/>
  </r>
  <r>
    <n v="1328"/>
    <x v="151"/>
    <x v="0"/>
    <x v="0"/>
    <n v="2"/>
    <n v="40"/>
    <n v="80"/>
    <x v="2"/>
    <x v="0"/>
    <n v="4"/>
  </r>
  <r>
    <n v="1329"/>
    <x v="149"/>
    <x v="0"/>
    <x v="1"/>
    <n v="3"/>
    <n v="60"/>
    <n v="180"/>
    <x v="0"/>
    <x v="1"/>
    <n v="4"/>
  </r>
  <r>
    <n v="1330"/>
    <x v="32"/>
    <x v="0"/>
    <x v="2"/>
    <n v="3"/>
    <n v="100"/>
    <n v="300"/>
    <x v="0"/>
    <x v="0"/>
    <n v="2"/>
  </r>
  <r>
    <n v="1331"/>
    <x v="151"/>
    <x v="1"/>
    <x v="3"/>
    <n v="3"/>
    <n v="80"/>
    <n v="240"/>
    <x v="0"/>
    <x v="2"/>
    <n v="3"/>
  </r>
  <r>
    <n v="1332"/>
    <x v="28"/>
    <x v="1"/>
    <x v="0"/>
    <n v="1"/>
    <n v="40"/>
    <n v="40"/>
    <x v="0"/>
    <x v="0"/>
    <n v="2"/>
  </r>
  <r>
    <n v="1333"/>
    <x v="152"/>
    <x v="0"/>
    <x v="2"/>
    <n v="1"/>
    <n v="100"/>
    <n v="100"/>
    <x v="0"/>
    <x v="0"/>
    <n v="5"/>
  </r>
  <r>
    <n v="1334"/>
    <x v="19"/>
    <x v="0"/>
    <x v="2"/>
    <n v="3"/>
    <n v="100"/>
    <n v="300"/>
    <x v="2"/>
    <x v="0"/>
    <n v="5"/>
  </r>
  <r>
    <n v="1335"/>
    <x v="153"/>
    <x v="0"/>
    <x v="1"/>
    <n v="2"/>
    <n v="60"/>
    <n v="120"/>
    <x v="2"/>
    <x v="0"/>
    <n v="3"/>
  </r>
  <r>
    <n v="1336"/>
    <x v="53"/>
    <x v="2"/>
    <x v="2"/>
    <n v="1"/>
    <n v="100"/>
    <n v="100"/>
    <x v="1"/>
    <x v="1"/>
    <n v="4"/>
  </r>
  <r>
    <n v="1337"/>
    <x v="127"/>
    <x v="2"/>
    <x v="1"/>
    <n v="3"/>
    <n v="60"/>
    <n v="180"/>
    <x v="0"/>
    <x v="1"/>
    <n v="2"/>
  </r>
  <r>
    <n v="1338"/>
    <x v="154"/>
    <x v="0"/>
    <x v="0"/>
    <n v="3"/>
    <n v="40"/>
    <n v="120"/>
    <x v="1"/>
    <x v="2"/>
    <n v="2"/>
  </r>
  <r>
    <n v="1339"/>
    <x v="52"/>
    <x v="1"/>
    <x v="1"/>
    <n v="2"/>
    <n v="60"/>
    <n v="120"/>
    <x v="2"/>
    <x v="0"/>
    <n v="4"/>
  </r>
  <r>
    <n v="1340"/>
    <x v="8"/>
    <x v="0"/>
    <x v="2"/>
    <n v="1"/>
    <n v="100"/>
    <n v="100"/>
    <x v="0"/>
    <x v="0"/>
    <n v="3"/>
  </r>
  <r>
    <n v="1341"/>
    <x v="152"/>
    <x v="1"/>
    <x v="1"/>
    <n v="1"/>
    <n v="60"/>
    <n v="60"/>
    <x v="0"/>
    <x v="1"/>
    <n v="2"/>
  </r>
  <r>
    <n v="1342"/>
    <x v="132"/>
    <x v="1"/>
    <x v="3"/>
    <n v="2"/>
    <n v="80"/>
    <n v="160"/>
    <x v="2"/>
    <x v="2"/>
    <n v="5"/>
  </r>
  <r>
    <n v="1343"/>
    <x v="113"/>
    <x v="2"/>
    <x v="3"/>
    <n v="1"/>
    <n v="80"/>
    <n v="80"/>
    <x v="2"/>
    <x v="1"/>
    <n v="4"/>
  </r>
  <r>
    <n v="1344"/>
    <x v="128"/>
    <x v="2"/>
    <x v="3"/>
    <n v="3"/>
    <n v="80"/>
    <n v="240"/>
    <x v="0"/>
    <x v="2"/>
    <n v="4"/>
  </r>
  <r>
    <n v="1345"/>
    <x v="28"/>
    <x v="0"/>
    <x v="1"/>
    <n v="1"/>
    <n v="60"/>
    <n v="60"/>
    <x v="2"/>
    <x v="1"/>
    <n v="1"/>
  </r>
  <r>
    <n v="1346"/>
    <x v="148"/>
    <x v="2"/>
    <x v="0"/>
    <n v="1"/>
    <n v="40"/>
    <n v="40"/>
    <x v="0"/>
    <x v="1"/>
    <n v="3"/>
  </r>
  <r>
    <n v="1347"/>
    <x v="147"/>
    <x v="1"/>
    <x v="2"/>
    <n v="2"/>
    <n v="100"/>
    <n v="200"/>
    <x v="1"/>
    <x v="0"/>
    <n v="4"/>
  </r>
  <r>
    <n v="1348"/>
    <x v="153"/>
    <x v="1"/>
    <x v="2"/>
    <n v="2"/>
    <n v="100"/>
    <n v="200"/>
    <x v="1"/>
    <x v="1"/>
    <n v="4"/>
  </r>
  <r>
    <n v="1349"/>
    <x v="50"/>
    <x v="2"/>
    <x v="3"/>
    <n v="2"/>
    <n v="80"/>
    <n v="160"/>
    <x v="1"/>
    <x v="0"/>
    <n v="2"/>
  </r>
  <r>
    <n v="1350"/>
    <x v="79"/>
    <x v="2"/>
    <x v="1"/>
    <n v="3"/>
    <n v="60"/>
    <n v="180"/>
    <x v="0"/>
    <x v="2"/>
    <n v="2"/>
  </r>
  <r>
    <n v="1351"/>
    <x v="133"/>
    <x v="2"/>
    <x v="1"/>
    <n v="3"/>
    <n v="60"/>
    <n v="180"/>
    <x v="1"/>
    <x v="0"/>
    <n v="5"/>
  </r>
  <r>
    <n v="1352"/>
    <x v="151"/>
    <x v="0"/>
    <x v="3"/>
    <n v="1"/>
    <n v="80"/>
    <n v="80"/>
    <x v="2"/>
    <x v="2"/>
    <n v="4"/>
  </r>
  <r>
    <n v="1353"/>
    <x v="1"/>
    <x v="2"/>
    <x v="1"/>
    <n v="3"/>
    <n v="60"/>
    <n v="180"/>
    <x v="1"/>
    <x v="1"/>
    <n v="4"/>
  </r>
  <r>
    <n v="1354"/>
    <x v="32"/>
    <x v="1"/>
    <x v="2"/>
    <n v="1"/>
    <n v="100"/>
    <n v="100"/>
    <x v="1"/>
    <x v="2"/>
    <n v="3"/>
  </r>
  <r>
    <n v="1355"/>
    <x v="11"/>
    <x v="0"/>
    <x v="0"/>
    <n v="1"/>
    <n v="40"/>
    <n v="40"/>
    <x v="2"/>
    <x v="1"/>
    <n v="3"/>
  </r>
  <r>
    <n v="1356"/>
    <x v="16"/>
    <x v="1"/>
    <x v="3"/>
    <n v="3"/>
    <n v="80"/>
    <n v="240"/>
    <x v="2"/>
    <x v="2"/>
    <n v="1"/>
  </r>
  <r>
    <n v="1357"/>
    <x v="142"/>
    <x v="1"/>
    <x v="0"/>
    <n v="1"/>
    <n v="40"/>
    <n v="40"/>
    <x v="0"/>
    <x v="2"/>
    <n v="4"/>
  </r>
  <r>
    <n v="1358"/>
    <x v="80"/>
    <x v="2"/>
    <x v="0"/>
    <n v="1"/>
    <n v="40"/>
    <n v="40"/>
    <x v="0"/>
    <x v="0"/>
    <n v="1"/>
  </r>
  <r>
    <n v="1359"/>
    <x v="55"/>
    <x v="2"/>
    <x v="3"/>
    <n v="2"/>
    <n v="80"/>
    <n v="160"/>
    <x v="0"/>
    <x v="2"/>
    <n v="1"/>
  </r>
  <r>
    <n v="1360"/>
    <x v="9"/>
    <x v="2"/>
    <x v="0"/>
    <n v="2"/>
    <n v="40"/>
    <n v="80"/>
    <x v="0"/>
    <x v="1"/>
    <n v="2"/>
  </r>
  <r>
    <n v="1361"/>
    <x v="155"/>
    <x v="0"/>
    <x v="2"/>
    <n v="1"/>
    <n v="100"/>
    <n v="100"/>
    <x v="0"/>
    <x v="1"/>
    <n v="4"/>
  </r>
  <r>
    <n v="1362"/>
    <x v="99"/>
    <x v="1"/>
    <x v="1"/>
    <n v="2"/>
    <n v="60"/>
    <n v="120"/>
    <x v="0"/>
    <x v="1"/>
    <n v="3"/>
  </r>
  <r>
    <n v="1363"/>
    <x v="59"/>
    <x v="2"/>
    <x v="0"/>
    <n v="2"/>
    <n v="40"/>
    <n v="80"/>
    <x v="2"/>
    <x v="2"/>
    <n v="4"/>
  </r>
  <r>
    <n v="1364"/>
    <x v="155"/>
    <x v="1"/>
    <x v="2"/>
    <n v="3"/>
    <n v="100"/>
    <n v="300"/>
    <x v="1"/>
    <x v="1"/>
    <n v="5"/>
  </r>
  <r>
    <n v="1365"/>
    <x v="141"/>
    <x v="2"/>
    <x v="2"/>
    <n v="3"/>
    <n v="100"/>
    <n v="300"/>
    <x v="1"/>
    <x v="1"/>
    <n v="5"/>
  </r>
  <r>
    <n v="1366"/>
    <x v="156"/>
    <x v="0"/>
    <x v="3"/>
    <n v="2"/>
    <n v="80"/>
    <n v="160"/>
    <x v="2"/>
    <x v="1"/>
    <n v="1"/>
  </r>
  <r>
    <n v="1367"/>
    <x v="49"/>
    <x v="2"/>
    <x v="3"/>
    <n v="1"/>
    <n v="80"/>
    <n v="80"/>
    <x v="2"/>
    <x v="1"/>
    <n v="5"/>
  </r>
  <r>
    <n v="1368"/>
    <x v="137"/>
    <x v="1"/>
    <x v="1"/>
    <n v="2"/>
    <n v="60"/>
    <n v="120"/>
    <x v="1"/>
    <x v="2"/>
    <n v="2"/>
  </r>
  <r>
    <n v="1369"/>
    <x v="37"/>
    <x v="1"/>
    <x v="1"/>
    <n v="3"/>
    <n v="60"/>
    <n v="180"/>
    <x v="1"/>
    <x v="0"/>
    <n v="5"/>
  </r>
  <r>
    <n v="1370"/>
    <x v="137"/>
    <x v="1"/>
    <x v="2"/>
    <n v="3"/>
    <n v="100"/>
    <n v="300"/>
    <x v="1"/>
    <x v="1"/>
    <n v="5"/>
  </r>
  <r>
    <n v="1371"/>
    <x v="127"/>
    <x v="2"/>
    <x v="1"/>
    <n v="2"/>
    <n v="60"/>
    <n v="120"/>
    <x v="1"/>
    <x v="1"/>
    <n v="5"/>
  </r>
  <r>
    <n v="1372"/>
    <x v="3"/>
    <x v="1"/>
    <x v="3"/>
    <n v="2"/>
    <n v="80"/>
    <n v="160"/>
    <x v="2"/>
    <x v="0"/>
    <n v="2"/>
  </r>
  <r>
    <n v="1373"/>
    <x v="157"/>
    <x v="0"/>
    <x v="3"/>
    <n v="2"/>
    <n v="80"/>
    <n v="160"/>
    <x v="2"/>
    <x v="2"/>
    <n v="5"/>
  </r>
  <r>
    <n v="1374"/>
    <x v="123"/>
    <x v="2"/>
    <x v="0"/>
    <n v="3"/>
    <n v="40"/>
    <n v="120"/>
    <x v="2"/>
    <x v="2"/>
    <n v="5"/>
  </r>
  <r>
    <n v="1375"/>
    <x v="135"/>
    <x v="0"/>
    <x v="2"/>
    <n v="1"/>
    <n v="100"/>
    <n v="100"/>
    <x v="1"/>
    <x v="0"/>
    <n v="1"/>
  </r>
  <r>
    <n v="1376"/>
    <x v="151"/>
    <x v="2"/>
    <x v="3"/>
    <n v="2"/>
    <n v="80"/>
    <n v="160"/>
    <x v="2"/>
    <x v="0"/>
    <n v="2"/>
  </r>
  <r>
    <n v="1377"/>
    <x v="95"/>
    <x v="2"/>
    <x v="1"/>
    <n v="1"/>
    <n v="60"/>
    <n v="60"/>
    <x v="1"/>
    <x v="1"/>
    <n v="3"/>
  </r>
  <r>
    <n v="1378"/>
    <x v="129"/>
    <x v="2"/>
    <x v="3"/>
    <n v="3"/>
    <n v="80"/>
    <n v="240"/>
    <x v="1"/>
    <x v="1"/>
    <n v="4"/>
  </r>
  <r>
    <n v="1379"/>
    <x v="7"/>
    <x v="0"/>
    <x v="3"/>
    <n v="1"/>
    <n v="80"/>
    <n v="80"/>
    <x v="2"/>
    <x v="1"/>
    <n v="5"/>
  </r>
  <r>
    <n v="1380"/>
    <x v="158"/>
    <x v="2"/>
    <x v="2"/>
    <n v="1"/>
    <n v="100"/>
    <n v="100"/>
    <x v="2"/>
    <x v="0"/>
    <n v="2"/>
  </r>
  <r>
    <n v="1381"/>
    <x v="116"/>
    <x v="2"/>
    <x v="1"/>
    <n v="2"/>
    <n v="60"/>
    <n v="120"/>
    <x v="2"/>
    <x v="1"/>
    <n v="3"/>
  </r>
  <r>
    <n v="1382"/>
    <x v="137"/>
    <x v="0"/>
    <x v="2"/>
    <n v="2"/>
    <n v="100"/>
    <n v="200"/>
    <x v="1"/>
    <x v="2"/>
    <n v="3"/>
  </r>
  <r>
    <n v="1383"/>
    <x v="88"/>
    <x v="0"/>
    <x v="0"/>
    <n v="1"/>
    <n v="40"/>
    <n v="40"/>
    <x v="0"/>
    <x v="1"/>
    <n v="5"/>
  </r>
  <r>
    <n v="1384"/>
    <x v="101"/>
    <x v="1"/>
    <x v="3"/>
    <n v="1"/>
    <n v="80"/>
    <n v="80"/>
    <x v="2"/>
    <x v="1"/>
    <n v="4"/>
  </r>
  <r>
    <n v="1385"/>
    <x v="65"/>
    <x v="1"/>
    <x v="2"/>
    <n v="3"/>
    <n v="100"/>
    <n v="300"/>
    <x v="2"/>
    <x v="1"/>
    <n v="1"/>
  </r>
  <r>
    <n v="1386"/>
    <x v="35"/>
    <x v="2"/>
    <x v="1"/>
    <n v="1"/>
    <n v="60"/>
    <n v="60"/>
    <x v="1"/>
    <x v="1"/>
    <n v="5"/>
  </r>
  <r>
    <n v="1387"/>
    <x v="66"/>
    <x v="0"/>
    <x v="0"/>
    <n v="1"/>
    <n v="40"/>
    <n v="40"/>
    <x v="1"/>
    <x v="1"/>
    <n v="5"/>
  </r>
  <r>
    <n v="1388"/>
    <x v="53"/>
    <x v="1"/>
    <x v="2"/>
    <n v="1"/>
    <n v="100"/>
    <n v="100"/>
    <x v="0"/>
    <x v="2"/>
    <n v="3"/>
  </r>
  <r>
    <n v="1389"/>
    <x v="153"/>
    <x v="1"/>
    <x v="0"/>
    <n v="2"/>
    <n v="40"/>
    <n v="80"/>
    <x v="0"/>
    <x v="2"/>
    <n v="4"/>
  </r>
  <r>
    <n v="1390"/>
    <x v="28"/>
    <x v="2"/>
    <x v="3"/>
    <n v="2"/>
    <n v="80"/>
    <n v="160"/>
    <x v="0"/>
    <x v="0"/>
    <n v="4"/>
  </r>
  <r>
    <n v="1391"/>
    <x v="92"/>
    <x v="0"/>
    <x v="3"/>
    <n v="1"/>
    <n v="80"/>
    <n v="80"/>
    <x v="0"/>
    <x v="0"/>
    <n v="2"/>
  </r>
  <r>
    <n v="1392"/>
    <x v="65"/>
    <x v="0"/>
    <x v="2"/>
    <n v="1"/>
    <n v="100"/>
    <n v="100"/>
    <x v="0"/>
    <x v="0"/>
    <n v="1"/>
  </r>
  <r>
    <n v="1393"/>
    <x v="142"/>
    <x v="2"/>
    <x v="3"/>
    <n v="1"/>
    <n v="80"/>
    <n v="80"/>
    <x v="0"/>
    <x v="0"/>
    <n v="3"/>
  </r>
  <r>
    <n v="1394"/>
    <x v="66"/>
    <x v="2"/>
    <x v="0"/>
    <n v="1"/>
    <n v="40"/>
    <n v="40"/>
    <x v="2"/>
    <x v="0"/>
    <n v="4"/>
  </r>
  <r>
    <n v="1395"/>
    <x v="123"/>
    <x v="2"/>
    <x v="0"/>
    <n v="2"/>
    <n v="40"/>
    <n v="80"/>
    <x v="2"/>
    <x v="0"/>
    <n v="5"/>
  </r>
  <r>
    <n v="1396"/>
    <x v="32"/>
    <x v="1"/>
    <x v="0"/>
    <n v="1"/>
    <n v="40"/>
    <n v="40"/>
    <x v="0"/>
    <x v="0"/>
    <n v="2"/>
  </r>
  <r>
    <n v="1397"/>
    <x v="126"/>
    <x v="0"/>
    <x v="0"/>
    <n v="1"/>
    <n v="40"/>
    <n v="40"/>
    <x v="0"/>
    <x v="1"/>
    <n v="3"/>
  </r>
  <r>
    <n v="1398"/>
    <x v="11"/>
    <x v="2"/>
    <x v="1"/>
    <n v="2"/>
    <n v="60"/>
    <n v="120"/>
    <x v="2"/>
    <x v="0"/>
    <n v="5"/>
  </r>
  <r>
    <n v="1399"/>
    <x v="149"/>
    <x v="2"/>
    <x v="0"/>
    <n v="1"/>
    <n v="40"/>
    <n v="40"/>
    <x v="2"/>
    <x v="0"/>
    <n v="2"/>
  </r>
  <r>
    <n v="1400"/>
    <x v="159"/>
    <x v="2"/>
    <x v="2"/>
    <n v="1"/>
    <n v="100"/>
    <n v="100"/>
    <x v="1"/>
    <x v="2"/>
    <n v="3"/>
  </r>
  <r>
    <n v="1401"/>
    <x v="24"/>
    <x v="0"/>
    <x v="1"/>
    <n v="2"/>
    <n v="60"/>
    <n v="120"/>
    <x v="1"/>
    <x v="0"/>
    <n v="1"/>
  </r>
  <r>
    <n v="1402"/>
    <x v="80"/>
    <x v="1"/>
    <x v="2"/>
    <n v="3"/>
    <n v="100"/>
    <n v="300"/>
    <x v="2"/>
    <x v="2"/>
    <n v="1"/>
  </r>
  <r>
    <n v="1403"/>
    <x v="116"/>
    <x v="2"/>
    <x v="0"/>
    <n v="1"/>
    <n v="40"/>
    <n v="40"/>
    <x v="2"/>
    <x v="1"/>
    <n v="5"/>
  </r>
  <r>
    <n v="1404"/>
    <x v="87"/>
    <x v="2"/>
    <x v="2"/>
    <n v="1"/>
    <n v="100"/>
    <n v="100"/>
    <x v="1"/>
    <x v="0"/>
    <n v="5"/>
  </r>
  <r>
    <n v="1405"/>
    <x v="160"/>
    <x v="1"/>
    <x v="2"/>
    <n v="2"/>
    <n v="100"/>
    <n v="200"/>
    <x v="1"/>
    <x v="2"/>
    <n v="2"/>
  </r>
  <r>
    <n v="1406"/>
    <x v="72"/>
    <x v="0"/>
    <x v="2"/>
    <n v="2"/>
    <n v="100"/>
    <n v="200"/>
    <x v="2"/>
    <x v="2"/>
    <n v="1"/>
  </r>
  <r>
    <n v="1407"/>
    <x v="109"/>
    <x v="2"/>
    <x v="2"/>
    <n v="1"/>
    <n v="100"/>
    <n v="100"/>
    <x v="0"/>
    <x v="2"/>
    <n v="1"/>
  </r>
  <r>
    <n v="1408"/>
    <x v="31"/>
    <x v="1"/>
    <x v="2"/>
    <n v="2"/>
    <n v="100"/>
    <n v="200"/>
    <x v="2"/>
    <x v="2"/>
    <n v="3"/>
  </r>
  <r>
    <n v="1409"/>
    <x v="28"/>
    <x v="1"/>
    <x v="3"/>
    <n v="2"/>
    <n v="80"/>
    <n v="160"/>
    <x v="0"/>
    <x v="1"/>
    <n v="3"/>
  </r>
  <r>
    <n v="1410"/>
    <x v="122"/>
    <x v="0"/>
    <x v="0"/>
    <n v="3"/>
    <n v="40"/>
    <n v="120"/>
    <x v="2"/>
    <x v="1"/>
    <n v="5"/>
  </r>
  <r>
    <n v="1411"/>
    <x v="102"/>
    <x v="1"/>
    <x v="1"/>
    <n v="1"/>
    <n v="60"/>
    <n v="60"/>
    <x v="0"/>
    <x v="2"/>
    <n v="1"/>
  </r>
  <r>
    <n v="1412"/>
    <x v="77"/>
    <x v="2"/>
    <x v="0"/>
    <n v="1"/>
    <n v="40"/>
    <n v="40"/>
    <x v="2"/>
    <x v="2"/>
    <n v="2"/>
  </r>
  <r>
    <n v="1413"/>
    <x v="161"/>
    <x v="0"/>
    <x v="3"/>
    <n v="2"/>
    <n v="80"/>
    <n v="160"/>
    <x v="0"/>
    <x v="1"/>
    <n v="2"/>
  </r>
  <r>
    <n v="1414"/>
    <x v="108"/>
    <x v="0"/>
    <x v="3"/>
    <n v="1"/>
    <n v="80"/>
    <n v="80"/>
    <x v="0"/>
    <x v="1"/>
    <n v="4"/>
  </r>
  <r>
    <n v="1415"/>
    <x v="81"/>
    <x v="2"/>
    <x v="3"/>
    <n v="2"/>
    <n v="80"/>
    <n v="160"/>
    <x v="0"/>
    <x v="2"/>
    <n v="4"/>
  </r>
  <r>
    <n v="1416"/>
    <x v="18"/>
    <x v="0"/>
    <x v="1"/>
    <n v="2"/>
    <n v="60"/>
    <n v="120"/>
    <x v="2"/>
    <x v="0"/>
    <n v="3"/>
  </r>
  <r>
    <n v="1417"/>
    <x v="82"/>
    <x v="1"/>
    <x v="1"/>
    <n v="3"/>
    <n v="60"/>
    <n v="180"/>
    <x v="2"/>
    <x v="0"/>
    <n v="2"/>
  </r>
  <r>
    <n v="1418"/>
    <x v="82"/>
    <x v="0"/>
    <x v="1"/>
    <n v="3"/>
    <n v="60"/>
    <n v="180"/>
    <x v="2"/>
    <x v="2"/>
    <n v="1"/>
  </r>
  <r>
    <n v="1419"/>
    <x v="64"/>
    <x v="2"/>
    <x v="2"/>
    <n v="2"/>
    <n v="100"/>
    <n v="200"/>
    <x v="1"/>
    <x v="1"/>
    <n v="1"/>
  </r>
  <r>
    <n v="1420"/>
    <x v="86"/>
    <x v="0"/>
    <x v="1"/>
    <n v="1"/>
    <n v="60"/>
    <n v="60"/>
    <x v="2"/>
    <x v="1"/>
    <n v="3"/>
  </r>
  <r>
    <n v="1421"/>
    <x v="3"/>
    <x v="1"/>
    <x v="0"/>
    <n v="2"/>
    <n v="40"/>
    <n v="80"/>
    <x v="0"/>
    <x v="0"/>
    <n v="5"/>
  </r>
  <r>
    <n v="1422"/>
    <x v="116"/>
    <x v="1"/>
    <x v="0"/>
    <n v="1"/>
    <n v="40"/>
    <n v="40"/>
    <x v="0"/>
    <x v="0"/>
    <n v="3"/>
  </r>
  <r>
    <n v="1423"/>
    <x v="148"/>
    <x v="2"/>
    <x v="0"/>
    <n v="2"/>
    <n v="40"/>
    <n v="80"/>
    <x v="0"/>
    <x v="0"/>
    <n v="4"/>
  </r>
  <r>
    <n v="1424"/>
    <x v="65"/>
    <x v="2"/>
    <x v="1"/>
    <n v="3"/>
    <n v="60"/>
    <n v="180"/>
    <x v="2"/>
    <x v="1"/>
    <n v="5"/>
  </r>
  <r>
    <n v="1425"/>
    <x v="66"/>
    <x v="2"/>
    <x v="2"/>
    <n v="3"/>
    <n v="100"/>
    <n v="300"/>
    <x v="2"/>
    <x v="2"/>
    <n v="2"/>
  </r>
  <r>
    <n v="1426"/>
    <x v="104"/>
    <x v="0"/>
    <x v="2"/>
    <n v="2"/>
    <n v="100"/>
    <n v="200"/>
    <x v="0"/>
    <x v="2"/>
    <n v="5"/>
  </r>
  <r>
    <n v="1427"/>
    <x v="25"/>
    <x v="0"/>
    <x v="1"/>
    <n v="2"/>
    <n v="60"/>
    <n v="120"/>
    <x v="2"/>
    <x v="0"/>
    <n v="2"/>
  </r>
  <r>
    <n v="1428"/>
    <x v="153"/>
    <x v="0"/>
    <x v="2"/>
    <n v="1"/>
    <n v="100"/>
    <n v="100"/>
    <x v="2"/>
    <x v="1"/>
    <n v="5"/>
  </r>
  <r>
    <n v="1429"/>
    <x v="29"/>
    <x v="2"/>
    <x v="2"/>
    <n v="3"/>
    <n v="100"/>
    <n v="300"/>
    <x v="2"/>
    <x v="2"/>
    <n v="1"/>
  </r>
  <r>
    <n v="1430"/>
    <x v="156"/>
    <x v="0"/>
    <x v="3"/>
    <n v="3"/>
    <n v="80"/>
    <n v="240"/>
    <x v="1"/>
    <x v="0"/>
    <n v="3"/>
  </r>
  <r>
    <n v="1431"/>
    <x v="162"/>
    <x v="0"/>
    <x v="3"/>
    <n v="1"/>
    <n v="80"/>
    <n v="80"/>
    <x v="2"/>
    <x v="0"/>
    <n v="5"/>
  </r>
  <r>
    <n v="1432"/>
    <x v="112"/>
    <x v="1"/>
    <x v="1"/>
    <n v="1"/>
    <n v="60"/>
    <n v="60"/>
    <x v="1"/>
    <x v="2"/>
    <n v="1"/>
  </r>
  <r>
    <n v="1433"/>
    <x v="109"/>
    <x v="1"/>
    <x v="1"/>
    <n v="2"/>
    <n v="60"/>
    <n v="120"/>
    <x v="0"/>
    <x v="2"/>
    <n v="2"/>
  </r>
  <r>
    <n v="1434"/>
    <x v="38"/>
    <x v="1"/>
    <x v="2"/>
    <n v="1"/>
    <n v="100"/>
    <n v="100"/>
    <x v="2"/>
    <x v="0"/>
    <n v="2"/>
  </r>
  <r>
    <n v="1435"/>
    <x v="163"/>
    <x v="1"/>
    <x v="1"/>
    <n v="3"/>
    <n v="60"/>
    <n v="180"/>
    <x v="1"/>
    <x v="1"/>
    <n v="5"/>
  </r>
  <r>
    <n v="1436"/>
    <x v="164"/>
    <x v="2"/>
    <x v="2"/>
    <n v="3"/>
    <n v="100"/>
    <n v="300"/>
    <x v="2"/>
    <x v="0"/>
    <n v="3"/>
  </r>
  <r>
    <n v="1437"/>
    <x v="165"/>
    <x v="2"/>
    <x v="2"/>
    <n v="3"/>
    <n v="100"/>
    <n v="300"/>
    <x v="1"/>
    <x v="2"/>
    <n v="4"/>
  </r>
  <r>
    <n v="1438"/>
    <x v="157"/>
    <x v="2"/>
    <x v="0"/>
    <n v="3"/>
    <n v="40"/>
    <n v="120"/>
    <x v="0"/>
    <x v="0"/>
    <n v="1"/>
  </r>
  <r>
    <n v="1439"/>
    <x v="16"/>
    <x v="2"/>
    <x v="1"/>
    <n v="2"/>
    <n v="60"/>
    <n v="120"/>
    <x v="1"/>
    <x v="2"/>
    <n v="1"/>
  </r>
  <r>
    <n v="1440"/>
    <x v="101"/>
    <x v="0"/>
    <x v="2"/>
    <n v="1"/>
    <n v="100"/>
    <n v="100"/>
    <x v="2"/>
    <x v="0"/>
    <n v="3"/>
  </r>
  <r>
    <n v="1441"/>
    <x v="18"/>
    <x v="2"/>
    <x v="0"/>
    <n v="3"/>
    <n v="40"/>
    <n v="120"/>
    <x v="2"/>
    <x v="0"/>
    <n v="3"/>
  </r>
  <r>
    <n v="1442"/>
    <x v="64"/>
    <x v="1"/>
    <x v="1"/>
    <n v="2"/>
    <n v="60"/>
    <n v="120"/>
    <x v="2"/>
    <x v="1"/>
    <n v="1"/>
  </r>
  <r>
    <n v="1443"/>
    <x v="166"/>
    <x v="2"/>
    <x v="2"/>
    <n v="1"/>
    <n v="100"/>
    <n v="100"/>
    <x v="0"/>
    <x v="0"/>
    <n v="5"/>
  </r>
  <r>
    <n v="1444"/>
    <x v="167"/>
    <x v="1"/>
    <x v="0"/>
    <n v="3"/>
    <n v="40"/>
    <n v="120"/>
    <x v="2"/>
    <x v="0"/>
    <n v="1"/>
  </r>
  <r>
    <n v="1445"/>
    <x v="168"/>
    <x v="1"/>
    <x v="1"/>
    <n v="1"/>
    <n v="60"/>
    <n v="60"/>
    <x v="2"/>
    <x v="1"/>
    <n v="5"/>
  </r>
  <r>
    <n v="1446"/>
    <x v="122"/>
    <x v="1"/>
    <x v="1"/>
    <n v="2"/>
    <n v="60"/>
    <n v="120"/>
    <x v="0"/>
    <x v="1"/>
    <n v="3"/>
  </r>
  <r>
    <n v="1447"/>
    <x v="100"/>
    <x v="2"/>
    <x v="3"/>
    <n v="1"/>
    <n v="80"/>
    <n v="80"/>
    <x v="1"/>
    <x v="2"/>
    <n v="2"/>
  </r>
  <r>
    <n v="1448"/>
    <x v="59"/>
    <x v="0"/>
    <x v="1"/>
    <n v="3"/>
    <n v="60"/>
    <n v="180"/>
    <x v="2"/>
    <x v="2"/>
    <n v="1"/>
  </r>
  <r>
    <n v="1449"/>
    <x v="19"/>
    <x v="0"/>
    <x v="3"/>
    <n v="1"/>
    <n v="80"/>
    <n v="80"/>
    <x v="2"/>
    <x v="1"/>
    <n v="1"/>
  </r>
  <r>
    <n v="1450"/>
    <x v="169"/>
    <x v="0"/>
    <x v="1"/>
    <n v="2"/>
    <n v="60"/>
    <n v="120"/>
    <x v="2"/>
    <x v="2"/>
    <n v="4"/>
  </r>
  <r>
    <n v="1451"/>
    <x v="80"/>
    <x v="1"/>
    <x v="2"/>
    <n v="1"/>
    <n v="100"/>
    <n v="100"/>
    <x v="2"/>
    <x v="0"/>
    <n v="3"/>
  </r>
  <r>
    <n v="1452"/>
    <x v="95"/>
    <x v="0"/>
    <x v="3"/>
    <n v="3"/>
    <n v="80"/>
    <n v="240"/>
    <x v="2"/>
    <x v="0"/>
    <n v="3"/>
  </r>
  <r>
    <n v="1453"/>
    <x v="101"/>
    <x v="2"/>
    <x v="3"/>
    <n v="2"/>
    <n v="80"/>
    <n v="160"/>
    <x v="0"/>
    <x v="2"/>
    <n v="3"/>
  </r>
  <r>
    <n v="1454"/>
    <x v="27"/>
    <x v="0"/>
    <x v="2"/>
    <n v="1"/>
    <n v="100"/>
    <n v="100"/>
    <x v="0"/>
    <x v="2"/>
    <n v="3"/>
  </r>
  <r>
    <n v="1455"/>
    <x v="170"/>
    <x v="0"/>
    <x v="3"/>
    <n v="2"/>
    <n v="80"/>
    <n v="160"/>
    <x v="1"/>
    <x v="1"/>
    <n v="3"/>
  </r>
  <r>
    <n v="1456"/>
    <x v="148"/>
    <x v="0"/>
    <x v="1"/>
    <n v="2"/>
    <n v="60"/>
    <n v="120"/>
    <x v="1"/>
    <x v="0"/>
    <n v="3"/>
  </r>
  <r>
    <n v="1457"/>
    <x v="61"/>
    <x v="1"/>
    <x v="1"/>
    <n v="1"/>
    <n v="60"/>
    <n v="60"/>
    <x v="1"/>
    <x v="1"/>
    <n v="2"/>
  </r>
  <r>
    <n v="1458"/>
    <x v="74"/>
    <x v="1"/>
    <x v="1"/>
    <n v="2"/>
    <n v="60"/>
    <n v="120"/>
    <x v="1"/>
    <x v="0"/>
    <n v="5"/>
  </r>
  <r>
    <n v="1459"/>
    <x v="171"/>
    <x v="2"/>
    <x v="2"/>
    <n v="1"/>
    <n v="100"/>
    <n v="100"/>
    <x v="0"/>
    <x v="1"/>
    <n v="2"/>
  </r>
  <r>
    <n v="1460"/>
    <x v="155"/>
    <x v="0"/>
    <x v="3"/>
    <n v="1"/>
    <n v="80"/>
    <n v="80"/>
    <x v="0"/>
    <x v="0"/>
    <n v="5"/>
  </r>
  <r>
    <n v="1461"/>
    <x v="127"/>
    <x v="0"/>
    <x v="2"/>
    <n v="1"/>
    <n v="100"/>
    <n v="100"/>
    <x v="1"/>
    <x v="2"/>
    <n v="1"/>
  </r>
  <r>
    <n v="1462"/>
    <x v="152"/>
    <x v="1"/>
    <x v="3"/>
    <n v="2"/>
    <n v="80"/>
    <n v="160"/>
    <x v="0"/>
    <x v="1"/>
    <n v="5"/>
  </r>
  <r>
    <n v="1463"/>
    <x v="4"/>
    <x v="0"/>
    <x v="2"/>
    <n v="2"/>
    <n v="100"/>
    <n v="200"/>
    <x v="0"/>
    <x v="0"/>
    <n v="3"/>
  </r>
  <r>
    <n v="1464"/>
    <x v="170"/>
    <x v="1"/>
    <x v="3"/>
    <n v="1"/>
    <n v="80"/>
    <n v="80"/>
    <x v="1"/>
    <x v="1"/>
    <n v="1"/>
  </r>
  <r>
    <n v="1465"/>
    <x v="153"/>
    <x v="2"/>
    <x v="3"/>
    <n v="1"/>
    <n v="80"/>
    <n v="80"/>
    <x v="1"/>
    <x v="2"/>
    <n v="1"/>
  </r>
  <r>
    <n v="1466"/>
    <x v="29"/>
    <x v="2"/>
    <x v="2"/>
    <n v="1"/>
    <n v="100"/>
    <n v="100"/>
    <x v="2"/>
    <x v="0"/>
    <n v="1"/>
  </r>
  <r>
    <n v="1467"/>
    <x v="152"/>
    <x v="1"/>
    <x v="0"/>
    <n v="2"/>
    <n v="40"/>
    <n v="80"/>
    <x v="1"/>
    <x v="2"/>
    <n v="5"/>
  </r>
  <r>
    <n v="1468"/>
    <x v="145"/>
    <x v="1"/>
    <x v="1"/>
    <n v="2"/>
    <n v="60"/>
    <n v="120"/>
    <x v="2"/>
    <x v="0"/>
    <n v="2"/>
  </r>
  <r>
    <n v="1469"/>
    <x v="96"/>
    <x v="0"/>
    <x v="3"/>
    <n v="2"/>
    <n v="80"/>
    <n v="160"/>
    <x v="1"/>
    <x v="0"/>
    <n v="5"/>
  </r>
  <r>
    <n v="1470"/>
    <x v="155"/>
    <x v="0"/>
    <x v="2"/>
    <n v="3"/>
    <n v="100"/>
    <n v="300"/>
    <x v="2"/>
    <x v="1"/>
    <n v="4"/>
  </r>
  <r>
    <n v="1471"/>
    <x v="3"/>
    <x v="0"/>
    <x v="1"/>
    <n v="2"/>
    <n v="60"/>
    <n v="120"/>
    <x v="2"/>
    <x v="0"/>
    <n v="2"/>
  </r>
  <r>
    <n v="1472"/>
    <x v="83"/>
    <x v="0"/>
    <x v="0"/>
    <n v="3"/>
    <n v="40"/>
    <n v="120"/>
    <x v="2"/>
    <x v="1"/>
    <n v="1"/>
  </r>
  <r>
    <n v="1473"/>
    <x v="59"/>
    <x v="2"/>
    <x v="0"/>
    <n v="3"/>
    <n v="40"/>
    <n v="120"/>
    <x v="2"/>
    <x v="0"/>
    <n v="4"/>
  </r>
  <r>
    <n v="1474"/>
    <x v="52"/>
    <x v="0"/>
    <x v="1"/>
    <n v="3"/>
    <n v="60"/>
    <n v="180"/>
    <x v="2"/>
    <x v="0"/>
    <n v="5"/>
  </r>
  <r>
    <n v="1475"/>
    <x v="155"/>
    <x v="0"/>
    <x v="2"/>
    <n v="2"/>
    <n v="100"/>
    <n v="200"/>
    <x v="0"/>
    <x v="2"/>
    <n v="2"/>
  </r>
  <r>
    <n v="1476"/>
    <x v="157"/>
    <x v="1"/>
    <x v="0"/>
    <n v="3"/>
    <n v="40"/>
    <n v="120"/>
    <x v="1"/>
    <x v="1"/>
    <n v="4"/>
  </r>
  <r>
    <n v="1477"/>
    <x v="76"/>
    <x v="0"/>
    <x v="2"/>
    <n v="1"/>
    <n v="100"/>
    <n v="100"/>
    <x v="0"/>
    <x v="0"/>
    <n v="4"/>
  </r>
  <r>
    <n v="1478"/>
    <x v="154"/>
    <x v="1"/>
    <x v="2"/>
    <n v="2"/>
    <n v="100"/>
    <n v="200"/>
    <x v="1"/>
    <x v="0"/>
    <n v="5"/>
  </r>
  <r>
    <n v="1479"/>
    <x v="156"/>
    <x v="1"/>
    <x v="2"/>
    <n v="3"/>
    <n v="100"/>
    <n v="300"/>
    <x v="2"/>
    <x v="1"/>
    <n v="2"/>
  </r>
  <r>
    <n v="1480"/>
    <x v="147"/>
    <x v="2"/>
    <x v="3"/>
    <n v="1"/>
    <n v="80"/>
    <n v="80"/>
    <x v="1"/>
    <x v="2"/>
    <n v="1"/>
  </r>
  <r>
    <n v="1481"/>
    <x v="120"/>
    <x v="0"/>
    <x v="3"/>
    <n v="2"/>
    <n v="80"/>
    <n v="160"/>
    <x v="1"/>
    <x v="1"/>
    <n v="4"/>
  </r>
  <r>
    <n v="1482"/>
    <x v="71"/>
    <x v="2"/>
    <x v="2"/>
    <n v="3"/>
    <n v="100"/>
    <n v="300"/>
    <x v="0"/>
    <x v="2"/>
    <n v="4"/>
  </r>
  <r>
    <n v="1483"/>
    <x v="28"/>
    <x v="1"/>
    <x v="0"/>
    <n v="1"/>
    <n v="40"/>
    <n v="40"/>
    <x v="2"/>
    <x v="0"/>
    <n v="2"/>
  </r>
  <r>
    <n v="1484"/>
    <x v="172"/>
    <x v="2"/>
    <x v="2"/>
    <n v="2"/>
    <n v="100"/>
    <n v="200"/>
    <x v="2"/>
    <x v="1"/>
    <n v="4"/>
  </r>
  <r>
    <n v="1485"/>
    <x v="35"/>
    <x v="0"/>
    <x v="3"/>
    <n v="2"/>
    <n v="80"/>
    <n v="160"/>
    <x v="0"/>
    <x v="0"/>
    <n v="1"/>
  </r>
  <r>
    <n v="1486"/>
    <x v="0"/>
    <x v="1"/>
    <x v="0"/>
    <n v="1"/>
    <n v="40"/>
    <n v="40"/>
    <x v="2"/>
    <x v="1"/>
    <n v="1"/>
  </r>
  <r>
    <n v="1487"/>
    <x v="86"/>
    <x v="1"/>
    <x v="3"/>
    <n v="3"/>
    <n v="80"/>
    <n v="240"/>
    <x v="1"/>
    <x v="0"/>
    <n v="4"/>
  </r>
  <r>
    <n v="1488"/>
    <x v="133"/>
    <x v="1"/>
    <x v="0"/>
    <n v="3"/>
    <n v="40"/>
    <n v="120"/>
    <x v="1"/>
    <x v="2"/>
    <n v="1"/>
  </r>
  <r>
    <n v="1489"/>
    <x v="78"/>
    <x v="0"/>
    <x v="1"/>
    <n v="2"/>
    <n v="60"/>
    <n v="120"/>
    <x v="2"/>
    <x v="0"/>
    <n v="2"/>
  </r>
  <r>
    <n v="1490"/>
    <x v="31"/>
    <x v="0"/>
    <x v="0"/>
    <n v="2"/>
    <n v="40"/>
    <n v="80"/>
    <x v="2"/>
    <x v="1"/>
    <n v="5"/>
  </r>
  <r>
    <n v="1491"/>
    <x v="116"/>
    <x v="0"/>
    <x v="2"/>
    <n v="2"/>
    <n v="100"/>
    <n v="200"/>
    <x v="0"/>
    <x v="0"/>
    <n v="1"/>
  </r>
  <r>
    <n v="1492"/>
    <x v="51"/>
    <x v="1"/>
    <x v="2"/>
    <n v="3"/>
    <n v="100"/>
    <n v="300"/>
    <x v="0"/>
    <x v="0"/>
    <n v="3"/>
  </r>
  <r>
    <n v="1493"/>
    <x v="165"/>
    <x v="1"/>
    <x v="1"/>
    <n v="2"/>
    <n v="60"/>
    <n v="120"/>
    <x v="2"/>
    <x v="2"/>
    <n v="3"/>
  </r>
  <r>
    <n v="1494"/>
    <x v="58"/>
    <x v="2"/>
    <x v="2"/>
    <n v="3"/>
    <n v="100"/>
    <n v="300"/>
    <x v="2"/>
    <x v="0"/>
    <n v="2"/>
  </r>
  <r>
    <n v="1495"/>
    <x v="171"/>
    <x v="0"/>
    <x v="1"/>
    <n v="1"/>
    <n v="60"/>
    <n v="60"/>
    <x v="1"/>
    <x v="2"/>
    <n v="5"/>
  </r>
  <r>
    <n v="1496"/>
    <x v="168"/>
    <x v="1"/>
    <x v="1"/>
    <n v="3"/>
    <n v="60"/>
    <n v="180"/>
    <x v="1"/>
    <x v="2"/>
    <n v="2"/>
  </r>
  <r>
    <n v="1497"/>
    <x v="144"/>
    <x v="1"/>
    <x v="2"/>
    <n v="3"/>
    <n v="100"/>
    <n v="300"/>
    <x v="0"/>
    <x v="2"/>
    <n v="3"/>
  </r>
  <r>
    <n v="1498"/>
    <x v="111"/>
    <x v="0"/>
    <x v="0"/>
    <n v="2"/>
    <n v="40"/>
    <n v="80"/>
    <x v="1"/>
    <x v="0"/>
    <n v="4"/>
  </r>
  <r>
    <n v="1499"/>
    <x v="58"/>
    <x v="1"/>
    <x v="1"/>
    <n v="1"/>
    <n v="60"/>
    <n v="60"/>
    <x v="1"/>
    <x v="1"/>
    <n v="3"/>
  </r>
  <r>
    <n v="1500"/>
    <x v="135"/>
    <x v="0"/>
    <x v="0"/>
    <n v="3"/>
    <n v="40"/>
    <n v="120"/>
    <x v="1"/>
    <x v="2"/>
    <n v="1"/>
  </r>
  <r>
    <n v="1501"/>
    <x v="49"/>
    <x v="2"/>
    <x v="3"/>
    <n v="2"/>
    <n v="80"/>
    <n v="160"/>
    <x v="1"/>
    <x v="2"/>
    <n v="4"/>
  </r>
  <r>
    <n v="1502"/>
    <x v="157"/>
    <x v="0"/>
    <x v="2"/>
    <n v="1"/>
    <n v="100"/>
    <n v="100"/>
    <x v="0"/>
    <x v="2"/>
    <n v="2"/>
  </r>
  <r>
    <n v="1503"/>
    <x v="143"/>
    <x v="1"/>
    <x v="1"/>
    <n v="1"/>
    <n v="60"/>
    <n v="60"/>
    <x v="0"/>
    <x v="2"/>
    <n v="5"/>
  </r>
  <r>
    <n v="1504"/>
    <x v="167"/>
    <x v="0"/>
    <x v="1"/>
    <n v="2"/>
    <n v="60"/>
    <n v="120"/>
    <x v="1"/>
    <x v="1"/>
    <n v="3"/>
  </r>
  <r>
    <n v="1505"/>
    <x v="63"/>
    <x v="1"/>
    <x v="3"/>
    <n v="1"/>
    <n v="80"/>
    <n v="80"/>
    <x v="2"/>
    <x v="1"/>
    <n v="1"/>
  </r>
  <r>
    <n v="1506"/>
    <x v="140"/>
    <x v="1"/>
    <x v="0"/>
    <n v="2"/>
    <n v="40"/>
    <n v="80"/>
    <x v="1"/>
    <x v="0"/>
    <n v="1"/>
  </r>
  <r>
    <n v="1507"/>
    <x v="107"/>
    <x v="0"/>
    <x v="0"/>
    <n v="2"/>
    <n v="40"/>
    <n v="80"/>
    <x v="2"/>
    <x v="2"/>
    <n v="5"/>
  </r>
  <r>
    <n v="1508"/>
    <x v="30"/>
    <x v="2"/>
    <x v="0"/>
    <n v="1"/>
    <n v="40"/>
    <n v="40"/>
    <x v="2"/>
    <x v="0"/>
    <n v="5"/>
  </r>
  <r>
    <n v="1509"/>
    <x v="105"/>
    <x v="1"/>
    <x v="0"/>
    <n v="3"/>
    <n v="40"/>
    <n v="120"/>
    <x v="1"/>
    <x v="0"/>
    <n v="1"/>
  </r>
  <r>
    <n v="1510"/>
    <x v="139"/>
    <x v="1"/>
    <x v="1"/>
    <n v="3"/>
    <n v="60"/>
    <n v="180"/>
    <x v="1"/>
    <x v="0"/>
    <n v="1"/>
  </r>
  <r>
    <n v="1511"/>
    <x v="72"/>
    <x v="0"/>
    <x v="3"/>
    <n v="2"/>
    <n v="80"/>
    <n v="160"/>
    <x v="1"/>
    <x v="1"/>
    <n v="2"/>
  </r>
  <r>
    <n v="1512"/>
    <x v="82"/>
    <x v="2"/>
    <x v="3"/>
    <n v="1"/>
    <n v="80"/>
    <n v="80"/>
    <x v="0"/>
    <x v="1"/>
    <n v="5"/>
  </r>
  <r>
    <n v="1513"/>
    <x v="26"/>
    <x v="0"/>
    <x v="1"/>
    <n v="3"/>
    <n v="60"/>
    <n v="180"/>
    <x v="2"/>
    <x v="2"/>
    <n v="1"/>
  </r>
  <r>
    <n v="1514"/>
    <x v="59"/>
    <x v="2"/>
    <x v="3"/>
    <n v="1"/>
    <n v="80"/>
    <n v="80"/>
    <x v="2"/>
    <x v="0"/>
    <n v="4"/>
  </r>
  <r>
    <n v="1515"/>
    <x v="82"/>
    <x v="0"/>
    <x v="0"/>
    <n v="1"/>
    <n v="40"/>
    <n v="40"/>
    <x v="0"/>
    <x v="0"/>
    <n v="3"/>
  </r>
  <r>
    <n v="1516"/>
    <x v="83"/>
    <x v="0"/>
    <x v="2"/>
    <n v="1"/>
    <n v="100"/>
    <n v="100"/>
    <x v="0"/>
    <x v="0"/>
    <n v="4"/>
  </r>
  <r>
    <n v="1517"/>
    <x v="31"/>
    <x v="1"/>
    <x v="3"/>
    <n v="3"/>
    <n v="80"/>
    <n v="240"/>
    <x v="2"/>
    <x v="1"/>
    <n v="1"/>
  </r>
  <r>
    <n v="1518"/>
    <x v="30"/>
    <x v="1"/>
    <x v="3"/>
    <n v="2"/>
    <n v="80"/>
    <n v="160"/>
    <x v="0"/>
    <x v="0"/>
    <n v="5"/>
  </r>
  <r>
    <n v="1519"/>
    <x v="132"/>
    <x v="0"/>
    <x v="0"/>
    <n v="2"/>
    <n v="40"/>
    <n v="80"/>
    <x v="1"/>
    <x v="1"/>
    <n v="4"/>
  </r>
  <r>
    <n v="1520"/>
    <x v="165"/>
    <x v="0"/>
    <x v="3"/>
    <n v="1"/>
    <n v="80"/>
    <n v="80"/>
    <x v="1"/>
    <x v="0"/>
    <n v="3"/>
  </r>
  <r>
    <n v="1521"/>
    <x v="56"/>
    <x v="2"/>
    <x v="0"/>
    <n v="2"/>
    <n v="40"/>
    <n v="80"/>
    <x v="2"/>
    <x v="1"/>
    <n v="1"/>
  </r>
  <r>
    <n v="1522"/>
    <x v="120"/>
    <x v="2"/>
    <x v="1"/>
    <n v="2"/>
    <n v="60"/>
    <n v="120"/>
    <x v="0"/>
    <x v="0"/>
    <n v="3"/>
  </r>
  <r>
    <n v="1523"/>
    <x v="172"/>
    <x v="1"/>
    <x v="3"/>
    <n v="3"/>
    <n v="80"/>
    <n v="240"/>
    <x v="2"/>
    <x v="1"/>
    <n v="1"/>
  </r>
  <r>
    <n v="1524"/>
    <x v="49"/>
    <x v="1"/>
    <x v="3"/>
    <n v="3"/>
    <n v="80"/>
    <n v="240"/>
    <x v="2"/>
    <x v="1"/>
    <n v="3"/>
  </r>
  <r>
    <n v="1525"/>
    <x v="173"/>
    <x v="2"/>
    <x v="1"/>
    <n v="3"/>
    <n v="60"/>
    <n v="180"/>
    <x v="2"/>
    <x v="2"/>
    <n v="4"/>
  </r>
  <r>
    <n v="1526"/>
    <x v="84"/>
    <x v="0"/>
    <x v="3"/>
    <n v="2"/>
    <n v="80"/>
    <n v="160"/>
    <x v="2"/>
    <x v="2"/>
    <n v="5"/>
  </r>
  <r>
    <n v="1527"/>
    <x v="174"/>
    <x v="0"/>
    <x v="1"/>
    <n v="3"/>
    <n v="60"/>
    <n v="180"/>
    <x v="2"/>
    <x v="1"/>
    <n v="4"/>
  </r>
  <r>
    <n v="1528"/>
    <x v="21"/>
    <x v="2"/>
    <x v="1"/>
    <n v="3"/>
    <n v="60"/>
    <n v="180"/>
    <x v="2"/>
    <x v="2"/>
    <n v="3"/>
  </r>
  <r>
    <n v="1529"/>
    <x v="49"/>
    <x v="0"/>
    <x v="1"/>
    <n v="3"/>
    <n v="60"/>
    <n v="180"/>
    <x v="1"/>
    <x v="2"/>
    <n v="3"/>
  </r>
  <r>
    <n v="1530"/>
    <x v="170"/>
    <x v="1"/>
    <x v="1"/>
    <n v="2"/>
    <n v="60"/>
    <n v="120"/>
    <x v="0"/>
    <x v="2"/>
    <n v="5"/>
  </r>
  <r>
    <n v="1531"/>
    <x v="45"/>
    <x v="0"/>
    <x v="1"/>
    <n v="1"/>
    <n v="60"/>
    <n v="60"/>
    <x v="0"/>
    <x v="0"/>
    <n v="3"/>
  </r>
  <r>
    <n v="1532"/>
    <x v="74"/>
    <x v="0"/>
    <x v="2"/>
    <n v="1"/>
    <n v="100"/>
    <n v="100"/>
    <x v="2"/>
    <x v="1"/>
    <n v="4"/>
  </r>
  <r>
    <n v="1533"/>
    <x v="23"/>
    <x v="2"/>
    <x v="3"/>
    <n v="3"/>
    <n v="80"/>
    <n v="240"/>
    <x v="2"/>
    <x v="0"/>
    <n v="4"/>
  </r>
  <r>
    <n v="1534"/>
    <x v="95"/>
    <x v="2"/>
    <x v="3"/>
    <n v="1"/>
    <n v="80"/>
    <n v="80"/>
    <x v="0"/>
    <x v="1"/>
    <n v="5"/>
  </r>
  <r>
    <n v="1535"/>
    <x v="106"/>
    <x v="1"/>
    <x v="1"/>
    <n v="2"/>
    <n v="60"/>
    <n v="120"/>
    <x v="0"/>
    <x v="0"/>
    <n v="2"/>
  </r>
  <r>
    <n v="1536"/>
    <x v="149"/>
    <x v="0"/>
    <x v="1"/>
    <n v="1"/>
    <n v="60"/>
    <n v="60"/>
    <x v="2"/>
    <x v="1"/>
    <n v="5"/>
  </r>
  <r>
    <n v="1537"/>
    <x v="50"/>
    <x v="1"/>
    <x v="3"/>
    <n v="2"/>
    <n v="80"/>
    <n v="160"/>
    <x v="1"/>
    <x v="1"/>
    <n v="3"/>
  </r>
  <r>
    <n v="1538"/>
    <x v="94"/>
    <x v="2"/>
    <x v="0"/>
    <n v="2"/>
    <n v="40"/>
    <n v="80"/>
    <x v="0"/>
    <x v="2"/>
    <n v="3"/>
  </r>
  <r>
    <n v="1539"/>
    <x v="75"/>
    <x v="2"/>
    <x v="2"/>
    <n v="2"/>
    <n v="100"/>
    <n v="200"/>
    <x v="1"/>
    <x v="2"/>
    <n v="3"/>
  </r>
  <r>
    <n v="1540"/>
    <x v="22"/>
    <x v="1"/>
    <x v="0"/>
    <n v="1"/>
    <n v="40"/>
    <n v="40"/>
    <x v="2"/>
    <x v="0"/>
    <n v="2"/>
  </r>
  <r>
    <n v="1541"/>
    <x v="158"/>
    <x v="0"/>
    <x v="1"/>
    <n v="2"/>
    <n v="60"/>
    <n v="120"/>
    <x v="1"/>
    <x v="2"/>
    <n v="1"/>
  </r>
  <r>
    <n v="1542"/>
    <x v="87"/>
    <x v="1"/>
    <x v="3"/>
    <n v="1"/>
    <n v="80"/>
    <n v="80"/>
    <x v="0"/>
    <x v="1"/>
    <n v="1"/>
  </r>
  <r>
    <n v="1543"/>
    <x v="125"/>
    <x v="0"/>
    <x v="2"/>
    <n v="2"/>
    <n v="100"/>
    <n v="200"/>
    <x v="1"/>
    <x v="0"/>
    <n v="5"/>
  </r>
  <r>
    <n v="1544"/>
    <x v="64"/>
    <x v="0"/>
    <x v="0"/>
    <n v="3"/>
    <n v="40"/>
    <n v="120"/>
    <x v="2"/>
    <x v="1"/>
    <n v="2"/>
  </r>
  <r>
    <n v="1545"/>
    <x v="84"/>
    <x v="2"/>
    <x v="0"/>
    <n v="1"/>
    <n v="40"/>
    <n v="40"/>
    <x v="0"/>
    <x v="2"/>
    <n v="4"/>
  </r>
  <r>
    <n v="1546"/>
    <x v="53"/>
    <x v="1"/>
    <x v="0"/>
    <n v="3"/>
    <n v="40"/>
    <n v="120"/>
    <x v="1"/>
    <x v="0"/>
    <n v="5"/>
  </r>
  <r>
    <n v="1547"/>
    <x v="145"/>
    <x v="1"/>
    <x v="3"/>
    <n v="2"/>
    <n v="80"/>
    <n v="160"/>
    <x v="1"/>
    <x v="2"/>
    <n v="3"/>
  </r>
  <r>
    <n v="1548"/>
    <x v="131"/>
    <x v="0"/>
    <x v="2"/>
    <n v="3"/>
    <n v="100"/>
    <n v="300"/>
    <x v="1"/>
    <x v="1"/>
    <n v="1"/>
  </r>
  <r>
    <n v="1549"/>
    <x v="101"/>
    <x v="0"/>
    <x v="0"/>
    <n v="2"/>
    <n v="40"/>
    <n v="80"/>
    <x v="1"/>
    <x v="0"/>
    <n v="5"/>
  </r>
  <r>
    <n v="1550"/>
    <x v="175"/>
    <x v="0"/>
    <x v="3"/>
    <n v="2"/>
    <n v="80"/>
    <n v="160"/>
    <x v="0"/>
    <x v="0"/>
    <n v="1"/>
  </r>
  <r>
    <n v="1551"/>
    <x v="119"/>
    <x v="1"/>
    <x v="1"/>
    <n v="2"/>
    <n v="60"/>
    <n v="120"/>
    <x v="2"/>
    <x v="2"/>
    <n v="1"/>
  </r>
  <r>
    <n v="1552"/>
    <x v="111"/>
    <x v="1"/>
    <x v="1"/>
    <n v="3"/>
    <n v="60"/>
    <n v="180"/>
    <x v="0"/>
    <x v="2"/>
    <n v="3"/>
  </r>
  <r>
    <n v="1553"/>
    <x v="145"/>
    <x v="1"/>
    <x v="3"/>
    <n v="1"/>
    <n v="80"/>
    <n v="80"/>
    <x v="0"/>
    <x v="2"/>
    <n v="4"/>
  </r>
  <r>
    <n v="1554"/>
    <x v="76"/>
    <x v="1"/>
    <x v="2"/>
    <n v="2"/>
    <n v="100"/>
    <n v="200"/>
    <x v="2"/>
    <x v="2"/>
    <n v="3"/>
  </r>
  <r>
    <n v="1555"/>
    <x v="21"/>
    <x v="1"/>
    <x v="2"/>
    <n v="3"/>
    <n v="100"/>
    <n v="300"/>
    <x v="2"/>
    <x v="2"/>
    <n v="2"/>
  </r>
  <r>
    <n v="1556"/>
    <x v="32"/>
    <x v="2"/>
    <x v="3"/>
    <n v="1"/>
    <n v="80"/>
    <n v="80"/>
    <x v="2"/>
    <x v="2"/>
    <n v="1"/>
  </r>
  <r>
    <n v="1557"/>
    <x v="104"/>
    <x v="0"/>
    <x v="1"/>
    <n v="1"/>
    <n v="60"/>
    <n v="60"/>
    <x v="0"/>
    <x v="1"/>
    <n v="4"/>
  </r>
  <r>
    <n v="1558"/>
    <x v="108"/>
    <x v="2"/>
    <x v="1"/>
    <n v="3"/>
    <n v="60"/>
    <n v="180"/>
    <x v="0"/>
    <x v="2"/>
    <n v="4"/>
  </r>
  <r>
    <n v="1559"/>
    <x v="111"/>
    <x v="1"/>
    <x v="1"/>
    <n v="1"/>
    <n v="60"/>
    <n v="60"/>
    <x v="2"/>
    <x v="2"/>
    <n v="4"/>
  </r>
  <r>
    <n v="1560"/>
    <x v="140"/>
    <x v="0"/>
    <x v="1"/>
    <n v="1"/>
    <n v="60"/>
    <n v="60"/>
    <x v="1"/>
    <x v="2"/>
    <n v="3"/>
  </r>
  <r>
    <n v="1561"/>
    <x v="131"/>
    <x v="1"/>
    <x v="1"/>
    <n v="3"/>
    <n v="60"/>
    <n v="180"/>
    <x v="1"/>
    <x v="1"/>
    <n v="2"/>
  </r>
  <r>
    <n v="1562"/>
    <x v="148"/>
    <x v="2"/>
    <x v="2"/>
    <n v="3"/>
    <n v="100"/>
    <n v="300"/>
    <x v="1"/>
    <x v="1"/>
    <n v="3"/>
  </r>
  <r>
    <n v="1563"/>
    <x v="88"/>
    <x v="1"/>
    <x v="3"/>
    <n v="1"/>
    <n v="80"/>
    <n v="80"/>
    <x v="1"/>
    <x v="2"/>
    <n v="3"/>
  </r>
  <r>
    <n v="1564"/>
    <x v="130"/>
    <x v="1"/>
    <x v="2"/>
    <n v="2"/>
    <n v="100"/>
    <n v="200"/>
    <x v="2"/>
    <x v="0"/>
    <n v="5"/>
  </r>
  <r>
    <n v="1565"/>
    <x v="29"/>
    <x v="2"/>
    <x v="1"/>
    <n v="3"/>
    <n v="60"/>
    <n v="180"/>
    <x v="1"/>
    <x v="1"/>
    <n v="5"/>
  </r>
  <r>
    <n v="1566"/>
    <x v="58"/>
    <x v="2"/>
    <x v="2"/>
    <n v="3"/>
    <n v="100"/>
    <n v="300"/>
    <x v="2"/>
    <x v="0"/>
    <n v="4"/>
  </r>
  <r>
    <n v="1567"/>
    <x v="150"/>
    <x v="2"/>
    <x v="2"/>
    <n v="1"/>
    <n v="100"/>
    <n v="100"/>
    <x v="2"/>
    <x v="2"/>
    <n v="2"/>
  </r>
  <r>
    <n v="1568"/>
    <x v="176"/>
    <x v="0"/>
    <x v="1"/>
    <n v="2"/>
    <n v="60"/>
    <n v="120"/>
    <x v="2"/>
    <x v="1"/>
    <n v="5"/>
  </r>
  <r>
    <n v="1569"/>
    <x v="0"/>
    <x v="2"/>
    <x v="2"/>
    <n v="1"/>
    <n v="100"/>
    <n v="100"/>
    <x v="2"/>
    <x v="1"/>
    <n v="5"/>
  </r>
  <r>
    <n v="1570"/>
    <x v="55"/>
    <x v="1"/>
    <x v="0"/>
    <n v="3"/>
    <n v="40"/>
    <n v="120"/>
    <x v="1"/>
    <x v="2"/>
    <n v="3"/>
  </r>
  <r>
    <n v="1571"/>
    <x v="36"/>
    <x v="2"/>
    <x v="2"/>
    <n v="2"/>
    <n v="100"/>
    <n v="200"/>
    <x v="1"/>
    <x v="1"/>
    <n v="3"/>
  </r>
  <r>
    <n v="1572"/>
    <x v="23"/>
    <x v="1"/>
    <x v="1"/>
    <n v="1"/>
    <n v="60"/>
    <n v="60"/>
    <x v="2"/>
    <x v="1"/>
    <n v="3"/>
  </r>
  <r>
    <n v="1573"/>
    <x v="172"/>
    <x v="0"/>
    <x v="0"/>
    <n v="3"/>
    <n v="40"/>
    <n v="120"/>
    <x v="1"/>
    <x v="0"/>
    <n v="2"/>
  </r>
  <r>
    <n v="1574"/>
    <x v="109"/>
    <x v="0"/>
    <x v="3"/>
    <n v="3"/>
    <n v="80"/>
    <n v="240"/>
    <x v="1"/>
    <x v="0"/>
    <n v="2"/>
  </r>
  <r>
    <n v="1575"/>
    <x v="61"/>
    <x v="0"/>
    <x v="1"/>
    <n v="2"/>
    <n v="60"/>
    <n v="120"/>
    <x v="1"/>
    <x v="1"/>
    <n v="2"/>
  </r>
  <r>
    <n v="1576"/>
    <x v="110"/>
    <x v="0"/>
    <x v="1"/>
    <n v="1"/>
    <n v="60"/>
    <n v="60"/>
    <x v="0"/>
    <x v="1"/>
    <n v="1"/>
  </r>
  <r>
    <n v="1577"/>
    <x v="80"/>
    <x v="1"/>
    <x v="0"/>
    <n v="2"/>
    <n v="40"/>
    <n v="80"/>
    <x v="1"/>
    <x v="0"/>
    <n v="5"/>
  </r>
  <r>
    <n v="1578"/>
    <x v="17"/>
    <x v="0"/>
    <x v="1"/>
    <n v="3"/>
    <n v="60"/>
    <n v="180"/>
    <x v="1"/>
    <x v="1"/>
    <n v="2"/>
  </r>
  <r>
    <n v="1579"/>
    <x v="131"/>
    <x v="1"/>
    <x v="3"/>
    <n v="3"/>
    <n v="80"/>
    <n v="240"/>
    <x v="1"/>
    <x v="2"/>
    <n v="2"/>
  </r>
  <r>
    <n v="1580"/>
    <x v="6"/>
    <x v="2"/>
    <x v="3"/>
    <n v="2"/>
    <n v="80"/>
    <n v="160"/>
    <x v="2"/>
    <x v="0"/>
    <n v="1"/>
  </r>
  <r>
    <n v="1581"/>
    <x v="140"/>
    <x v="2"/>
    <x v="3"/>
    <n v="1"/>
    <n v="80"/>
    <n v="80"/>
    <x v="2"/>
    <x v="1"/>
    <n v="2"/>
  </r>
  <r>
    <n v="1582"/>
    <x v="70"/>
    <x v="1"/>
    <x v="3"/>
    <n v="1"/>
    <n v="80"/>
    <n v="80"/>
    <x v="0"/>
    <x v="2"/>
    <n v="5"/>
  </r>
  <r>
    <n v="1583"/>
    <x v="5"/>
    <x v="1"/>
    <x v="2"/>
    <n v="3"/>
    <n v="100"/>
    <n v="300"/>
    <x v="0"/>
    <x v="2"/>
    <n v="2"/>
  </r>
  <r>
    <n v="1584"/>
    <x v="105"/>
    <x v="2"/>
    <x v="1"/>
    <n v="3"/>
    <n v="60"/>
    <n v="180"/>
    <x v="0"/>
    <x v="1"/>
    <n v="3"/>
  </r>
  <r>
    <n v="1585"/>
    <x v="113"/>
    <x v="0"/>
    <x v="1"/>
    <n v="2"/>
    <n v="60"/>
    <n v="120"/>
    <x v="2"/>
    <x v="2"/>
    <n v="2"/>
  </r>
  <r>
    <n v="1586"/>
    <x v="41"/>
    <x v="0"/>
    <x v="1"/>
    <n v="1"/>
    <n v="60"/>
    <n v="60"/>
    <x v="2"/>
    <x v="2"/>
    <n v="2"/>
  </r>
  <r>
    <n v="1587"/>
    <x v="105"/>
    <x v="2"/>
    <x v="1"/>
    <n v="3"/>
    <n v="60"/>
    <n v="180"/>
    <x v="2"/>
    <x v="0"/>
    <n v="5"/>
  </r>
  <r>
    <n v="1588"/>
    <x v="174"/>
    <x v="0"/>
    <x v="0"/>
    <n v="2"/>
    <n v="40"/>
    <n v="80"/>
    <x v="0"/>
    <x v="2"/>
    <n v="1"/>
  </r>
  <r>
    <n v="1589"/>
    <x v="146"/>
    <x v="0"/>
    <x v="2"/>
    <n v="3"/>
    <n v="100"/>
    <n v="300"/>
    <x v="1"/>
    <x v="1"/>
    <n v="1"/>
  </r>
  <r>
    <n v="1590"/>
    <x v="1"/>
    <x v="0"/>
    <x v="1"/>
    <n v="2"/>
    <n v="60"/>
    <n v="120"/>
    <x v="0"/>
    <x v="0"/>
    <n v="1"/>
  </r>
  <r>
    <n v="1591"/>
    <x v="139"/>
    <x v="1"/>
    <x v="3"/>
    <n v="2"/>
    <n v="80"/>
    <n v="160"/>
    <x v="0"/>
    <x v="1"/>
    <n v="5"/>
  </r>
  <r>
    <n v="1592"/>
    <x v="119"/>
    <x v="1"/>
    <x v="2"/>
    <n v="3"/>
    <n v="100"/>
    <n v="300"/>
    <x v="2"/>
    <x v="0"/>
    <n v="1"/>
  </r>
  <r>
    <n v="1593"/>
    <x v="96"/>
    <x v="1"/>
    <x v="1"/>
    <n v="2"/>
    <n v="60"/>
    <n v="120"/>
    <x v="1"/>
    <x v="0"/>
    <n v="1"/>
  </r>
  <r>
    <n v="1594"/>
    <x v="175"/>
    <x v="1"/>
    <x v="1"/>
    <n v="3"/>
    <n v="60"/>
    <n v="180"/>
    <x v="2"/>
    <x v="1"/>
    <n v="5"/>
  </r>
  <r>
    <n v="1595"/>
    <x v="52"/>
    <x v="2"/>
    <x v="2"/>
    <n v="2"/>
    <n v="100"/>
    <n v="200"/>
    <x v="2"/>
    <x v="1"/>
    <n v="2"/>
  </r>
  <r>
    <n v="1596"/>
    <x v="114"/>
    <x v="0"/>
    <x v="2"/>
    <n v="3"/>
    <n v="100"/>
    <n v="300"/>
    <x v="0"/>
    <x v="1"/>
    <n v="4"/>
  </r>
  <r>
    <n v="1597"/>
    <x v="4"/>
    <x v="1"/>
    <x v="3"/>
    <n v="1"/>
    <n v="80"/>
    <n v="80"/>
    <x v="2"/>
    <x v="2"/>
    <n v="2"/>
  </r>
  <r>
    <n v="1598"/>
    <x v="37"/>
    <x v="1"/>
    <x v="1"/>
    <n v="2"/>
    <n v="60"/>
    <n v="120"/>
    <x v="0"/>
    <x v="1"/>
    <n v="2"/>
  </r>
  <r>
    <n v="1599"/>
    <x v="130"/>
    <x v="1"/>
    <x v="3"/>
    <n v="3"/>
    <n v="80"/>
    <n v="240"/>
    <x v="2"/>
    <x v="0"/>
    <n v="3"/>
  </r>
  <r>
    <n v="1600"/>
    <x v="7"/>
    <x v="2"/>
    <x v="3"/>
    <n v="2"/>
    <n v="80"/>
    <n v="160"/>
    <x v="1"/>
    <x v="0"/>
    <n v="4"/>
  </r>
  <r>
    <n v="1601"/>
    <x v="150"/>
    <x v="0"/>
    <x v="1"/>
    <n v="2"/>
    <n v="60"/>
    <n v="120"/>
    <x v="1"/>
    <x v="1"/>
    <n v="1"/>
  </r>
  <r>
    <n v="1602"/>
    <x v="97"/>
    <x v="2"/>
    <x v="1"/>
    <n v="2"/>
    <n v="60"/>
    <n v="120"/>
    <x v="0"/>
    <x v="2"/>
    <n v="2"/>
  </r>
  <r>
    <n v="1603"/>
    <x v="13"/>
    <x v="1"/>
    <x v="2"/>
    <n v="1"/>
    <n v="100"/>
    <n v="100"/>
    <x v="2"/>
    <x v="2"/>
    <n v="1"/>
  </r>
  <r>
    <n v="1604"/>
    <x v="117"/>
    <x v="2"/>
    <x v="0"/>
    <n v="3"/>
    <n v="40"/>
    <n v="120"/>
    <x v="1"/>
    <x v="2"/>
    <n v="1"/>
  </r>
  <r>
    <n v="1605"/>
    <x v="1"/>
    <x v="2"/>
    <x v="3"/>
    <n v="3"/>
    <n v="80"/>
    <n v="240"/>
    <x v="1"/>
    <x v="2"/>
    <n v="5"/>
  </r>
  <r>
    <n v="1606"/>
    <x v="91"/>
    <x v="0"/>
    <x v="0"/>
    <n v="2"/>
    <n v="40"/>
    <n v="80"/>
    <x v="0"/>
    <x v="0"/>
    <n v="5"/>
  </r>
  <r>
    <n v="1607"/>
    <x v="153"/>
    <x v="2"/>
    <x v="1"/>
    <n v="2"/>
    <n v="60"/>
    <n v="120"/>
    <x v="1"/>
    <x v="0"/>
    <n v="2"/>
  </r>
  <r>
    <n v="1608"/>
    <x v="44"/>
    <x v="0"/>
    <x v="3"/>
    <n v="2"/>
    <n v="80"/>
    <n v="160"/>
    <x v="2"/>
    <x v="2"/>
    <n v="2"/>
  </r>
  <r>
    <n v="1609"/>
    <x v="80"/>
    <x v="1"/>
    <x v="1"/>
    <n v="3"/>
    <n v="60"/>
    <n v="180"/>
    <x v="1"/>
    <x v="0"/>
    <n v="3"/>
  </r>
  <r>
    <n v="1610"/>
    <x v="139"/>
    <x v="0"/>
    <x v="3"/>
    <n v="2"/>
    <n v="80"/>
    <n v="160"/>
    <x v="2"/>
    <x v="2"/>
    <n v="3"/>
  </r>
  <r>
    <n v="1611"/>
    <x v="60"/>
    <x v="1"/>
    <x v="2"/>
    <n v="1"/>
    <n v="100"/>
    <n v="100"/>
    <x v="0"/>
    <x v="0"/>
    <n v="5"/>
  </r>
  <r>
    <n v="1612"/>
    <x v="62"/>
    <x v="1"/>
    <x v="2"/>
    <n v="1"/>
    <n v="100"/>
    <n v="100"/>
    <x v="0"/>
    <x v="0"/>
    <n v="4"/>
  </r>
  <r>
    <n v="1613"/>
    <x v="117"/>
    <x v="2"/>
    <x v="1"/>
    <n v="2"/>
    <n v="60"/>
    <n v="120"/>
    <x v="2"/>
    <x v="1"/>
    <n v="5"/>
  </r>
  <r>
    <n v="1614"/>
    <x v="149"/>
    <x v="0"/>
    <x v="0"/>
    <n v="1"/>
    <n v="40"/>
    <n v="40"/>
    <x v="2"/>
    <x v="0"/>
    <n v="4"/>
  </r>
  <r>
    <n v="1615"/>
    <x v="21"/>
    <x v="1"/>
    <x v="3"/>
    <n v="2"/>
    <n v="80"/>
    <n v="160"/>
    <x v="2"/>
    <x v="1"/>
    <n v="2"/>
  </r>
  <r>
    <n v="1616"/>
    <x v="153"/>
    <x v="2"/>
    <x v="0"/>
    <n v="3"/>
    <n v="40"/>
    <n v="120"/>
    <x v="1"/>
    <x v="1"/>
    <n v="3"/>
  </r>
  <r>
    <n v="1617"/>
    <x v="64"/>
    <x v="2"/>
    <x v="0"/>
    <n v="2"/>
    <n v="40"/>
    <n v="80"/>
    <x v="2"/>
    <x v="0"/>
    <n v="4"/>
  </r>
  <r>
    <n v="1618"/>
    <x v="55"/>
    <x v="1"/>
    <x v="2"/>
    <n v="3"/>
    <n v="100"/>
    <n v="300"/>
    <x v="2"/>
    <x v="1"/>
    <n v="5"/>
  </r>
  <r>
    <n v="1619"/>
    <x v="105"/>
    <x v="0"/>
    <x v="2"/>
    <n v="3"/>
    <n v="100"/>
    <n v="300"/>
    <x v="2"/>
    <x v="0"/>
    <n v="3"/>
  </r>
  <r>
    <n v="1620"/>
    <x v="54"/>
    <x v="2"/>
    <x v="2"/>
    <n v="2"/>
    <n v="100"/>
    <n v="200"/>
    <x v="0"/>
    <x v="2"/>
    <n v="2"/>
  </r>
  <r>
    <n v="1621"/>
    <x v="128"/>
    <x v="1"/>
    <x v="3"/>
    <n v="2"/>
    <n v="80"/>
    <n v="160"/>
    <x v="1"/>
    <x v="2"/>
    <n v="2"/>
  </r>
  <r>
    <n v="1622"/>
    <x v="74"/>
    <x v="0"/>
    <x v="2"/>
    <n v="2"/>
    <n v="100"/>
    <n v="200"/>
    <x v="2"/>
    <x v="1"/>
    <n v="3"/>
  </r>
  <r>
    <n v="1623"/>
    <x v="121"/>
    <x v="1"/>
    <x v="3"/>
    <n v="1"/>
    <n v="80"/>
    <n v="80"/>
    <x v="1"/>
    <x v="2"/>
    <n v="2"/>
  </r>
  <r>
    <n v="1624"/>
    <x v="169"/>
    <x v="1"/>
    <x v="1"/>
    <n v="2"/>
    <n v="60"/>
    <n v="120"/>
    <x v="2"/>
    <x v="2"/>
    <n v="1"/>
  </r>
  <r>
    <n v="1625"/>
    <x v="35"/>
    <x v="0"/>
    <x v="3"/>
    <n v="1"/>
    <n v="80"/>
    <n v="80"/>
    <x v="1"/>
    <x v="2"/>
    <n v="1"/>
  </r>
  <r>
    <n v="1626"/>
    <x v="18"/>
    <x v="0"/>
    <x v="0"/>
    <n v="3"/>
    <n v="40"/>
    <n v="120"/>
    <x v="0"/>
    <x v="2"/>
    <n v="4"/>
  </r>
  <r>
    <n v="1627"/>
    <x v="148"/>
    <x v="2"/>
    <x v="3"/>
    <n v="3"/>
    <n v="80"/>
    <n v="240"/>
    <x v="0"/>
    <x v="2"/>
    <n v="1"/>
  </r>
  <r>
    <n v="1628"/>
    <x v="7"/>
    <x v="1"/>
    <x v="1"/>
    <n v="3"/>
    <n v="60"/>
    <n v="180"/>
    <x v="2"/>
    <x v="1"/>
    <n v="4"/>
  </r>
  <r>
    <n v="1629"/>
    <x v="19"/>
    <x v="0"/>
    <x v="3"/>
    <n v="1"/>
    <n v="80"/>
    <n v="80"/>
    <x v="1"/>
    <x v="1"/>
    <n v="5"/>
  </r>
  <r>
    <n v="1630"/>
    <x v="125"/>
    <x v="0"/>
    <x v="2"/>
    <n v="3"/>
    <n v="100"/>
    <n v="300"/>
    <x v="2"/>
    <x v="0"/>
    <n v="3"/>
  </r>
  <r>
    <n v="1631"/>
    <x v="143"/>
    <x v="0"/>
    <x v="2"/>
    <n v="3"/>
    <n v="100"/>
    <n v="300"/>
    <x v="0"/>
    <x v="2"/>
    <n v="4"/>
  </r>
  <r>
    <n v="1632"/>
    <x v="56"/>
    <x v="0"/>
    <x v="1"/>
    <n v="3"/>
    <n v="60"/>
    <n v="180"/>
    <x v="0"/>
    <x v="1"/>
    <n v="5"/>
  </r>
  <r>
    <n v="1633"/>
    <x v="134"/>
    <x v="2"/>
    <x v="3"/>
    <n v="2"/>
    <n v="80"/>
    <n v="160"/>
    <x v="0"/>
    <x v="1"/>
    <n v="5"/>
  </r>
  <r>
    <n v="1634"/>
    <x v="83"/>
    <x v="0"/>
    <x v="0"/>
    <n v="3"/>
    <n v="40"/>
    <n v="120"/>
    <x v="0"/>
    <x v="1"/>
    <n v="3"/>
  </r>
  <r>
    <n v="1635"/>
    <x v="102"/>
    <x v="1"/>
    <x v="1"/>
    <n v="3"/>
    <n v="60"/>
    <n v="180"/>
    <x v="2"/>
    <x v="2"/>
    <n v="1"/>
  </r>
  <r>
    <n v="1636"/>
    <x v="43"/>
    <x v="2"/>
    <x v="3"/>
    <n v="3"/>
    <n v="80"/>
    <n v="240"/>
    <x v="1"/>
    <x v="2"/>
    <n v="4"/>
  </r>
  <r>
    <n v="1637"/>
    <x v="177"/>
    <x v="0"/>
    <x v="1"/>
    <n v="3"/>
    <n v="60"/>
    <n v="180"/>
    <x v="1"/>
    <x v="1"/>
    <n v="4"/>
  </r>
  <r>
    <n v="1638"/>
    <x v="130"/>
    <x v="2"/>
    <x v="3"/>
    <n v="3"/>
    <n v="80"/>
    <n v="240"/>
    <x v="2"/>
    <x v="2"/>
    <n v="5"/>
  </r>
  <r>
    <n v="1639"/>
    <x v="64"/>
    <x v="1"/>
    <x v="2"/>
    <n v="2"/>
    <n v="100"/>
    <n v="200"/>
    <x v="0"/>
    <x v="1"/>
    <n v="3"/>
  </r>
  <r>
    <n v="1640"/>
    <x v="127"/>
    <x v="2"/>
    <x v="0"/>
    <n v="3"/>
    <n v="40"/>
    <n v="120"/>
    <x v="1"/>
    <x v="0"/>
    <n v="3"/>
  </r>
  <r>
    <n v="1641"/>
    <x v="77"/>
    <x v="2"/>
    <x v="3"/>
    <n v="3"/>
    <n v="80"/>
    <n v="240"/>
    <x v="0"/>
    <x v="2"/>
    <n v="1"/>
  </r>
  <r>
    <n v="1642"/>
    <x v="36"/>
    <x v="0"/>
    <x v="2"/>
    <n v="2"/>
    <n v="100"/>
    <n v="200"/>
    <x v="2"/>
    <x v="0"/>
    <n v="4"/>
  </r>
  <r>
    <n v="1643"/>
    <x v="99"/>
    <x v="0"/>
    <x v="3"/>
    <n v="3"/>
    <n v="80"/>
    <n v="240"/>
    <x v="1"/>
    <x v="0"/>
    <n v="5"/>
  </r>
  <r>
    <n v="1644"/>
    <x v="174"/>
    <x v="1"/>
    <x v="0"/>
    <n v="1"/>
    <n v="40"/>
    <n v="40"/>
    <x v="0"/>
    <x v="0"/>
    <n v="3"/>
  </r>
  <r>
    <n v="1645"/>
    <x v="134"/>
    <x v="1"/>
    <x v="3"/>
    <n v="1"/>
    <n v="80"/>
    <n v="80"/>
    <x v="2"/>
    <x v="1"/>
    <n v="1"/>
  </r>
  <r>
    <n v="1646"/>
    <x v="90"/>
    <x v="1"/>
    <x v="0"/>
    <n v="2"/>
    <n v="40"/>
    <n v="80"/>
    <x v="2"/>
    <x v="0"/>
    <n v="5"/>
  </r>
  <r>
    <n v="1647"/>
    <x v="56"/>
    <x v="2"/>
    <x v="0"/>
    <n v="2"/>
    <n v="40"/>
    <n v="80"/>
    <x v="0"/>
    <x v="1"/>
    <n v="5"/>
  </r>
  <r>
    <n v="1648"/>
    <x v="162"/>
    <x v="0"/>
    <x v="3"/>
    <n v="2"/>
    <n v="80"/>
    <n v="160"/>
    <x v="2"/>
    <x v="2"/>
    <n v="2"/>
  </r>
  <r>
    <n v="1649"/>
    <x v="33"/>
    <x v="2"/>
    <x v="0"/>
    <n v="2"/>
    <n v="40"/>
    <n v="80"/>
    <x v="1"/>
    <x v="1"/>
    <n v="3"/>
  </r>
  <r>
    <n v="1650"/>
    <x v="88"/>
    <x v="0"/>
    <x v="2"/>
    <n v="1"/>
    <n v="100"/>
    <n v="100"/>
    <x v="1"/>
    <x v="0"/>
    <n v="1"/>
  </r>
  <r>
    <n v="1651"/>
    <x v="33"/>
    <x v="1"/>
    <x v="1"/>
    <n v="3"/>
    <n v="60"/>
    <n v="180"/>
    <x v="2"/>
    <x v="2"/>
    <n v="1"/>
  </r>
  <r>
    <n v="1652"/>
    <x v="37"/>
    <x v="1"/>
    <x v="3"/>
    <n v="1"/>
    <n v="80"/>
    <n v="80"/>
    <x v="2"/>
    <x v="2"/>
    <n v="3"/>
  </r>
  <r>
    <n v="1653"/>
    <x v="17"/>
    <x v="2"/>
    <x v="2"/>
    <n v="2"/>
    <n v="100"/>
    <n v="200"/>
    <x v="1"/>
    <x v="1"/>
    <n v="5"/>
  </r>
  <r>
    <n v="1654"/>
    <x v="127"/>
    <x v="0"/>
    <x v="2"/>
    <n v="2"/>
    <n v="100"/>
    <n v="200"/>
    <x v="0"/>
    <x v="1"/>
    <n v="3"/>
  </r>
  <r>
    <n v="1655"/>
    <x v="58"/>
    <x v="0"/>
    <x v="3"/>
    <n v="3"/>
    <n v="80"/>
    <n v="240"/>
    <x v="0"/>
    <x v="0"/>
    <n v="1"/>
  </r>
  <r>
    <n v="1656"/>
    <x v="16"/>
    <x v="2"/>
    <x v="2"/>
    <n v="1"/>
    <n v="100"/>
    <n v="100"/>
    <x v="0"/>
    <x v="2"/>
    <n v="3"/>
  </r>
  <r>
    <n v="1657"/>
    <x v="81"/>
    <x v="0"/>
    <x v="1"/>
    <n v="3"/>
    <n v="60"/>
    <n v="180"/>
    <x v="0"/>
    <x v="0"/>
    <n v="5"/>
  </r>
  <r>
    <n v="1658"/>
    <x v="110"/>
    <x v="2"/>
    <x v="0"/>
    <n v="3"/>
    <n v="40"/>
    <n v="120"/>
    <x v="2"/>
    <x v="0"/>
    <n v="1"/>
  </r>
  <r>
    <n v="1659"/>
    <x v="34"/>
    <x v="1"/>
    <x v="0"/>
    <n v="1"/>
    <n v="40"/>
    <n v="40"/>
    <x v="2"/>
    <x v="1"/>
    <n v="5"/>
  </r>
  <r>
    <n v="1660"/>
    <x v="63"/>
    <x v="1"/>
    <x v="2"/>
    <n v="2"/>
    <n v="100"/>
    <n v="200"/>
    <x v="0"/>
    <x v="2"/>
    <n v="3"/>
  </r>
  <r>
    <n v="1661"/>
    <x v="58"/>
    <x v="0"/>
    <x v="0"/>
    <n v="2"/>
    <n v="40"/>
    <n v="80"/>
    <x v="0"/>
    <x v="2"/>
    <n v="1"/>
  </r>
  <r>
    <n v="1662"/>
    <x v="41"/>
    <x v="0"/>
    <x v="2"/>
    <n v="2"/>
    <n v="100"/>
    <n v="200"/>
    <x v="0"/>
    <x v="0"/>
    <n v="2"/>
  </r>
  <r>
    <n v="1663"/>
    <x v="167"/>
    <x v="2"/>
    <x v="0"/>
    <n v="2"/>
    <n v="40"/>
    <n v="80"/>
    <x v="2"/>
    <x v="1"/>
    <n v="2"/>
  </r>
  <r>
    <n v="1664"/>
    <x v="28"/>
    <x v="1"/>
    <x v="2"/>
    <n v="3"/>
    <n v="100"/>
    <n v="300"/>
    <x v="0"/>
    <x v="1"/>
    <n v="5"/>
  </r>
  <r>
    <n v="1665"/>
    <x v="148"/>
    <x v="0"/>
    <x v="2"/>
    <n v="1"/>
    <n v="100"/>
    <n v="100"/>
    <x v="1"/>
    <x v="2"/>
    <n v="5"/>
  </r>
  <r>
    <n v="1666"/>
    <x v="44"/>
    <x v="2"/>
    <x v="2"/>
    <n v="3"/>
    <n v="100"/>
    <n v="300"/>
    <x v="0"/>
    <x v="1"/>
    <n v="4"/>
  </r>
  <r>
    <n v="1667"/>
    <x v="162"/>
    <x v="1"/>
    <x v="1"/>
    <n v="3"/>
    <n v="60"/>
    <n v="180"/>
    <x v="0"/>
    <x v="2"/>
    <n v="2"/>
  </r>
  <r>
    <n v="1668"/>
    <x v="88"/>
    <x v="2"/>
    <x v="2"/>
    <n v="2"/>
    <n v="100"/>
    <n v="200"/>
    <x v="0"/>
    <x v="0"/>
    <n v="3"/>
  </r>
  <r>
    <n v="1669"/>
    <x v="33"/>
    <x v="2"/>
    <x v="3"/>
    <n v="2"/>
    <n v="80"/>
    <n v="160"/>
    <x v="1"/>
    <x v="0"/>
    <n v="1"/>
  </r>
  <r>
    <n v="1670"/>
    <x v="77"/>
    <x v="1"/>
    <x v="3"/>
    <n v="1"/>
    <n v="80"/>
    <n v="80"/>
    <x v="1"/>
    <x v="0"/>
    <n v="1"/>
  </r>
  <r>
    <n v="1671"/>
    <x v="52"/>
    <x v="2"/>
    <x v="1"/>
    <n v="2"/>
    <n v="60"/>
    <n v="120"/>
    <x v="0"/>
    <x v="0"/>
    <n v="2"/>
  </r>
  <r>
    <n v="1672"/>
    <x v="96"/>
    <x v="1"/>
    <x v="2"/>
    <n v="3"/>
    <n v="100"/>
    <n v="300"/>
    <x v="1"/>
    <x v="2"/>
    <n v="2"/>
  </r>
  <r>
    <n v="1673"/>
    <x v="63"/>
    <x v="1"/>
    <x v="1"/>
    <n v="3"/>
    <n v="60"/>
    <n v="180"/>
    <x v="2"/>
    <x v="2"/>
    <n v="5"/>
  </r>
  <r>
    <n v="1674"/>
    <x v="38"/>
    <x v="1"/>
    <x v="0"/>
    <n v="1"/>
    <n v="40"/>
    <n v="40"/>
    <x v="2"/>
    <x v="0"/>
    <n v="3"/>
  </r>
  <r>
    <n v="1675"/>
    <x v="22"/>
    <x v="0"/>
    <x v="1"/>
    <n v="1"/>
    <n v="60"/>
    <n v="60"/>
    <x v="1"/>
    <x v="1"/>
    <n v="3"/>
  </r>
  <r>
    <n v="1676"/>
    <x v="41"/>
    <x v="2"/>
    <x v="3"/>
    <n v="1"/>
    <n v="80"/>
    <n v="80"/>
    <x v="0"/>
    <x v="1"/>
    <n v="2"/>
  </r>
  <r>
    <n v="1677"/>
    <x v="82"/>
    <x v="0"/>
    <x v="2"/>
    <n v="2"/>
    <n v="100"/>
    <n v="200"/>
    <x v="2"/>
    <x v="0"/>
    <n v="3"/>
  </r>
  <r>
    <n v="1678"/>
    <x v="22"/>
    <x v="2"/>
    <x v="1"/>
    <n v="3"/>
    <n v="60"/>
    <n v="180"/>
    <x v="1"/>
    <x v="1"/>
    <n v="4"/>
  </r>
  <r>
    <n v="1679"/>
    <x v="63"/>
    <x v="1"/>
    <x v="1"/>
    <n v="1"/>
    <n v="60"/>
    <n v="60"/>
    <x v="0"/>
    <x v="0"/>
    <n v="1"/>
  </r>
  <r>
    <n v="1680"/>
    <x v="101"/>
    <x v="2"/>
    <x v="1"/>
    <n v="1"/>
    <n v="60"/>
    <n v="60"/>
    <x v="2"/>
    <x v="0"/>
    <n v="4"/>
  </r>
  <r>
    <n v="1681"/>
    <x v="28"/>
    <x v="2"/>
    <x v="0"/>
    <n v="2"/>
    <n v="40"/>
    <n v="80"/>
    <x v="1"/>
    <x v="1"/>
    <n v="1"/>
  </r>
  <r>
    <n v="1682"/>
    <x v="159"/>
    <x v="0"/>
    <x v="0"/>
    <n v="3"/>
    <n v="40"/>
    <n v="120"/>
    <x v="1"/>
    <x v="1"/>
    <n v="3"/>
  </r>
  <r>
    <n v="1683"/>
    <x v="159"/>
    <x v="2"/>
    <x v="2"/>
    <n v="3"/>
    <n v="100"/>
    <n v="300"/>
    <x v="2"/>
    <x v="2"/>
    <n v="4"/>
  </r>
  <r>
    <n v="1684"/>
    <x v="162"/>
    <x v="1"/>
    <x v="2"/>
    <n v="2"/>
    <n v="100"/>
    <n v="200"/>
    <x v="1"/>
    <x v="2"/>
    <n v="2"/>
  </r>
  <r>
    <n v="1685"/>
    <x v="12"/>
    <x v="1"/>
    <x v="3"/>
    <n v="2"/>
    <n v="80"/>
    <n v="160"/>
    <x v="1"/>
    <x v="0"/>
    <n v="2"/>
  </r>
  <r>
    <n v="1686"/>
    <x v="72"/>
    <x v="2"/>
    <x v="0"/>
    <n v="2"/>
    <n v="40"/>
    <n v="80"/>
    <x v="2"/>
    <x v="2"/>
    <n v="2"/>
  </r>
  <r>
    <n v="1687"/>
    <x v="163"/>
    <x v="1"/>
    <x v="0"/>
    <n v="3"/>
    <n v="40"/>
    <n v="120"/>
    <x v="2"/>
    <x v="0"/>
    <n v="3"/>
  </r>
  <r>
    <n v="1688"/>
    <x v="148"/>
    <x v="2"/>
    <x v="2"/>
    <n v="2"/>
    <n v="100"/>
    <n v="200"/>
    <x v="2"/>
    <x v="2"/>
    <n v="3"/>
  </r>
  <r>
    <n v="1689"/>
    <x v="132"/>
    <x v="0"/>
    <x v="3"/>
    <n v="2"/>
    <n v="80"/>
    <n v="160"/>
    <x v="1"/>
    <x v="0"/>
    <n v="2"/>
  </r>
  <r>
    <n v="1690"/>
    <x v="136"/>
    <x v="2"/>
    <x v="2"/>
    <n v="2"/>
    <n v="100"/>
    <n v="200"/>
    <x v="2"/>
    <x v="0"/>
    <n v="5"/>
  </r>
  <r>
    <n v="1691"/>
    <x v="122"/>
    <x v="0"/>
    <x v="3"/>
    <n v="3"/>
    <n v="80"/>
    <n v="240"/>
    <x v="1"/>
    <x v="1"/>
    <n v="3"/>
  </r>
  <r>
    <n v="1692"/>
    <x v="18"/>
    <x v="1"/>
    <x v="1"/>
    <n v="1"/>
    <n v="60"/>
    <n v="60"/>
    <x v="1"/>
    <x v="1"/>
    <n v="1"/>
  </r>
  <r>
    <n v="1693"/>
    <x v="156"/>
    <x v="2"/>
    <x v="2"/>
    <n v="2"/>
    <n v="100"/>
    <n v="200"/>
    <x v="1"/>
    <x v="0"/>
    <n v="4"/>
  </r>
  <r>
    <n v="1694"/>
    <x v="132"/>
    <x v="0"/>
    <x v="2"/>
    <n v="3"/>
    <n v="100"/>
    <n v="300"/>
    <x v="0"/>
    <x v="1"/>
    <n v="1"/>
  </r>
  <r>
    <n v="1695"/>
    <x v="75"/>
    <x v="1"/>
    <x v="1"/>
    <n v="2"/>
    <n v="60"/>
    <n v="120"/>
    <x v="1"/>
    <x v="1"/>
    <n v="1"/>
  </r>
  <r>
    <n v="1696"/>
    <x v="92"/>
    <x v="0"/>
    <x v="2"/>
    <n v="1"/>
    <n v="100"/>
    <n v="100"/>
    <x v="1"/>
    <x v="1"/>
    <n v="4"/>
  </r>
  <r>
    <n v="1697"/>
    <x v="73"/>
    <x v="2"/>
    <x v="1"/>
    <n v="2"/>
    <n v="60"/>
    <n v="120"/>
    <x v="1"/>
    <x v="2"/>
    <n v="5"/>
  </r>
  <r>
    <n v="1698"/>
    <x v="14"/>
    <x v="0"/>
    <x v="1"/>
    <n v="1"/>
    <n v="60"/>
    <n v="60"/>
    <x v="1"/>
    <x v="1"/>
    <n v="4"/>
  </r>
  <r>
    <n v="1699"/>
    <x v="67"/>
    <x v="0"/>
    <x v="2"/>
    <n v="3"/>
    <n v="100"/>
    <n v="300"/>
    <x v="0"/>
    <x v="1"/>
    <n v="4"/>
  </r>
  <r>
    <n v="1700"/>
    <x v="31"/>
    <x v="2"/>
    <x v="1"/>
    <n v="2"/>
    <n v="60"/>
    <n v="120"/>
    <x v="0"/>
    <x v="2"/>
    <n v="1"/>
  </r>
  <r>
    <n v="1701"/>
    <x v="172"/>
    <x v="0"/>
    <x v="1"/>
    <n v="3"/>
    <n v="60"/>
    <n v="180"/>
    <x v="0"/>
    <x v="1"/>
    <n v="2"/>
  </r>
  <r>
    <n v="1702"/>
    <x v="18"/>
    <x v="1"/>
    <x v="1"/>
    <n v="1"/>
    <n v="60"/>
    <n v="60"/>
    <x v="2"/>
    <x v="0"/>
    <n v="1"/>
  </r>
  <r>
    <n v="1703"/>
    <x v="12"/>
    <x v="1"/>
    <x v="2"/>
    <n v="1"/>
    <n v="100"/>
    <n v="100"/>
    <x v="1"/>
    <x v="0"/>
    <n v="2"/>
  </r>
  <r>
    <n v="1704"/>
    <x v="66"/>
    <x v="1"/>
    <x v="0"/>
    <n v="2"/>
    <n v="40"/>
    <n v="80"/>
    <x v="2"/>
    <x v="2"/>
    <n v="2"/>
  </r>
  <r>
    <n v="1705"/>
    <x v="51"/>
    <x v="2"/>
    <x v="2"/>
    <n v="2"/>
    <n v="100"/>
    <n v="200"/>
    <x v="2"/>
    <x v="2"/>
    <n v="1"/>
  </r>
  <r>
    <n v="1706"/>
    <x v="44"/>
    <x v="0"/>
    <x v="0"/>
    <n v="2"/>
    <n v="40"/>
    <n v="80"/>
    <x v="2"/>
    <x v="1"/>
    <n v="3"/>
  </r>
  <r>
    <n v="1707"/>
    <x v="145"/>
    <x v="0"/>
    <x v="0"/>
    <n v="3"/>
    <n v="40"/>
    <n v="120"/>
    <x v="2"/>
    <x v="0"/>
    <n v="5"/>
  </r>
  <r>
    <n v="1708"/>
    <x v="39"/>
    <x v="2"/>
    <x v="0"/>
    <n v="2"/>
    <n v="40"/>
    <n v="80"/>
    <x v="2"/>
    <x v="1"/>
    <n v="4"/>
  </r>
  <r>
    <n v="1709"/>
    <x v="104"/>
    <x v="1"/>
    <x v="2"/>
    <n v="1"/>
    <n v="100"/>
    <n v="100"/>
    <x v="0"/>
    <x v="2"/>
    <n v="2"/>
  </r>
  <r>
    <n v="1710"/>
    <x v="18"/>
    <x v="0"/>
    <x v="2"/>
    <n v="1"/>
    <n v="100"/>
    <n v="100"/>
    <x v="0"/>
    <x v="1"/>
    <n v="4"/>
  </r>
  <r>
    <n v="1711"/>
    <x v="176"/>
    <x v="1"/>
    <x v="2"/>
    <n v="2"/>
    <n v="100"/>
    <n v="200"/>
    <x v="1"/>
    <x v="0"/>
    <n v="5"/>
  </r>
  <r>
    <n v="1712"/>
    <x v="80"/>
    <x v="1"/>
    <x v="3"/>
    <n v="2"/>
    <n v="80"/>
    <n v="160"/>
    <x v="0"/>
    <x v="2"/>
    <n v="3"/>
  </r>
  <r>
    <n v="1713"/>
    <x v="140"/>
    <x v="1"/>
    <x v="3"/>
    <n v="2"/>
    <n v="80"/>
    <n v="160"/>
    <x v="0"/>
    <x v="1"/>
    <n v="4"/>
  </r>
  <r>
    <n v="1714"/>
    <x v="120"/>
    <x v="0"/>
    <x v="1"/>
    <n v="1"/>
    <n v="60"/>
    <n v="60"/>
    <x v="0"/>
    <x v="2"/>
    <n v="2"/>
  </r>
  <r>
    <n v="1715"/>
    <x v="130"/>
    <x v="0"/>
    <x v="0"/>
    <n v="2"/>
    <n v="40"/>
    <n v="80"/>
    <x v="1"/>
    <x v="0"/>
    <n v="5"/>
  </r>
  <r>
    <n v="1716"/>
    <x v="80"/>
    <x v="2"/>
    <x v="0"/>
    <n v="1"/>
    <n v="40"/>
    <n v="40"/>
    <x v="1"/>
    <x v="0"/>
    <n v="5"/>
  </r>
  <r>
    <n v="1717"/>
    <x v="152"/>
    <x v="0"/>
    <x v="0"/>
    <n v="1"/>
    <n v="40"/>
    <n v="40"/>
    <x v="2"/>
    <x v="1"/>
    <n v="4"/>
  </r>
  <r>
    <n v="1718"/>
    <x v="116"/>
    <x v="2"/>
    <x v="1"/>
    <n v="1"/>
    <n v="60"/>
    <n v="60"/>
    <x v="0"/>
    <x v="1"/>
    <n v="4"/>
  </r>
  <r>
    <n v="1719"/>
    <x v="91"/>
    <x v="1"/>
    <x v="1"/>
    <n v="2"/>
    <n v="60"/>
    <n v="120"/>
    <x v="0"/>
    <x v="0"/>
    <n v="2"/>
  </r>
  <r>
    <n v="1720"/>
    <x v="86"/>
    <x v="2"/>
    <x v="1"/>
    <n v="3"/>
    <n v="60"/>
    <n v="180"/>
    <x v="1"/>
    <x v="1"/>
    <n v="2"/>
  </r>
  <r>
    <n v="1721"/>
    <x v="163"/>
    <x v="1"/>
    <x v="1"/>
    <n v="3"/>
    <n v="60"/>
    <n v="180"/>
    <x v="1"/>
    <x v="0"/>
    <n v="4"/>
  </r>
  <r>
    <n v="1722"/>
    <x v="42"/>
    <x v="1"/>
    <x v="3"/>
    <n v="2"/>
    <n v="80"/>
    <n v="160"/>
    <x v="2"/>
    <x v="0"/>
    <n v="5"/>
  </r>
  <r>
    <n v="1723"/>
    <x v="66"/>
    <x v="0"/>
    <x v="1"/>
    <n v="3"/>
    <n v="60"/>
    <n v="180"/>
    <x v="2"/>
    <x v="0"/>
    <n v="4"/>
  </r>
  <r>
    <n v="1724"/>
    <x v="17"/>
    <x v="2"/>
    <x v="1"/>
    <n v="3"/>
    <n v="60"/>
    <n v="180"/>
    <x v="2"/>
    <x v="2"/>
    <n v="2"/>
  </r>
  <r>
    <n v="1725"/>
    <x v="11"/>
    <x v="2"/>
    <x v="2"/>
    <n v="2"/>
    <n v="100"/>
    <n v="200"/>
    <x v="0"/>
    <x v="1"/>
    <n v="3"/>
  </r>
  <r>
    <n v="1726"/>
    <x v="29"/>
    <x v="2"/>
    <x v="0"/>
    <n v="3"/>
    <n v="40"/>
    <n v="120"/>
    <x v="0"/>
    <x v="1"/>
    <n v="3"/>
  </r>
  <r>
    <n v="1727"/>
    <x v="40"/>
    <x v="0"/>
    <x v="2"/>
    <n v="1"/>
    <n v="100"/>
    <n v="100"/>
    <x v="2"/>
    <x v="2"/>
    <n v="3"/>
  </r>
  <r>
    <n v="1728"/>
    <x v="36"/>
    <x v="0"/>
    <x v="1"/>
    <n v="1"/>
    <n v="60"/>
    <n v="60"/>
    <x v="1"/>
    <x v="0"/>
    <n v="1"/>
  </r>
  <r>
    <n v="1729"/>
    <x v="82"/>
    <x v="0"/>
    <x v="2"/>
    <n v="2"/>
    <n v="100"/>
    <n v="200"/>
    <x v="1"/>
    <x v="2"/>
    <n v="4"/>
  </r>
  <r>
    <n v="1730"/>
    <x v="14"/>
    <x v="2"/>
    <x v="2"/>
    <n v="2"/>
    <n v="100"/>
    <n v="200"/>
    <x v="2"/>
    <x v="1"/>
    <n v="2"/>
  </r>
  <r>
    <n v="1731"/>
    <x v="70"/>
    <x v="0"/>
    <x v="2"/>
    <n v="1"/>
    <n v="100"/>
    <n v="100"/>
    <x v="1"/>
    <x v="2"/>
    <n v="2"/>
  </r>
  <r>
    <n v="1732"/>
    <x v="59"/>
    <x v="2"/>
    <x v="0"/>
    <n v="2"/>
    <n v="40"/>
    <n v="80"/>
    <x v="2"/>
    <x v="1"/>
    <n v="3"/>
  </r>
  <r>
    <n v="1733"/>
    <x v="159"/>
    <x v="1"/>
    <x v="2"/>
    <n v="1"/>
    <n v="100"/>
    <n v="100"/>
    <x v="1"/>
    <x v="0"/>
    <n v="5"/>
  </r>
  <r>
    <n v="1734"/>
    <x v="87"/>
    <x v="1"/>
    <x v="2"/>
    <n v="1"/>
    <n v="100"/>
    <n v="100"/>
    <x v="2"/>
    <x v="0"/>
    <n v="4"/>
  </r>
  <r>
    <n v="1735"/>
    <x v="15"/>
    <x v="0"/>
    <x v="0"/>
    <n v="2"/>
    <n v="40"/>
    <n v="80"/>
    <x v="0"/>
    <x v="0"/>
    <n v="2"/>
  </r>
  <r>
    <n v="1736"/>
    <x v="45"/>
    <x v="1"/>
    <x v="1"/>
    <n v="1"/>
    <n v="60"/>
    <n v="60"/>
    <x v="0"/>
    <x v="2"/>
    <n v="1"/>
  </r>
  <r>
    <n v="1737"/>
    <x v="7"/>
    <x v="1"/>
    <x v="1"/>
    <n v="1"/>
    <n v="60"/>
    <n v="60"/>
    <x v="1"/>
    <x v="1"/>
    <n v="2"/>
  </r>
  <r>
    <n v="1738"/>
    <x v="54"/>
    <x v="2"/>
    <x v="1"/>
    <n v="1"/>
    <n v="60"/>
    <n v="60"/>
    <x v="0"/>
    <x v="1"/>
    <n v="3"/>
  </r>
  <r>
    <n v="1739"/>
    <x v="141"/>
    <x v="0"/>
    <x v="1"/>
    <n v="3"/>
    <n v="60"/>
    <n v="180"/>
    <x v="0"/>
    <x v="0"/>
    <n v="3"/>
  </r>
  <r>
    <n v="1740"/>
    <x v="155"/>
    <x v="2"/>
    <x v="2"/>
    <n v="1"/>
    <n v="100"/>
    <n v="100"/>
    <x v="0"/>
    <x v="1"/>
    <n v="5"/>
  </r>
  <r>
    <n v="1741"/>
    <x v="87"/>
    <x v="1"/>
    <x v="0"/>
    <n v="2"/>
    <n v="40"/>
    <n v="80"/>
    <x v="1"/>
    <x v="0"/>
    <n v="5"/>
  </r>
  <r>
    <n v="1742"/>
    <x v="109"/>
    <x v="0"/>
    <x v="1"/>
    <n v="1"/>
    <n v="60"/>
    <n v="60"/>
    <x v="0"/>
    <x v="1"/>
    <n v="1"/>
  </r>
  <r>
    <n v="1743"/>
    <x v="120"/>
    <x v="1"/>
    <x v="0"/>
    <n v="1"/>
    <n v="40"/>
    <n v="40"/>
    <x v="1"/>
    <x v="1"/>
    <n v="1"/>
  </r>
  <r>
    <n v="1744"/>
    <x v="175"/>
    <x v="1"/>
    <x v="3"/>
    <n v="1"/>
    <n v="80"/>
    <n v="80"/>
    <x v="2"/>
    <x v="1"/>
    <n v="4"/>
  </r>
  <r>
    <n v="1745"/>
    <x v="95"/>
    <x v="0"/>
    <x v="2"/>
    <n v="1"/>
    <n v="100"/>
    <n v="100"/>
    <x v="0"/>
    <x v="2"/>
    <n v="3"/>
  </r>
  <r>
    <n v="1746"/>
    <x v="128"/>
    <x v="2"/>
    <x v="2"/>
    <n v="3"/>
    <n v="100"/>
    <n v="300"/>
    <x v="0"/>
    <x v="1"/>
    <n v="1"/>
  </r>
  <r>
    <n v="1747"/>
    <x v="151"/>
    <x v="0"/>
    <x v="2"/>
    <n v="2"/>
    <n v="100"/>
    <n v="200"/>
    <x v="2"/>
    <x v="1"/>
    <n v="3"/>
  </r>
  <r>
    <n v="1748"/>
    <x v="168"/>
    <x v="0"/>
    <x v="3"/>
    <n v="3"/>
    <n v="80"/>
    <n v="240"/>
    <x v="2"/>
    <x v="2"/>
    <n v="5"/>
  </r>
  <r>
    <n v="1749"/>
    <x v="134"/>
    <x v="0"/>
    <x v="0"/>
    <n v="2"/>
    <n v="40"/>
    <n v="80"/>
    <x v="1"/>
    <x v="0"/>
    <n v="4"/>
  </r>
  <r>
    <n v="1750"/>
    <x v="171"/>
    <x v="2"/>
    <x v="2"/>
    <n v="3"/>
    <n v="100"/>
    <n v="300"/>
    <x v="0"/>
    <x v="2"/>
    <n v="5"/>
  </r>
  <r>
    <n v="1751"/>
    <x v="83"/>
    <x v="1"/>
    <x v="1"/>
    <n v="2"/>
    <n v="60"/>
    <n v="120"/>
    <x v="2"/>
    <x v="1"/>
    <n v="1"/>
  </r>
  <r>
    <n v="1752"/>
    <x v="88"/>
    <x v="0"/>
    <x v="0"/>
    <n v="1"/>
    <n v="40"/>
    <n v="40"/>
    <x v="1"/>
    <x v="2"/>
    <n v="3"/>
  </r>
  <r>
    <n v="1753"/>
    <x v="9"/>
    <x v="2"/>
    <x v="1"/>
    <n v="3"/>
    <n v="60"/>
    <n v="180"/>
    <x v="1"/>
    <x v="2"/>
    <n v="4"/>
  </r>
  <r>
    <n v="1754"/>
    <x v="146"/>
    <x v="1"/>
    <x v="3"/>
    <n v="1"/>
    <n v="80"/>
    <n v="80"/>
    <x v="1"/>
    <x v="0"/>
    <n v="2"/>
  </r>
  <r>
    <n v="1755"/>
    <x v="32"/>
    <x v="0"/>
    <x v="2"/>
    <n v="3"/>
    <n v="100"/>
    <n v="300"/>
    <x v="2"/>
    <x v="0"/>
    <n v="2"/>
  </r>
  <r>
    <n v="1756"/>
    <x v="29"/>
    <x v="2"/>
    <x v="2"/>
    <n v="2"/>
    <n v="100"/>
    <n v="200"/>
    <x v="1"/>
    <x v="1"/>
    <n v="2"/>
  </r>
  <r>
    <n v="1757"/>
    <x v="168"/>
    <x v="1"/>
    <x v="1"/>
    <n v="2"/>
    <n v="60"/>
    <n v="120"/>
    <x v="2"/>
    <x v="1"/>
    <n v="2"/>
  </r>
  <r>
    <n v="1758"/>
    <x v="129"/>
    <x v="0"/>
    <x v="0"/>
    <n v="2"/>
    <n v="40"/>
    <n v="80"/>
    <x v="1"/>
    <x v="0"/>
    <n v="4"/>
  </r>
  <r>
    <n v="1759"/>
    <x v="165"/>
    <x v="1"/>
    <x v="1"/>
    <n v="3"/>
    <n v="60"/>
    <n v="180"/>
    <x v="1"/>
    <x v="1"/>
    <n v="2"/>
  </r>
  <r>
    <n v="1760"/>
    <x v="5"/>
    <x v="2"/>
    <x v="3"/>
    <n v="3"/>
    <n v="80"/>
    <n v="240"/>
    <x v="0"/>
    <x v="0"/>
    <n v="5"/>
  </r>
  <r>
    <n v="1761"/>
    <x v="78"/>
    <x v="1"/>
    <x v="3"/>
    <n v="1"/>
    <n v="80"/>
    <n v="80"/>
    <x v="0"/>
    <x v="1"/>
    <n v="1"/>
  </r>
  <r>
    <n v="1762"/>
    <x v="66"/>
    <x v="0"/>
    <x v="2"/>
    <n v="3"/>
    <n v="100"/>
    <n v="300"/>
    <x v="2"/>
    <x v="2"/>
    <n v="4"/>
  </r>
  <r>
    <n v="1763"/>
    <x v="18"/>
    <x v="1"/>
    <x v="3"/>
    <n v="3"/>
    <n v="80"/>
    <n v="240"/>
    <x v="1"/>
    <x v="2"/>
    <n v="1"/>
  </r>
  <r>
    <n v="1764"/>
    <x v="86"/>
    <x v="1"/>
    <x v="3"/>
    <n v="1"/>
    <n v="80"/>
    <n v="80"/>
    <x v="0"/>
    <x v="2"/>
    <n v="4"/>
  </r>
  <r>
    <n v="1765"/>
    <x v="90"/>
    <x v="2"/>
    <x v="0"/>
    <n v="1"/>
    <n v="40"/>
    <n v="40"/>
    <x v="2"/>
    <x v="1"/>
    <n v="4"/>
  </r>
  <r>
    <n v="1766"/>
    <x v="18"/>
    <x v="0"/>
    <x v="1"/>
    <n v="1"/>
    <n v="60"/>
    <n v="60"/>
    <x v="2"/>
    <x v="1"/>
    <n v="5"/>
  </r>
  <r>
    <n v="1767"/>
    <x v="123"/>
    <x v="0"/>
    <x v="1"/>
    <n v="1"/>
    <n v="60"/>
    <n v="60"/>
    <x v="0"/>
    <x v="1"/>
    <n v="1"/>
  </r>
  <r>
    <n v="1768"/>
    <x v="89"/>
    <x v="1"/>
    <x v="0"/>
    <n v="1"/>
    <n v="40"/>
    <n v="40"/>
    <x v="2"/>
    <x v="0"/>
    <n v="1"/>
  </r>
  <r>
    <n v="1769"/>
    <x v="131"/>
    <x v="1"/>
    <x v="3"/>
    <n v="2"/>
    <n v="80"/>
    <n v="160"/>
    <x v="1"/>
    <x v="0"/>
    <n v="2"/>
  </r>
  <r>
    <n v="1770"/>
    <x v="84"/>
    <x v="0"/>
    <x v="0"/>
    <n v="3"/>
    <n v="40"/>
    <n v="120"/>
    <x v="1"/>
    <x v="2"/>
    <n v="1"/>
  </r>
  <r>
    <n v="1771"/>
    <x v="148"/>
    <x v="2"/>
    <x v="0"/>
    <n v="2"/>
    <n v="40"/>
    <n v="80"/>
    <x v="2"/>
    <x v="0"/>
    <n v="3"/>
  </r>
  <r>
    <n v="1772"/>
    <x v="25"/>
    <x v="2"/>
    <x v="0"/>
    <n v="2"/>
    <n v="40"/>
    <n v="80"/>
    <x v="0"/>
    <x v="2"/>
    <n v="1"/>
  </r>
  <r>
    <n v="1773"/>
    <x v="126"/>
    <x v="0"/>
    <x v="3"/>
    <n v="2"/>
    <n v="80"/>
    <n v="160"/>
    <x v="1"/>
    <x v="0"/>
    <n v="4"/>
  </r>
  <r>
    <n v="1774"/>
    <x v="34"/>
    <x v="1"/>
    <x v="0"/>
    <n v="2"/>
    <n v="40"/>
    <n v="80"/>
    <x v="1"/>
    <x v="0"/>
    <n v="2"/>
  </r>
  <r>
    <n v="1775"/>
    <x v="86"/>
    <x v="0"/>
    <x v="3"/>
    <n v="2"/>
    <n v="80"/>
    <n v="160"/>
    <x v="0"/>
    <x v="0"/>
    <n v="3"/>
  </r>
  <r>
    <n v="1776"/>
    <x v="130"/>
    <x v="0"/>
    <x v="0"/>
    <n v="2"/>
    <n v="40"/>
    <n v="80"/>
    <x v="0"/>
    <x v="0"/>
    <n v="3"/>
  </r>
  <r>
    <n v="1777"/>
    <x v="83"/>
    <x v="2"/>
    <x v="1"/>
    <n v="1"/>
    <n v="60"/>
    <n v="60"/>
    <x v="0"/>
    <x v="0"/>
    <n v="1"/>
  </r>
  <r>
    <n v="1778"/>
    <x v="2"/>
    <x v="0"/>
    <x v="3"/>
    <n v="3"/>
    <n v="80"/>
    <n v="240"/>
    <x v="0"/>
    <x v="0"/>
    <n v="3"/>
  </r>
  <r>
    <n v="1779"/>
    <x v="81"/>
    <x v="1"/>
    <x v="3"/>
    <n v="1"/>
    <n v="80"/>
    <n v="80"/>
    <x v="1"/>
    <x v="2"/>
    <n v="2"/>
  </r>
  <r>
    <n v="1780"/>
    <x v="53"/>
    <x v="2"/>
    <x v="2"/>
    <n v="3"/>
    <n v="100"/>
    <n v="300"/>
    <x v="0"/>
    <x v="2"/>
    <n v="4"/>
  </r>
  <r>
    <n v="1781"/>
    <x v="172"/>
    <x v="2"/>
    <x v="0"/>
    <n v="2"/>
    <n v="40"/>
    <n v="80"/>
    <x v="2"/>
    <x v="2"/>
    <n v="5"/>
  </r>
  <r>
    <n v="1782"/>
    <x v="73"/>
    <x v="2"/>
    <x v="2"/>
    <n v="3"/>
    <n v="100"/>
    <n v="300"/>
    <x v="2"/>
    <x v="1"/>
    <n v="1"/>
  </r>
  <r>
    <n v="1783"/>
    <x v="115"/>
    <x v="1"/>
    <x v="1"/>
    <n v="1"/>
    <n v="60"/>
    <n v="60"/>
    <x v="0"/>
    <x v="1"/>
    <n v="1"/>
  </r>
  <r>
    <n v="1784"/>
    <x v="88"/>
    <x v="0"/>
    <x v="0"/>
    <n v="3"/>
    <n v="40"/>
    <n v="120"/>
    <x v="1"/>
    <x v="1"/>
    <n v="4"/>
  </r>
  <r>
    <n v="1785"/>
    <x v="2"/>
    <x v="0"/>
    <x v="2"/>
    <n v="2"/>
    <n v="100"/>
    <n v="200"/>
    <x v="2"/>
    <x v="0"/>
    <n v="5"/>
  </r>
  <r>
    <n v="1786"/>
    <x v="151"/>
    <x v="1"/>
    <x v="3"/>
    <n v="2"/>
    <n v="80"/>
    <n v="160"/>
    <x v="0"/>
    <x v="0"/>
    <n v="1"/>
  </r>
  <r>
    <n v="1787"/>
    <x v="158"/>
    <x v="1"/>
    <x v="3"/>
    <n v="2"/>
    <n v="80"/>
    <n v="160"/>
    <x v="2"/>
    <x v="1"/>
    <n v="3"/>
  </r>
  <r>
    <n v="1788"/>
    <x v="116"/>
    <x v="0"/>
    <x v="0"/>
    <n v="2"/>
    <n v="40"/>
    <n v="80"/>
    <x v="1"/>
    <x v="0"/>
    <n v="4"/>
  </r>
  <r>
    <n v="1789"/>
    <x v="99"/>
    <x v="0"/>
    <x v="3"/>
    <n v="2"/>
    <n v="80"/>
    <n v="160"/>
    <x v="1"/>
    <x v="2"/>
    <n v="5"/>
  </r>
  <r>
    <n v="1790"/>
    <x v="60"/>
    <x v="1"/>
    <x v="3"/>
    <n v="1"/>
    <n v="80"/>
    <n v="80"/>
    <x v="2"/>
    <x v="2"/>
    <n v="2"/>
  </r>
  <r>
    <n v="1791"/>
    <x v="107"/>
    <x v="2"/>
    <x v="3"/>
    <n v="2"/>
    <n v="80"/>
    <n v="160"/>
    <x v="1"/>
    <x v="1"/>
    <n v="2"/>
  </r>
  <r>
    <n v="1792"/>
    <x v="170"/>
    <x v="0"/>
    <x v="2"/>
    <n v="2"/>
    <n v="100"/>
    <n v="200"/>
    <x v="2"/>
    <x v="0"/>
    <n v="5"/>
  </r>
  <r>
    <n v="1793"/>
    <x v="11"/>
    <x v="0"/>
    <x v="1"/>
    <n v="1"/>
    <n v="60"/>
    <n v="60"/>
    <x v="0"/>
    <x v="1"/>
    <n v="3"/>
  </r>
  <r>
    <n v="1794"/>
    <x v="73"/>
    <x v="0"/>
    <x v="1"/>
    <n v="1"/>
    <n v="60"/>
    <n v="60"/>
    <x v="1"/>
    <x v="2"/>
    <n v="4"/>
  </r>
  <r>
    <n v="1795"/>
    <x v="15"/>
    <x v="1"/>
    <x v="3"/>
    <n v="1"/>
    <n v="80"/>
    <n v="80"/>
    <x v="1"/>
    <x v="2"/>
    <n v="1"/>
  </r>
  <r>
    <n v="1796"/>
    <x v="19"/>
    <x v="0"/>
    <x v="2"/>
    <n v="2"/>
    <n v="100"/>
    <n v="200"/>
    <x v="2"/>
    <x v="0"/>
    <n v="5"/>
  </r>
  <r>
    <n v="1797"/>
    <x v="123"/>
    <x v="2"/>
    <x v="3"/>
    <n v="2"/>
    <n v="80"/>
    <n v="160"/>
    <x v="0"/>
    <x v="2"/>
    <n v="3"/>
  </r>
  <r>
    <n v="1798"/>
    <x v="43"/>
    <x v="2"/>
    <x v="1"/>
    <n v="2"/>
    <n v="60"/>
    <n v="120"/>
    <x v="2"/>
    <x v="2"/>
    <n v="2"/>
  </r>
  <r>
    <n v="1799"/>
    <x v="54"/>
    <x v="2"/>
    <x v="0"/>
    <n v="1"/>
    <n v="40"/>
    <n v="40"/>
    <x v="2"/>
    <x v="0"/>
    <n v="2"/>
  </r>
  <r>
    <n v="1800"/>
    <x v="69"/>
    <x v="1"/>
    <x v="3"/>
    <n v="1"/>
    <n v="80"/>
    <n v="80"/>
    <x v="2"/>
    <x v="2"/>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E62EF6-56E3-41D7-A153-1010ACD79DC9}" name="PivotTable11" cacheId="5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A72:F80" firstHeaderRow="1" firstDataRow="2" firstDataCol="1"/>
  <pivotFields count="12">
    <pivotField showAll="0"/>
    <pivotField axis="axisRow" numFmtId="14" showAll="0">
      <items count="179">
        <item x="171"/>
        <item x="17"/>
        <item x="174"/>
        <item x="38"/>
        <item x="57"/>
        <item x="118"/>
        <item x="66"/>
        <item x="98"/>
        <item x="34"/>
        <item x="1"/>
        <item x="153"/>
        <item x="111"/>
        <item x="59"/>
        <item x="158"/>
        <item x="5"/>
        <item x="115"/>
        <item x="40"/>
        <item x="79"/>
        <item x="108"/>
        <item x="21"/>
        <item x="128"/>
        <item x="42"/>
        <item x="135"/>
        <item x="120"/>
        <item x="71"/>
        <item x="52"/>
        <item x="167"/>
        <item x="31"/>
        <item x="139"/>
        <item x="56"/>
        <item x="131"/>
        <item x="80"/>
        <item x="133"/>
        <item x="81"/>
        <item x="47"/>
        <item x="130"/>
        <item x="102"/>
        <item x="113"/>
        <item x="176"/>
        <item x="65"/>
        <item x="149"/>
        <item x="50"/>
        <item x="26"/>
        <item x="2"/>
        <item x="19"/>
        <item x="165"/>
        <item x="141"/>
        <item x="119"/>
        <item x="7"/>
        <item x="27"/>
        <item x="35"/>
        <item x="0"/>
        <item x="46"/>
        <item x="30"/>
        <item x="144"/>
        <item x="157"/>
        <item x="163"/>
        <item x="48"/>
        <item x="169"/>
        <item x="83"/>
        <item x="49"/>
        <item x="25"/>
        <item x="15"/>
        <item x="54"/>
        <item x="122"/>
        <item x="132"/>
        <item x="58"/>
        <item x="32"/>
        <item x="145"/>
        <item x="175"/>
        <item x="12"/>
        <item x="69"/>
        <item x="151"/>
        <item x="67"/>
        <item x="146"/>
        <item x="10"/>
        <item x="72"/>
        <item x="109"/>
        <item x="44"/>
        <item x="161"/>
        <item x="138"/>
        <item x="94"/>
        <item x="97"/>
        <item x="84"/>
        <item x="134"/>
        <item x="166"/>
        <item x="3"/>
        <item x="76"/>
        <item x="29"/>
        <item x="51"/>
        <item x="103"/>
        <item x="77"/>
        <item x="24"/>
        <item x="73"/>
        <item x="168"/>
        <item x="177"/>
        <item x="170"/>
        <item x="20"/>
        <item x="33"/>
        <item x="78"/>
        <item x="124"/>
        <item x="136"/>
        <item x="64"/>
        <item x="126"/>
        <item x="96"/>
        <item x="121"/>
        <item x="28"/>
        <item x="100"/>
        <item x="104"/>
        <item x="116"/>
        <item x="8"/>
        <item x="99"/>
        <item x="39"/>
        <item x="53"/>
        <item x="110"/>
        <item x="107"/>
        <item x="160"/>
        <item x="41"/>
        <item x="156"/>
        <item x="93"/>
        <item x="112"/>
        <item x="91"/>
        <item x="114"/>
        <item x="106"/>
        <item x="85"/>
        <item x="16"/>
        <item x="6"/>
        <item x="164"/>
        <item x="23"/>
        <item x="101"/>
        <item x="43"/>
        <item x="162"/>
        <item x="18"/>
        <item x="63"/>
        <item x="95"/>
        <item x="89"/>
        <item x="88"/>
        <item x="150"/>
        <item x="11"/>
        <item x="74"/>
        <item x="147"/>
        <item x="152"/>
        <item x="70"/>
        <item x="123"/>
        <item x="82"/>
        <item x="137"/>
        <item x="125"/>
        <item x="62"/>
        <item x="143"/>
        <item x="159"/>
        <item x="36"/>
        <item x="9"/>
        <item x="75"/>
        <item x="86"/>
        <item x="127"/>
        <item x="45"/>
        <item x="142"/>
        <item x="13"/>
        <item x="61"/>
        <item x="92"/>
        <item x="68"/>
        <item x="60"/>
        <item x="140"/>
        <item x="37"/>
        <item x="117"/>
        <item x="22"/>
        <item x="172"/>
        <item x="55"/>
        <item x="90"/>
        <item x="14"/>
        <item x="4"/>
        <item x="87"/>
        <item x="154"/>
        <item x="173"/>
        <item x="155"/>
        <item x="148"/>
        <item x="105"/>
        <item x="129"/>
        <item t="default"/>
      </items>
    </pivotField>
    <pivotField showAll="0">
      <items count="4">
        <item x="0"/>
        <item x="1"/>
        <item x="2"/>
        <item t="default"/>
      </items>
    </pivotField>
    <pivotField axis="axisCol" showAll="0">
      <items count="5">
        <item x="2"/>
        <item x="3"/>
        <item x="1"/>
        <item x="0"/>
        <item t="default"/>
      </items>
    </pivotField>
    <pivotField showAll="0"/>
    <pivotField showAll="0"/>
    <pivotField dataField="1" showAll="0"/>
    <pivotField showAll="0">
      <items count="4">
        <item x="1"/>
        <item x="2"/>
        <item x="0"/>
        <item t="default"/>
      </items>
    </pivotField>
    <pivotField showAll="0">
      <items count="4">
        <item x="0"/>
        <item x="1"/>
        <item x="2"/>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1"/>
  </rowFields>
  <rowItems count="7">
    <i>
      <x v="1"/>
    </i>
    <i>
      <x v="2"/>
    </i>
    <i>
      <x v="3"/>
    </i>
    <i>
      <x v="4"/>
    </i>
    <i>
      <x v="5"/>
    </i>
    <i>
      <x v="6"/>
    </i>
    <i t="grand">
      <x/>
    </i>
  </rowItems>
  <colFields count="1">
    <field x="3"/>
  </colFields>
  <colItems count="5">
    <i>
      <x/>
    </i>
    <i>
      <x v="1"/>
    </i>
    <i>
      <x v="2"/>
    </i>
    <i>
      <x v="3"/>
    </i>
    <i t="grand">
      <x/>
    </i>
  </colItems>
  <dataFields count="1">
    <dataField name="Sum of Total_Amount" fld="6" baseField="0" baseItem="0"/>
  </dataFields>
  <chartFormats count="10">
    <chartFormat chart="1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2">
          <reference field="4294967294" count="1" selected="0">
            <x v="0"/>
          </reference>
          <reference field="3" count="1" selected="0">
            <x v="1"/>
          </reference>
        </references>
      </pivotArea>
    </chartFormat>
    <chartFormat chart="13" format="2" series="1">
      <pivotArea type="data" outline="0" fieldPosition="0">
        <references count="2">
          <reference field="4294967294" count="1" selected="0">
            <x v="0"/>
          </reference>
          <reference field="3" count="1" selected="0">
            <x v="2"/>
          </reference>
        </references>
      </pivotArea>
    </chartFormat>
    <chartFormat chart="13" format="3" series="1">
      <pivotArea type="data" outline="0" fieldPosition="0">
        <references count="2">
          <reference field="4294967294" count="1" selected="0">
            <x v="0"/>
          </reference>
          <reference field="3" count="1" selected="0">
            <x v="3"/>
          </reference>
        </references>
      </pivotArea>
    </chartFormat>
    <chartFormat chart="13" format="4" series="1">
      <pivotArea type="data" outline="0" fieldPosition="0">
        <references count="2">
          <reference field="4294967294" count="1" selected="0">
            <x v="0"/>
          </reference>
          <reference field="3" count="1" selected="0">
            <x v="0"/>
          </reference>
        </references>
      </pivotArea>
    </chartFormat>
    <chartFormat chart="28" format="15" series="1">
      <pivotArea type="data" outline="0" fieldPosition="0">
        <references count="2">
          <reference field="4294967294" count="1" selected="0">
            <x v="0"/>
          </reference>
          <reference field="3" count="1" selected="0">
            <x v="0"/>
          </reference>
        </references>
      </pivotArea>
    </chartFormat>
    <chartFormat chart="28" format="16" series="1">
      <pivotArea type="data" outline="0" fieldPosition="0">
        <references count="2">
          <reference field="4294967294" count="1" selected="0">
            <x v="0"/>
          </reference>
          <reference field="3" count="1" selected="0">
            <x v="1"/>
          </reference>
        </references>
      </pivotArea>
    </chartFormat>
    <chartFormat chart="28" format="17" series="1">
      <pivotArea type="data" outline="0" fieldPosition="0">
        <references count="2">
          <reference field="4294967294" count="1" selected="0">
            <x v="0"/>
          </reference>
          <reference field="3" count="1" selected="0">
            <x v="2"/>
          </reference>
        </references>
      </pivotArea>
    </chartFormat>
    <chartFormat chart="28" format="18"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5A871D-45BA-4FC8-AF22-19F82235B0CE}" name="PivotTable1" cacheId="58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G101:G102" firstHeaderRow="1" firstDataRow="1" firstDataCol="0"/>
  <pivotFields count="12">
    <pivotField showAll="0"/>
    <pivotField numFmtId="14" showAll="0">
      <items count="179">
        <item x="171"/>
        <item x="17"/>
        <item x="174"/>
        <item x="38"/>
        <item x="57"/>
        <item x="118"/>
        <item x="66"/>
        <item x="98"/>
        <item x="34"/>
        <item x="1"/>
        <item x="153"/>
        <item x="111"/>
        <item x="59"/>
        <item x="158"/>
        <item x="5"/>
        <item x="115"/>
        <item x="40"/>
        <item x="79"/>
        <item x="108"/>
        <item x="21"/>
        <item x="128"/>
        <item x="42"/>
        <item x="135"/>
        <item x="120"/>
        <item x="71"/>
        <item x="52"/>
        <item x="167"/>
        <item x="31"/>
        <item x="139"/>
        <item x="56"/>
        <item x="131"/>
        <item x="80"/>
        <item x="133"/>
        <item x="81"/>
        <item x="47"/>
        <item x="130"/>
        <item x="102"/>
        <item x="113"/>
        <item x="176"/>
        <item x="65"/>
        <item x="149"/>
        <item x="50"/>
        <item x="26"/>
        <item x="2"/>
        <item x="19"/>
        <item x="165"/>
        <item x="141"/>
        <item x="119"/>
        <item x="7"/>
        <item x="27"/>
        <item x="35"/>
        <item x="0"/>
        <item x="46"/>
        <item x="30"/>
        <item x="144"/>
        <item x="157"/>
        <item x="163"/>
        <item x="48"/>
        <item x="169"/>
        <item x="83"/>
        <item x="49"/>
        <item x="25"/>
        <item x="15"/>
        <item x="54"/>
        <item x="122"/>
        <item x="132"/>
        <item x="58"/>
        <item x="32"/>
        <item x="145"/>
        <item x="175"/>
        <item x="12"/>
        <item x="69"/>
        <item x="151"/>
        <item x="67"/>
        <item x="146"/>
        <item x="10"/>
        <item x="72"/>
        <item x="109"/>
        <item x="44"/>
        <item x="161"/>
        <item x="138"/>
        <item x="94"/>
        <item x="97"/>
        <item x="84"/>
        <item x="134"/>
        <item x="166"/>
        <item x="3"/>
        <item x="76"/>
        <item x="29"/>
        <item x="51"/>
        <item x="103"/>
        <item x="77"/>
        <item x="24"/>
        <item x="73"/>
        <item x="168"/>
        <item x="177"/>
        <item x="170"/>
        <item x="20"/>
        <item x="33"/>
        <item x="78"/>
        <item x="124"/>
        <item x="136"/>
        <item x="64"/>
        <item x="126"/>
        <item x="96"/>
        <item x="121"/>
        <item x="28"/>
        <item x="100"/>
        <item x="104"/>
        <item x="116"/>
        <item x="8"/>
        <item x="99"/>
        <item x="39"/>
        <item x="53"/>
        <item x="110"/>
        <item x="107"/>
        <item x="160"/>
        <item x="41"/>
        <item x="156"/>
        <item x="93"/>
        <item x="112"/>
        <item x="91"/>
        <item x="114"/>
        <item x="106"/>
        <item x="85"/>
        <item x="16"/>
        <item x="6"/>
        <item x="164"/>
        <item x="23"/>
        <item x="101"/>
        <item x="43"/>
        <item x="162"/>
        <item x="18"/>
        <item x="63"/>
        <item x="95"/>
        <item x="89"/>
        <item x="88"/>
        <item x="150"/>
        <item x="11"/>
        <item x="74"/>
        <item x="147"/>
        <item x="152"/>
        <item x="70"/>
        <item x="123"/>
        <item x="82"/>
        <item x="137"/>
        <item x="125"/>
        <item x="62"/>
        <item x="143"/>
        <item x="159"/>
        <item x="36"/>
        <item x="9"/>
        <item x="75"/>
        <item x="86"/>
        <item x="127"/>
        <item x="45"/>
        <item x="142"/>
        <item x="13"/>
        <item x="61"/>
        <item x="92"/>
        <item x="68"/>
        <item x="60"/>
        <item x="140"/>
        <item x="37"/>
        <item x="117"/>
        <item x="22"/>
        <item x="172"/>
        <item x="55"/>
        <item x="90"/>
        <item x="14"/>
        <item x="4"/>
        <item x="87"/>
        <item x="154"/>
        <item x="173"/>
        <item x="155"/>
        <item x="148"/>
        <item x="105"/>
        <item x="129"/>
        <item t="default"/>
      </items>
    </pivotField>
    <pivotField showAll="0">
      <items count="4">
        <item x="0"/>
        <item x="1"/>
        <item x="2"/>
        <item t="default"/>
      </items>
    </pivotField>
    <pivotField showAll="0">
      <items count="5">
        <item x="2"/>
        <item x="3"/>
        <item x="1"/>
        <item x="0"/>
        <item t="default"/>
      </items>
    </pivotField>
    <pivotField dataField="1" showAll="0"/>
    <pivotField showAll="0"/>
    <pivotField showAll="0"/>
    <pivotField showAll="0">
      <items count="4">
        <item x="1"/>
        <item x="2"/>
        <item x="0"/>
        <item t="default"/>
      </items>
    </pivotField>
    <pivotField showAll="0">
      <items count="4">
        <item x="0"/>
        <item x="1"/>
        <item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C66D04-C4AD-4DD4-8ED2-F2A59DC8A393}" name="PivotTable14" cacheId="5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89:K95" firstHeaderRow="1" firstDataRow="2" firstDataCol="1"/>
  <pivotFields count="12">
    <pivotField showAll="0"/>
    <pivotField numFmtId="14" showAll="0">
      <items count="179">
        <item x="171"/>
        <item x="17"/>
        <item x="174"/>
        <item x="38"/>
        <item x="57"/>
        <item x="118"/>
        <item x="66"/>
        <item x="98"/>
        <item x="34"/>
        <item x="1"/>
        <item x="153"/>
        <item x="111"/>
        <item x="59"/>
        <item x="158"/>
        <item x="5"/>
        <item x="115"/>
        <item x="40"/>
        <item x="79"/>
        <item x="108"/>
        <item x="21"/>
        <item x="128"/>
        <item x="42"/>
        <item x="135"/>
        <item x="120"/>
        <item x="71"/>
        <item x="52"/>
        <item x="167"/>
        <item x="31"/>
        <item x="139"/>
        <item x="56"/>
        <item x="131"/>
        <item x="80"/>
        <item x="133"/>
        <item x="81"/>
        <item x="47"/>
        <item x="130"/>
        <item x="102"/>
        <item x="113"/>
        <item x="176"/>
        <item x="65"/>
        <item x="149"/>
        <item x="50"/>
        <item x="26"/>
        <item x="2"/>
        <item x="19"/>
        <item x="165"/>
        <item x="141"/>
        <item x="119"/>
        <item x="7"/>
        <item x="27"/>
        <item x="35"/>
        <item x="0"/>
        <item x="46"/>
        <item x="30"/>
        <item x="144"/>
        <item x="157"/>
        <item x="163"/>
        <item x="48"/>
        <item x="169"/>
        <item x="83"/>
        <item x="49"/>
        <item x="25"/>
        <item x="15"/>
        <item x="54"/>
        <item x="122"/>
        <item x="132"/>
        <item x="58"/>
        <item x="32"/>
        <item x="145"/>
        <item x="175"/>
        <item x="12"/>
        <item x="69"/>
        <item x="151"/>
        <item x="67"/>
        <item x="146"/>
        <item x="10"/>
        <item x="72"/>
        <item x="109"/>
        <item x="44"/>
        <item x="161"/>
        <item x="138"/>
        <item x="94"/>
        <item x="97"/>
        <item x="84"/>
        <item x="134"/>
        <item x="166"/>
        <item x="3"/>
        <item x="76"/>
        <item x="29"/>
        <item x="51"/>
        <item x="103"/>
        <item x="77"/>
        <item x="24"/>
        <item x="73"/>
        <item x="168"/>
        <item x="177"/>
        <item x="170"/>
        <item x="20"/>
        <item x="33"/>
        <item x="78"/>
        <item x="124"/>
        <item x="136"/>
        <item x="64"/>
        <item x="126"/>
        <item x="96"/>
        <item x="121"/>
        <item x="28"/>
        <item x="100"/>
        <item x="104"/>
        <item x="116"/>
        <item x="8"/>
        <item x="99"/>
        <item x="39"/>
        <item x="53"/>
        <item x="110"/>
        <item x="107"/>
        <item x="160"/>
        <item x="41"/>
        <item x="156"/>
        <item x="93"/>
        <item x="112"/>
        <item x="91"/>
        <item x="114"/>
        <item x="106"/>
        <item x="85"/>
        <item x="16"/>
        <item x="6"/>
        <item x="164"/>
        <item x="23"/>
        <item x="101"/>
        <item x="43"/>
        <item x="162"/>
        <item x="18"/>
        <item x="63"/>
        <item x="95"/>
        <item x="89"/>
        <item x="88"/>
        <item x="150"/>
        <item x="11"/>
        <item x="74"/>
        <item x="147"/>
        <item x="152"/>
        <item x="70"/>
        <item x="123"/>
        <item x="82"/>
        <item x="137"/>
        <item x="125"/>
        <item x="62"/>
        <item x="143"/>
        <item x="159"/>
        <item x="36"/>
        <item x="9"/>
        <item x="75"/>
        <item x="86"/>
        <item x="127"/>
        <item x="45"/>
        <item x="142"/>
        <item x="13"/>
        <item x="61"/>
        <item x="92"/>
        <item x="68"/>
        <item x="60"/>
        <item x="140"/>
        <item x="37"/>
        <item x="117"/>
        <item x="22"/>
        <item x="172"/>
        <item x="55"/>
        <item x="90"/>
        <item x="14"/>
        <item x="4"/>
        <item x="87"/>
        <item x="154"/>
        <item x="173"/>
        <item x="155"/>
        <item x="148"/>
        <item x="105"/>
        <item x="129"/>
        <item t="default"/>
      </items>
    </pivotField>
    <pivotField axis="axisCol" showAll="0">
      <items count="4">
        <item x="0"/>
        <item x="1"/>
        <item x="2"/>
        <item t="default"/>
      </items>
    </pivotField>
    <pivotField axis="axisRow" showAll="0">
      <items count="5">
        <item x="2"/>
        <item x="3"/>
        <item x="1"/>
        <item x="0"/>
        <item t="default"/>
      </items>
    </pivotField>
    <pivotField showAll="0"/>
    <pivotField showAll="0"/>
    <pivotField showAll="0"/>
    <pivotField showAll="0">
      <items count="4">
        <item x="1"/>
        <item x="2"/>
        <item x="0"/>
        <item t="default"/>
      </items>
    </pivotField>
    <pivotField showAll="0">
      <items count="4">
        <item x="0"/>
        <item x="1"/>
        <item x="2"/>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Fields count="1">
    <field x="2"/>
  </colFields>
  <colItems count="4">
    <i>
      <x/>
    </i>
    <i>
      <x v="1"/>
    </i>
    <i>
      <x v="2"/>
    </i>
    <i t="grand">
      <x/>
    </i>
  </colItems>
  <dataFields count="1">
    <dataField name="Average of Customer_Rating" fld="9" subtotal="average" baseField="3" baseItem="0"/>
  </dataField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9F45BF-DB42-4858-96B4-3EB1EE3DB23B}" name="PivotTable13" cacheId="5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01:C106" firstHeaderRow="0" firstDataRow="1" firstDataCol="1"/>
  <pivotFields count="12">
    <pivotField showAll="0"/>
    <pivotField numFmtId="14" showAll="0">
      <items count="179">
        <item x="171"/>
        <item x="17"/>
        <item x="174"/>
        <item x="38"/>
        <item x="57"/>
        <item x="118"/>
        <item x="66"/>
        <item x="98"/>
        <item x="34"/>
        <item x="1"/>
        <item x="153"/>
        <item x="111"/>
        <item x="59"/>
        <item x="158"/>
        <item x="5"/>
        <item x="115"/>
        <item x="40"/>
        <item x="79"/>
        <item x="108"/>
        <item x="21"/>
        <item x="128"/>
        <item x="42"/>
        <item x="135"/>
        <item x="120"/>
        <item x="71"/>
        <item x="52"/>
        <item x="167"/>
        <item x="31"/>
        <item x="139"/>
        <item x="56"/>
        <item x="131"/>
        <item x="80"/>
        <item x="133"/>
        <item x="81"/>
        <item x="47"/>
        <item x="130"/>
        <item x="102"/>
        <item x="113"/>
        <item x="176"/>
        <item x="65"/>
        <item x="149"/>
        <item x="50"/>
        <item x="26"/>
        <item x="2"/>
        <item x="19"/>
        <item x="165"/>
        <item x="141"/>
        <item x="119"/>
        <item x="7"/>
        <item x="27"/>
        <item x="35"/>
        <item x="0"/>
        <item x="46"/>
        <item x="30"/>
        <item x="144"/>
        <item x="157"/>
        <item x="163"/>
        <item x="48"/>
        <item x="169"/>
        <item x="83"/>
        <item x="49"/>
        <item x="25"/>
        <item x="15"/>
        <item x="54"/>
        <item x="122"/>
        <item x="132"/>
        <item x="58"/>
        <item x="32"/>
        <item x="145"/>
        <item x="175"/>
        <item x="12"/>
        <item x="69"/>
        <item x="151"/>
        <item x="67"/>
        <item x="146"/>
        <item x="10"/>
        <item x="72"/>
        <item x="109"/>
        <item x="44"/>
        <item x="161"/>
        <item x="138"/>
        <item x="94"/>
        <item x="97"/>
        <item x="84"/>
        <item x="134"/>
        <item x="166"/>
        <item x="3"/>
        <item x="76"/>
        <item x="29"/>
        <item x="51"/>
        <item x="103"/>
        <item x="77"/>
        <item x="24"/>
        <item x="73"/>
        <item x="168"/>
        <item x="177"/>
        <item x="170"/>
        <item x="20"/>
        <item x="33"/>
        <item x="78"/>
        <item x="124"/>
        <item x="136"/>
        <item x="64"/>
        <item x="126"/>
        <item x="96"/>
        <item x="121"/>
        <item x="28"/>
        <item x="100"/>
        <item x="104"/>
        <item x="116"/>
        <item x="8"/>
        <item x="99"/>
        <item x="39"/>
        <item x="53"/>
        <item x="110"/>
        <item x="107"/>
        <item x="160"/>
        <item x="41"/>
        <item x="156"/>
        <item x="93"/>
        <item x="112"/>
        <item x="91"/>
        <item x="114"/>
        <item x="106"/>
        <item x="85"/>
        <item x="16"/>
        <item x="6"/>
        <item x="164"/>
        <item x="23"/>
        <item x="101"/>
        <item x="43"/>
        <item x="162"/>
        <item x="18"/>
        <item x="63"/>
        <item x="95"/>
        <item x="89"/>
        <item x="88"/>
        <item x="150"/>
        <item x="11"/>
        <item x="74"/>
        <item x="147"/>
        <item x="152"/>
        <item x="70"/>
        <item x="123"/>
        <item x="82"/>
        <item x="137"/>
        <item x="125"/>
        <item x="62"/>
        <item x="143"/>
        <item x="159"/>
        <item x="36"/>
        <item x="9"/>
        <item x="75"/>
        <item x="86"/>
        <item x="127"/>
        <item x="45"/>
        <item x="142"/>
        <item x="13"/>
        <item x="61"/>
        <item x="92"/>
        <item x="68"/>
        <item x="60"/>
        <item x="140"/>
        <item x="37"/>
        <item x="117"/>
        <item x="22"/>
        <item x="172"/>
        <item x="55"/>
        <item x="90"/>
        <item x="14"/>
        <item x="4"/>
        <item x="87"/>
        <item x="154"/>
        <item x="173"/>
        <item x="155"/>
        <item x="148"/>
        <item x="105"/>
        <item x="129"/>
        <item t="default"/>
      </items>
    </pivotField>
    <pivotField showAll="0">
      <items count="4">
        <item x="0"/>
        <item x="1"/>
        <item x="2"/>
        <item t="default"/>
      </items>
    </pivotField>
    <pivotField axis="axisRow" showAll="0">
      <items count="5">
        <item x="2"/>
        <item x="3"/>
        <item x="1"/>
        <item x="0"/>
        <item t="default"/>
      </items>
    </pivotField>
    <pivotField showAll="0"/>
    <pivotField showAll="0"/>
    <pivotField dataField="1" showAll="0"/>
    <pivotField showAll="0">
      <items count="4">
        <item x="1"/>
        <item x="2"/>
        <item x="0"/>
        <item t="default"/>
      </items>
    </pivotField>
    <pivotField showAll="0">
      <items count="4">
        <item x="0"/>
        <item x="1"/>
        <item x="2"/>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Fields count="1">
    <field x="-2"/>
  </colFields>
  <colItems count="2">
    <i>
      <x/>
    </i>
    <i i="1">
      <x v="1"/>
    </i>
  </colItems>
  <dataFields count="2">
    <dataField name="Count of Customer_Rating" fld="9" subtotal="count" baseField="3" baseItem="0"/>
    <dataField name="Sum of Total_Amount" fld="6" baseField="0" baseItem="0"/>
  </dataField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E31783-6736-476D-9E2B-DDA834261CE9}" name="PivotTable8" cacheId="5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1:E27" firstHeaderRow="1" firstDataRow="2" firstDataCol="1"/>
  <pivotFields count="12">
    <pivotField showAll="0"/>
    <pivotField numFmtId="14" showAll="0">
      <items count="179">
        <item x="171"/>
        <item x="17"/>
        <item x="174"/>
        <item x="38"/>
        <item x="57"/>
        <item x="118"/>
        <item x="66"/>
        <item x="98"/>
        <item x="34"/>
        <item x="1"/>
        <item x="153"/>
        <item x="111"/>
        <item x="59"/>
        <item x="158"/>
        <item x="5"/>
        <item x="115"/>
        <item x="40"/>
        <item x="79"/>
        <item x="108"/>
        <item x="21"/>
        <item x="128"/>
        <item x="42"/>
        <item x="135"/>
        <item x="120"/>
        <item x="71"/>
        <item x="52"/>
        <item x="167"/>
        <item x="31"/>
        <item x="139"/>
        <item x="56"/>
        <item x="131"/>
        <item x="80"/>
        <item x="133"/>
        <item x="81"/>
        <item x="47"/>
        <item x="130"/>
        <item x="102"/>
        <item x="113"/>
        <item x="176"/>
        <item x="65"/>
        <item x="149"/>
        <item x="50"/>
        <item x="26"/>
        <item x="2"/>
        <item x="19"/>
        <item x="165"/>
        <item x="141"/>
        <item x="119"/>
        <item x="7"/>
        <item x="27"/>
        <item x="35"/>
        <item x="0"/>
        <item x="46"/>
        <item x="30"/>
        <item x="144"/>
        <item x="157"/>
        <item x="163"/>
        <item x="48"/>
        <item x="169"/>
        <item x="83"/>
        <item x="49"/>
        <item x="25"/>
        <item x="15"/>
        <item x="54"/>
        <item x="122"/>
        <item x="132"/>
        <item x="58"/>
        <item x="32"/>
        <item x="145"/>
        <item x="175"/>
        <item x="12"/>
        <item x="69"/>
        <item x="151"/>
        <item x="67"/>
        <item x="146"/>
        <item x="10"/>
        <item x="72"/>
        <item x="109"/>
        <item x="44"/>
        <item x="161"/>
        <item x="138"/>
        <item x="94"/>
        <item x="97"/>
        <item x="84"/>
        <item x="134"/>
        <item x="166"/>
        <item x="3"/>
        <item x="76"/>
        <item x="29"/>
        <item x="51"/>
        <item x="103"/>
        <item x="77"/>
        <item x="24"/>
        <item x="73"/>
        <item x="168"/>
        <item x="177"/>
        <item x="170"/>
        <item x="20"/>
        <item x="33"/>
        <item x="78"/>
        <item x="124"/>
        <item x="136"/>
        <item x="64"/>
        <item x="126"/>
        <item x="96"/>
        <item x="121"/>
        <item x="28"/>
        <item x="100"/>
        <item x="104"/>
        <item x="116"/>
        <item x="8"/>
        <item x="99"/>
        <item x="39"/>
        <item x="53"/>
        <item x="110"/>
        <item x="107"/>
        <item x="160"/>
        <item x="41"/>
        <item x="156"/>
        <item x="93"/>
        <item x="112"/>
        <item x="91"/>
        <item x="114"/>
        <item x="106"/>
        <item x="85"/>
        <item x="16"/>
        <item x="6"/>
        <item x="164"/>
        <item x="23"/>
        <item x="101"/>
        <item x="43"/>
        <item x="162"/>
        <item x="18"/>
        <item x="63"/>
        <item x="95"/>
        <item x="89"/>
        <item x="88"/>
        <item x="150"/>
        <item x="11"/>
        <item x="74"/>
        <item x="147"/>
        <item x="152"/>
        <item x="70"/>
        <item x="123"/>
        <item x="82"/>
        <item x="137"/>
        <item x="125"/>
        <item x="62"/>
        <item x="143"/>
        <item x="159"/>
        <item x="36"/>
        <item x="9"/>
        <item x="75"/>
        <item x="86"/>
        <item x="127"/>
        <item x="45"/>
        <item x="142"/>
        <item x="13"/>
        <item x="61"/>
        <item x="92"/>
        <item x="68"/>
        <item x="60"/>
        <item x="140"/>
        <item x="37"/>
        <item x="117"/>
        <item x="22"/>
        <item x="172"/>
        <item x="55"/>
        <item x="90"/>
        <item x="14"/>
        <item x="4"/>
        <item x="87"/>
        <item x="154"/>
        <item x="173"/>
        <item x="155"/>
        <item x="148"/>
        <item x="105"/>
        <item x="129"/>
        <item t="default"/>
      </items>
    </pivotField>
    <pivotField showAll="0">
      <items count="4">
        <item x="0"/>
        <item x="1"/>
        <item x="2"/>
        <item t="default"/>
      </items>
    </pivotField>
    <pivotField axis="axisRow" showAll="0">
      <items count="5">
        <item x="2"/>
        <item x="3"/>
        <item x="1"/>
        <item x="0"/>
        <item t="default"/>
      </items>
    </pivotField>
    <pivotField showAll="0"/>
    <pivotField showAll="0"/>
    <pivotField dataField="1" showAll="0"/>
    <pivotField axis="axisCol" showAll="0">
      <items count="4">
        <item x="1"/>
        <item x="2"/>
        <item x="0"/>
        <item t="default"/>
      </items>
    </pivotField>
    <pivotField showAll="0">
      <items count="4">
        <item x="0"/>
        <item x="1"/>
        <item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Fields count="1">
    <field x="7"/>
  </colFields>
  <colItems count="4">
    <i>
      <x/>
    </i>
    <i>
      <x v="1"/>
    </i>
    <i>
      <x v="2"/>
    </i>
    <i t="grand">
      <x/>
    </i>
  </colItems>
  <dataFields count="1">
    <dataField name="Sum of Total_Amount" fld="6" baseField="3" baseItem="0"/>
  </dataFields>
  <chartFormats count="15">
    <chartFormat chart="4" format="0" series="1">
      <pivotArea type="data" outline="0" fieldPosition="0">
        <references count="2">
          <reference field="4294967294" count="1" selected="0">
            <x v="0"/>
          </reference>
          <reference field="7" count="1" selected="0">
            <x v="0"/>
          </reference>
        </references>
      </pivotArea>
    </chartFormat>
    <chartFormat chart="4" format="1" series="1">
      <pivotArea type="data" outline="0" fieldPosition="0">
        <references count="2">
          <reference field="4294967294" count="1" selected="0">
            <x v="0"/>
          </reference>
          <reference field="7" count="1" selected="0">
            <x v="1"/>
          </reference>
        </references>
      </pivotArea>
    </chartFormat>
    <chartFormat chart="4" format="2" series="1">
      <pivotArea type="data" outline="0" fieldPosition="0">
        <references count="2">
          <reference field="4294967294" count="1" selected="0">
            <x v="0"/>
          </reference>
          <reference field="7" count="1" selected="0">
            <x v="2"/>
          </reference>
        </references>
      </pivotArea>
    </chartFormat>
    <chartFormat chart="4" format="3">
      <pivotArea type="data" outline="0" fieldPosition="0">
        <references count="3">
          <reference field="4294967294" count="1" selected="0">
            <x v="0"/>
          </reference>
          <reference field="3" count="1" selected="0">
            <x v="0"/>
          </reference>
          <reference field="7" count="1" selected="0">
            <x v="0"/>
          </reference>
        </references>
      </pivotArea>
    </chartFormat>
    <chartFormat chart="4" format="4">
      <pivotArea type="data" outline="0" fieldPosition="0">
        <references count="3">
          <reference field="4294967294" count="1" selected="0">
            <x v="0"/>
          </reference>
          <reference field="3" count="1" selected="0">
            <x v="1"/>
          </reference>
          <reference field="7" count="1" selected="0">
            <x v="0"/>
          </reference>
        </references>
      </pivotArea>
    </chartFormat>
    <chartFormat chart="4" format="5">
      <pivotArea type="data" outline="0" fieldPosition="0">
        <references count="3">
          <reference field="4294967294" count="1" selected="0">
            <x v="0"/>
          </reference>
          <reference field="3" count="1" selected="0">
            <x v="2"/>
          </reference>
          <reference field="7" count="1" selected="0">
            <x v="0"/>
          </reference>
        </references>
      </pivotArea>
    </chartFormat>
    <chartFormat chart="4" format="6">
      <pivotArea type="data" outline="0" fieldPosition="0">
        <references count="3">
          <reference field="4294967294" count="1" selected="0">
            <x v="0"/>
          </reference>
          <reference field="3" count="1" selected="0">
            <x v="3"/>
          </reference>
          <reference field="7" count="1" selected="0">
            <x v="0"/>
          </reference>
        </references>
      </pivotArea>
    </chartFormat>
    <chartFormat chart="4" format="7">
      <pivotArea type="data" outline="0" fieldPosition="0">
        <references count="3">
          <reference field="4294967294" count="1" selected="0">
            <x v="0"/>
          </reference>
          <reference field="3" count="1" selected="0">
            <x v="0"/>
          </reference>
          <reference field="7" count="1" selected="0">
            <x v="1"/>
          </reference>
        </references>
      </pivotArea>
    </chartFormat>
    <chartFormat chart="4" format="8">
      <pivotArea type="data" outline="0" fieldPosition="0">
        <references count="3">
          <reference field="4294967294" count="1" selected="0">
            <x v="0"/>
          </reference>
          <reference field="3" count="1" selected="0">
            <x v="1"/>
          </reference>
          <reference field="7" count="1" selected="0">
            <x v="1"/>
          </reference>
        </references>
      </pivotArea>
    </chartFormat>
    <chartFormat chart="4" format="9">
      <pivotArea type="data" outline="0" fieldPosition="0">
        <references count="3">
          <reference field="4294967294" count="1" selected="0">
            <x v="0"/>
          </reference>
          <reference field="3" count="1" selected="0">
            <x v="2"/>
          </reference>
          <reference field="7" count="1" selected="0">
            <x v="1"/>
          </reference>
        </references>
      </pivotArea>
    </chartFormat>
    <chartFormat chart="4" format="10">
      <pivotArea type="data" outline="0" fieldPosition="0">
        <references count="3">
          <reference field="4294967294" count="1" selected="0">
            <x v="0"/>
          </reference>
          <reference field="3" count="1" selected="0">
            <x v="3"/>
          </reference>
          <reference field="7" count="1" selected="0">
            <x v="1"/>
          </reference>
        </references>
      </pivotArea>
    </chartFormat>
    <chartFormat chart="4" format="11">
      <pivotArea type="data" outline="0" fieldPosition="0">
        <references count="3">
          <reference field="4294967294" count="1" selected="0">
            <x v="0"/>
          </reference>
          <reference field="3" count="1" selected="0">
            <x v="0"/>
          </reference>
          <reference field="7" count="1" selected="0">
            <x v="2"/>
          </reference>
        </references>
      </pivotArea>
    </chartFormat>
    <chartFormat chart="4" format="12">
      <pivotArea type="data" outline="0" fieldPosition="0">
        <references count="3">
          <reference field="4294967294" count="1" selected="0">
            <x v="0"/>
          </reference>
          <reference field="3" count="1" selected="0">
            <x v="1"/>
          </reference>
          <reference field="7" count="1" selected="0">
            <x v="2"/>
          </reference>
        </references>
      </pivotArea>
    </chartFormat>
    <chartFormat chart="4" format="13">
      <pivotArea type="data" outline="0" fieldPosition="0">
        <references count="3">
          <reference field="4294967294" count="1" selected="0">
            <x v="0"/>
          </reference>
          <reference field="3" count="1" selected="0">
            <x v="2"/>
          </reference>
          <reference field="7" count="1" selected="0">
            <x v="2"/>
          </reference>
        </references>
      </pivotArea>
    </chartFormat>
    <chartFormat chart="4" format="14">
      <pivotArea type="data" outline="0" fieldPosition="0">
        <references count="3">
          <reference field="4294967294" count="1" selected="0">
            <x v="0"/>
          </reference>
          <reference field="3" count="1" selected="0">
            <x v="3"/>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32EF47-768A-40D2-96F6-70722AEB0AFD}" name="PivotTable10" cacheId="5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55:B60" firstHeaderRow="1" firstDataRow="1" firstDataCol="1"/>
  <pivotFields count="12">
    <pivotField showAll="0"/>
    <pivotField numFmtId="14" showAll="0">
      <items count="179">
        <item x="171"/>
        <item x="17"/>
        <item x="174"/>
        <item x="38"/>
        <item x="57"/>
        <item x="118"/>
        <item x="66"/>
        <item x="98"/>
        <item x="34"/>
        <item x="1"/>
        <item x="153"/>
        <item x="111"/>
        <item x="59"/>
        <item x="158"/>
        <item x="5"/>
        <item x="115"/>
        <item x="40"/>
        <item x="79"/>
        <item x="108"/>
        <item x="21"/>
        <item x="128"/>
        <item x="42"/>
        <item x="135"/>
        <item x="120"/>
        <item x="71"/>
        <item x="52"/>
        <item x="167"/>
        <item x="31"/>
        <item x="139"/>
        <item x="56"/>
        <item x="131"/>
        <item x="80"/>
        <item x="133"/>
        <item x="81"/>
        <item x="47"/>
        <item x="130"/>
        <item x="102"/>
        <item x="113"/>
        <item x="176"/>
        <item x="65"/>
        <item x="149"/>
        <item x="50"/>
        <item x="26"/>
        <item x="2"/>
        <item x="19"/>
        <item x="165"/>
        <item x="141"/>
        <item x="119"/>
        <item x="7"/>
        <item x="27"/>
        <item x="35"/>
        <item x="0"/>
        <item x="46"/>
        <item x="30"/>
        <item x="144"/>
        <item x="157"/>
        <item x="163"/>
        <item x="48"/>
        <item x="169"/>
        <item x="83"/>
        <item x="49"/>
        <item x="25"/>
        <item x="15"/>
        <item x="54"/>
        <item x="122"/>
        <item x="132"/>
        <item x="58"/>
        <item x="32"/>
        <item x="145"/>
        <item x="175"/>
        <item x="12"/>
        <item x="69"/>
        <item x="151"/>
        <item x="67"/>
        <item x="146"/>
        <item x="10"/>
        <item x="72"/>
        <item x="109"/>
        <item x="44"/>
        <item x="161"/>
        <item x="138"/>
        <item x="94"/>
        <item x="97"/>
        <item x="84"/>
        <item x="134"/>
        <item x="166"/>
        <item x="3"/>
        <item x="76"/>
        <item x="29"/>
        <item x="51"/>
        <item x="103"/>
        <item x="77"/>
        <item x="24"/>
        <item x="73"/>
        <item x="168"/>
        <item x="177"/>
        <item x="170"/>
        <item x="20"/>
        <item x="33"/>
        <item x="78"/>
        <item x="124"/>
        <item x="136"/>
        <item x="64"/>
        <item x="126"/>
        <item x="96"/>
        <item x="121"/>
        <item x="28"/>
        <item x="100"/>
        <item x="104"/>
        <item x="116"/>
        <item x="8"/>
        <item x="99"/>
        <item x="39"/>
        <item x="53"/>
        <item x="110"/>
        <item x="107"/>
        <item x="160"/>
        <item x="41"/>
        <item x="156"/>
        <item x="93"/>
        <item x="112"/>
        <item x="91"/>
        <item x="114"/>
        <item x="106"/>
        <item x="85"/>
        <item x="16"/>
        <item x="6"/>
        <item x="164"/>
        <item x="23"/>
        <item x="101"/>
        <item x="43"/>
        <item x="162"/>
        <item x="18"/>
        <item x="63"/>
        <item x="95"/>
        <item x="89"/>
        <item x="88"/>
        <item x="150"/>
        <item x="11"/>
        <item x="74"/>
        <item x="147"/>
        <item x="152"/>
        <item x="70"/>
        <item x="123"/>
        <item x="82"/>
        <item x="137"/>
        <item x="125"/>
        <item x="62"/>
        <item x="143"/>
        <item x="159"/>
        <item x="36"/>
        <item x="9"/>
        <item x="75"/>
        <item x="86"/>
        <item x="127"/>
        <item x="45"/>
        <item x="142"/>
        <item x="13"/>
        <item x="61"/>
        <item x="92"/>
        <item x="68"/>
        <item x="60"/>
        <item x="140"/>
        <item x="37"/>
        <item x="117"/>
        <item x="22"/>
        <item x="172"/>
        <item x="55"/>
        <item x="90"/>
        <item x="14"/>
        <item x="4"/>
        <item x="87"/>
        <item x="154"/>
        <item x="173"/>
        <item x="155"/>
        <item x="148"/>
        <item x="105"/>
        <item x="129"/>
        <item t="default"/>
      </items>
    </pivotField>
    <pivotField showAll="0">
      <items count="4">
        <item x="0"/>
        <item x="1"/>
        <item x="2"/>
        <item t="default"/>
      </items>
    </pivotField>
    <pivotField axis="axisRow" showAll="0">
      <items count="5">
        <item x="2"/>
        <item x="3"/>
        <item x="1"/>
        <item x="0"/>
        <item t="default"/>
      </items>
    </pivotField>
    <pivotField showAll="0"/>
    <pivotField showAll="0"/>
    <pivotField dataField="1" showAll="0"/>
    <pivotField showAll="0">
      <items count="4">
        <item x="1"/>
        <item x="2"/>
        <item x="0"/>
        <item t="default"/>
      </items>
    </pivotField>
    <pivotField showAll="0">
      <items count="4">
        <item x="0"/>
        <item x="1"/>
        <item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_Amount" fld="6" baseField="0" baseItem="0"/>
  </dataFields>
  <chartFormats count="10">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3" count="1" selected="0">
            <x v="0"/>
          </reference>
        </references>
      </pivotArea>
    </chartFormat>
    <chartFormat chart="10" format="2">
      <pivotArea type="data" outline="0" fieldPosition="0">
        <references count="2">
          <reference field="4294967294" count="1" selected="0">
            <x v="0"/>
          </reference>
          <reference field="3" count="1" selected="0">
            <x v="1"/>
          </reference>
        </references>
      </pivotArea>
    </chartFormat>
    <chartFormat chart="10" format="3">
      <pivotArea type="data" outline="0" fieldPosition="0">
        <references count="2">
          <reference field="4294967294" count="1" selected="0">
            <x v="0"/>
          </reference>
          <reference field="3" count="1" selected="0">
            <x v="2"/>
          </reference>
        </references>
      </pivotArea>
    </chartFormat>
    <chartFormat chart="10" format="4">
      <pivotArea type="data" outline="0" fieldPosition="0">
        <references count="2">
          <reference field="4294967294" count="1" selected="0">
            <x v="0"/>
          </reference>
          <reference field="3" count="1" selected="0">
            <x v="3"/>
          </reference>
        </references>
      </pivotArea>
    </chartFormat>
    <chartFormat chart="34" format="15" series="1">
      <pivotArea type="data" outline="0" fieldPosition="0">
        <references count="1">
          <reference field="4294967294" count="1" selected="0">
            <x v="0"/>
          </reference>
        </references>
      </pivotArea>
    </chartFormat>
    <chartFormat chart="34" format="16">
      <pivotArea type="data" outline="0" fieldPosition="0">
        <references count="2">
          <reference field="4294967294" count="1" selected="0">
            <x v="0"/>
          </reference>
          <reference field="3" count="1" selected="0">
            <x v="0"/>
          </reference>
        </references>
      </pivotArea>
    </chartFormat>
    <chartFormat chart="34" format="17">
      <pivotArea type="data" outline="0" fieldPosition="0">
        <references count="2">
          <reference field="4294967294" count="1" selected="0">
            <x v="0"/>
          </reference>
          <reference field="3" count="1" selected="0">
            <x v="1"/>
          </reference>
        </references>
      </pivotArea>
    </chartFormat>
    <chartFormat chart="34" format="18">
      <pivotArea type="data" outline="0" fieldPosition="0">
        <references count="2">
          <reference field="4294967294" count="1" selected="0">
            <x v="0"/>
          </reference>
          <reference field="3" count="1" selected="0">
            <x v="2"/>
          </reference>
        </references>
      </pivotArea>
    </chartFormat>
    <chartFormat chart="34" format="19">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4E7B75-B4C8-45B8-A034-C68167E4E3E6}" name="PivotTable12" cacheId="58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A89:B94" firstHeaderRow="1" firstDataRow="1" firstDataCol="1"/>
  <pivotFields count="12">
    <pivotField showAll="0"/>
    <pivotField numFmtId="14" showAll="0">
      <items count="179">
        <item x="171"/>
        <item x="17"/>
        <item x="174"/>
        <item x="38"/>
        <item x="57"/>
        <item x="118"/>
        <item x="66"/>
        <item x="98"/>
        <item x="34"/>
        <item x="1"/>
        <item x="153"/>
        <item x="111"/>
        <item x="59"/>
        <item x="158"/>
        <item x="5"/>
        <item x="115"/>
        <item x="40"/>
        <item x="79"/>
        <item x="108"/>
        <item x="21"/>
        <item x="128"/>
        <item x="42"/>
        <item x="135"/>
        <item x="120"/>
        <item x="71"/>
        <item x="52"/>
        <item x="167"/>
        <item x="31"/>
        <item x="139"/>
        <item x="56"/>
        <item x="131"/>
        <item x="80"/>
        <item x="133"/>
        <item x="81"/>
        <item x="47"/>
        <item x="130"/>
        <item x="102"/>
        <item x="113"/>
        <item x="176"/>
        <item x="65"/>
        <item x="149"/>
        <item x="50"/>
        <item x="26"/>
        <item x="2"/>
        <item x="19"/>
        <item x="165"/>
        <item x="141"/>
        <item x="119"/>
        <item x="7"/>
        <item x="27"/>
        <item x="35"/>
        <item x="0"/>
        <item x="46"/>
        <item x="30"/>
        <item x="144"/>
        <item x="157"/>
        <item x="163"/>
        <item x="48"/>
        <item x="169"/>
        <item x="83"/>
        <item x="49"/>
        <item x="25"/>
        <item x="15"/>
        <item x="54"/>
        <item x="122"/>
        <item x="132"/>
        <item x="58"/>
        <item x="32"/>
        <item x="145"/>
        <item x="175"/>
        <item x="12"/>
        <item x="69"/>
        <item x="151"/>
        <item x="67"/>
        <item x="146"/>
        <item x="10"/>
        <item x="72"/>
        <item x="109"/>
        <item x="44"/>
        <item x="161"/>
        <item x="138"/>
        <item x="94"/>
        <item x="97"/>
        <item x="84"/>
        <item x="134"/>
        <item x="166"/>
        <item x="3"/>
        <item x="76"/>
        <item x="29"/>
        <item x="51"/>
        <item x="103"/>
        <item x="77"/>
        <item x="24"/>
        <item x="73"/>
        <item x="168"/>
        <item x="177"/>
        <item x="170"/>
        <item x="20"/>
        <item x="33"/>
        <item x="78"/>
        <item x="124"/>
        <item x="136"/>
        <item x="64"/>
        <item x="126"/>
        <item x="96"/>
        <item x="121"/>
        <item x="28"/>
        <item x="100"/>
        <item x="104"/>
        <item x="116"/>
        <item x="8"/>
        <item x="99"/>
        <item x="39"/>
        <item x="53"/>
        <item x="110"/>
        <item x="107"/>
        <item x="160"/>
        <item x="41"/>
        <item x="156"/>
        <item x="93"/>
        <item x="112"/>
        <item x="91"/>
        <item x="114"/>
        <item x="106"/>
        <item x="85"/>
        <item x="16"/>
        <item x="6"/>
        <item x="164"/>
        <item x="23"/>
        <item x="101"/>
        <item x="43"/>
        <item x="162"/>
        <item x="18"/>
        <item x="63"/>
        <item x="95"/>
        <item x="89"/>
        <item x="88"/>
        <item x="150"/>
        <item x="11"/>
        <item x="74"/>
        <item x="147"/>
        <item x="152"/>
        <item x="70"/>
        <item x="123"/>
        <item x="82"/>
        <item x="137"/>
        <item x="125"/>
        <item x="62"/>
        <item x="143"/>
        <item x="159"/>
        <item x="36"/>
        <item x="9"/>
        <item x="75"/>
        <item x="86"/>
        <item x="127"/>
        <item x="45"/>
        <item x="142"/>
        <item x="13"/>
        <item x="61"/>
        <item x="92"/>
        <item x="68"/>
        <item x="60"/>
        <item x="140"/>
        <item x="37"/>
        <item x="117"/>
        <item x="22"/>
        <item x="172"/>
        <item x="55"/>
        <item x="90"/>
        <item x="14"/>
        <item x="4"/>
        <item x="87"/>
        <item x="154"/>
        <item x="173"/>
        <item x="155"/>
        <item x="148"/>
        <item x="105"/>
        <item x="129"/>
        <item t="default"/>
      </items>
    </pivotField>
    <pivotField showAll="0">
      <items count="4">
        <item x="0"/>
        <item x="1"/>
        <item x="2"/>
        <item t="default"/>
      </items>
    </pivotField>
    <pivotField axis="axisRow" showAll="0">
      <items count="5">
        <item x="2"/>
        <item x="3"/>
        <item x="1"/>
        <item x="0"/>
        <item t="default"/>
      </items>
    </pivotField>
    <pivotField showAll="0"/>
    <pivotField showAll="0"/>
    <pivotField showAll="0"/>
    <pivotField showAll="0">
      <items count="4">
        <item x="1"/>
        <item x="2"/>
        <item x="0"/>
        <item t="default"/>
      </items>
    </pivotField>
    <pivotField showAll="0">
      <items count="4">
        <item x="0"/>
        <item x="1"/>
        <item x="2"/>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Count of Customer_Rating" fld="9" subtotal="count" baseField="3" baseItem="0"/>
  </dataField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A7CD73-82E6-4C71-95FC-E5D840BFDB29}" name="PivotTable9" cacheId="5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38:B43" firstHeaderRow="1" firstDataRow="1" firstDataCol="1"/>
  <pivotFields count="12">
    <pivotField showAll="0"/>
    <pivotField numFmtId="14" showAll="0">
      <items count="179">
        <item x="171"/>
        <item x="17"/>
        <item x="174"/>
        <item x="38"/>
        <item x="57"/>
        <item x="118"/>
        <item x="66"/>
        <item x="98"/>
        <item x="34"/>
        <item x="1"/>
        <item x="153"/>
        <item x="111"/>
        <item x="59"/>
        <item x="158"/>
        <item x="5"/>
        <item x="115"/>
        <item x="40"/>
        <item x="79"/>
        <item x="108"/>
        <item x="21"/>
        <item x="128"/>
        <item x="42"/>
        <item x="135"/>
        <item x="120"/>
        <item x="71"/>
        <item x="52"/>
        <item x="167"/>
        <item x="31"/>
        <item x="139"/>
        <item x="56"/>
        <item x="131"/>
        <item x="80"/>
        <item x="133"/>
        <item x="81"/>
        <item x="47"/>
        <item x="130"/>
        <item x="102"/>
        <item x="113"/>
        <item x="176"/>
        <item x="65"/>
        <item x="149"/>
        <item x="50"/>
        <item x="26"/>
        <item x="2"/>
        <item x="19"/>
        <item x="165"/>
        <item x="141"/>
        <item x="119"/>
        <item x="7"/>
        <item x="27"/>
        <item x="35"/>
        <item x="0"/>
        <item x="46"/>
        <item x="30"/>
        <item x="144"/>
        <item x="157"/>
        <item x="163"/>
        <item x="48"/>
        <item x="169"/>
        <item x="83"/>
        <item x="49"/>
        <item x="25"/>
        <item x="15"/>
        <item x="54"/>
        <item x="122"/>
        <item x="132"/>
        <item x="58"/>
        <item x="32"/>
        <item x="145"/>
        <item x="175"/>
        <item x="12"/>
        <item x="69"/>
        <item x="151"/>
        <item x="67"/>
        <item x="146"/>
        <item x="10"/>
        <item x="72"/>
        <item x="109"/>
        <item x="44"/>
        <item x="161"/>
        <item x="138"/>
        <item x="94"/>
        <item x="97"/>
        <item x="84"/>
        <item x="134"/>
        <item x="166"/>
        <item x="3"/>
        <item x="76"/>
        <item x="29"/>
        <item x="51"/>
        <item x="103"/>
        <item x="77"/>
        <item x="24"/>
        <item x="73"/>
        <item x="168"/>
        <item x="177"/>
        <item x="170"/>
        <item x="20"/>
        <item x="33"/>
        <item x="78"/>
        <item x="124"/>
        <item x="136"/>
        <item x="64"/>
        <item x="126"/>
        <item x="96"/>
        <item x="121"/>
        <item x="28"/>
        <item x="100"/>
        <item x="104"/>
        <item x="116"/>
        <item x="8"/>
        <item x="99"/>
        <item x="39"/>
        <item x="53"/>
        <item x="110"/>
        <item x="107"/>
        <item x="160"/>
        <item x="41"/>
        <item x="156"/>
        <item x="93"/>
        <item x="112"/>
        <item x="91"/>
        <item x="114"/>
        <item x="106"/>
        <item x="85"/>
        <item x="16"/>
        <item x="6"/>
        <item x="164"/>
        <item x="23"/>
        <item x="101"/>
        <item x="43"/>
        <item x="162"/>
        <item x="18"/>
        <item x="63"/>
        <item x="95"/>
        <item x="89"/>
        <item x="88"/>
        <item x="150"/>
        <item x="11"/>
        <item x="74"/>
        <item x="147"/>
        <item x="152"/>
        <item x="70"/>
        <item x="123"/>
        <item x="82"/>
        <item x="137"/>
        <item x="125"/>
        <item x="62"/>
        <item x="143"/>
        <item x="159"/>
        <item x="36"/>
        <item x="9"/>
        <item x="75"/>
        <item x="86"/>
        <item x="127"/>
        <item x="45"/>
        <item x="142"/>
        <item x="13"/>
        <item x="61"/>
        <item x="92"/>
        <item x="68"/>
        <item x="60"/>
        <item x="140"/>
        <item x="37"/>
        <item x="117"/>
        <item x="22"/>
        <item x="172"/>
        <item x="55"/>
        <item x="90"/>
        <item x="14"/>
        <item x="4"/>
        <item x="87"/>
        <item x="154"/>
        <item x="173"/>
        <item x="155"/>
        <item x="148"/>
        <item x="105"/>
        <item x="129"/>
        <item t="default"/>
      </items>
    </pivotField>
    <pivotField showAll="0">
      <items count="4">
        <item x="0"/>
        <item x="1"/>
        <item x="2"/>
        <item t="default"/>
      </items>
    </pivotField>
    <pivotField axis="axisRow" showAll="0">
      <items count="5">
        <item x="2"/>
        <item x="3"/>
        <item x="1"/>
        <item x="0"/>
        <item t="default"/>
      </items>
    </pivotField>
    <pivotField showAll="0"/>
    <pivotField showAll="0"/>
    <pivotField showAll="0"/>
    <pivotField showAll="0">
      <items count="4">
        <item x="1"/>
        <item x="2"/>
        <item x="0"/>
        <item t="default"/>
      </items>
    </pivotField>
    <pivotField showAll="0">
      <items count="4">
        <item x="0"/>
        <item x="1"/>
        <item x="2"/>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Customer_Rating" fld="9" baseField="0" baseItem="0"/>
  </dataFields>
  <chartFormats count="6">
    <chartFormat chart="8" format="0"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 chart="22" format="5">
      <pivotArea type="data" outline="0" fieldPosition="0">
        <references count="2">
          <reference field="4294967294" count="1" selected="0">
            <x v="0"/>
          </reference>
          <reference field="3" count="1" selected="0">
            <x v="3"/>
          </reference>
        </references>
      </pivotArea>
    </chartFormat>
    <chartFormat chart="22" format="6">
      <pivotArea type="data" outline="0" fieldPosition="0">
        <references count="2">
          <reference field="4294967294" count="1" selected="0">
            <x v="0"/>
          </reference>
          <reference field="3" count="1" selected="0">
            <x v="0"/>
          </reference>
        </references>
      </pivotArea>
    </chartFormat>
    <chartFormat chart="22" format="7">
      <pivotArea type="data" outline="0" fieldPosition="0">
        <references count="2">
          <reference field="4294967294" count="1" selected="0">
            <x v="0"/>
          </reference>
          <reference field="3" count="1" selected="0">
            <x v="1"/>
          </reference>
        </references>
      </pivotArea>
    </chartFormat>
    <chartFormat chart="22"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E78504-F288-4B7F-BE79-6F29219F26C3}" name="PivotTable7" cacheId="5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F8" firstHeaderRow="1" firstDataRow="2" firstDataCol="1"/>
  <pivotFields count="12">
    <pivotField showAll="0"/>
    <pivotField numFmtId="14" showAll="0">
      <items count="179">
        <item x="171"/>
        <item x="17"/>
        <item x="174"/>
        <item x="38"/>
        <item x="57"/>
        <item x="118"/>
        <item x="66"/>
        <item x="98"/>
        <item x="34"/>
        <item x="1"/>
        <item x="153"/>
        <item x="111"/>
        <item x="59"/>
        <item x="158"/>
        <item x="5"/>
        <item x="115"/>
        <item x="40"/>
        <item x="79"/>
        <item x="108"/>
        <item x="21"/>
        <item x="128"/>
        <item x="42"/>
        <item x="135"/>
        <item x="120"/>
        <item x="71"/>
        <item x="52"/>
        <item x="167"/>
        <item x="31"/>
        <item x="139"/>
        <item x="56"/>
        <item x="131"/>
        <item x="80"/>
        <item x="133"/>
        <item x="81"/>
        <item x="47"/>
        <item x="130"/>
        <item x="102"/>
        <item x="113"/>
        <item x="176"/>
        <item x="65"/>
        <item x="149"/>
        <item x="50"/>
        <item x="26"/>
        <item x="2"/>
        <item x="19"/>
        <item x="165"/>
        <item x="141"/>
        <item x="119"/>
        <item x="7"/>
        <item x="27"/>
        <item x="35"/>
        <item x="0"/>
        <item x="46"/>
        <item x="30"/>
        <item x="144"/>
        <item x="157"/>
        <item x="163"/>
        <item x="48"/>
        <item x="169"/>
        <item x="83"/>
        <item x="49"/>
        <item x="25"/>
        <item x="15"/>
        <item x="54"/>
        <item x="122"/>
        <item x="132"/>
        <item x="58"/>
        <item x="32"/>
        <item x="145"/>
        <item x="175"/>
        <item x="12"/>
        <item x="69"/>
        <item x="151"/>
        <item x="67"/>
        <item x="146"/>
        <item x="10"/>
        <item x="72"/>
        <item x="109"/>
        <item x="44"/>
        <item x="161"/>
        <item x="138"/>
        <item x="94"/>
        <item x="97"/>
        <item x="84"/>
        <item x="134"/>
        <item x="166"/>
        <item x="3"/>
        <item x="76"/>
        <item x="29"/>
        <item x="51"/>
        <item x="103"/>
        <item x="77"/>
        <item x="24"/>
        <item x="73"/>
        <item x="168"/>
        <item x="177"/>
        <item x="170"/>
        <item x="20"/>
        <item x="33"/>
        <item x="78"/>
        <item x="124"/>
        <item x="136"/>
        <item x="64"/>
        <item x="126"/>
        <item x="96"/>
        <item x="121"/>
        <item x="28"/>
        <item x="100"/>
        <item x="104"/>
        <item x="116"/>
        <item x="8"/>
        <item x="99"/>
        <item x="39"/>
        <item x="53"/>
        <item x="110"/>
        <item x="107"/>
        <item x="160"/>
        <item x="41"/>
        <item x="156"/>
        <item x="93"/>
        <item x="112"/>
        <item x="91"/>
        <item x="114"/>
        <item x="106"/>
        <item x="85"/>
        <item x="16"/>
        <item x="6"/>
        <item x="164"/>
        <item x="23"/>
        <item x="101"/>
        <item x="43"/>
        <item x="162"/>
        <item x="18"/>
        <item x="63"/>
        <item x="95"/>
        <item x="89"/>
        <item x="88"/>
        <item x="150"/>
        <item x="11"/>
        <item x="74"/>
        <item x="147"/>
        <item x="152"/>
        <item x="70"/>
        <item x="123"/>
        <item x="82"/>
        <item x="137"/>
        <item x="125"/>
        <item x="62"/>
        <item x="143"/>
        <item x="159"/>
        <item x="36"/>
        <item x="9"/>
        <item x="75"/>
        <item x="86"/>
        <item x="127"/>
        <item x="45"/>
        <item x="142"/>
        <item x="13"/>
        <item x="61"/>
        <item x="92"/>
        <item x="68"/>
        <item x="60"/>
        <item x="140"/>
        <item x="37"/>
        <item x="117"/>
        <item x="22"/>
        <item x="172"/>
        <item x="55"/>
        <item x="90"/>
        <item x="14"/>
        <item x="4"/>
        <item x="87"/>
        <item x="154"/>
        <item x="173"/>
        <item x="155"/>
        <item x="148"/>
        <item x="105"/>
        <item x="129"/>
        <item t="default"/>
      </items>
    </pivotField>
    <pivotField axis="axisRow" showAll="0">
      <items count="4">
        <item x="0"/>
        <item x="1"/>
        <item x="2"/>
        <item t="default"/>
      </items>
    </pivotField>
    <pivotField axis="axisCol" showAll="0">
      <items count="5">
        <item x="2"/>
        <item x="3"/>
        <item x="1"/>
        <item x="0"/>
        <item t="default"/>
      </items>
    </pivotField>
    <pivotField showAll="0"/>
    <pivotField showAll="0"/>
    <pivotField dataField="1" showAll="0"/>
    <pivotField showAll="0">
      <items count="4">
        <item x="1"/>
        <item x="2"/>
        <item x="0"/>
        <item t="default"/>
      </items>
    </pivotField>
    <pivotField showAll="0">
      <items count="4">
        <item x="0"/>
        <item x="1"/>
        <item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Fields count="1">
    <field x="3"/>
  </colFields>
  <colItems count="5">
    <i>
      <x/>
    </i>
    <i>
      <x v="1"/>
    </i>
    <i>
      <x v="2"/>
    </i>
    <i>
      <x v="3"/>
    </i>
    <i t="grand">
      <x/>
    </i>
  </colItems>
  <dataFields count="1">
    <dataField name="Sum of Total_Amount" fld="6" baseField="0" baseItem="0"/>
  </dataFields>
  <chartFormats count="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14" format="15" series="1">
      <pivotArea type="data" outline="0" fieldPosition="0">
        <references count="2">
          <reference field="4294967294" count="1" selected="0">
            <x v="0"/>
          </reference>
          <reference field="3" count="1" selected="0">
            <x v="0"/>
          </reference>
        </references>
      </pivotArea>
    </chartFormat>
    <chartFormat chart="14" format="16" series="1">
      <pivotArea type="data" outline="0" fieldPosition="0">
        <references count="2">
          <reference field="4294967294" count="1" selected="0">
            <x v="0"/>
          </reference>
          <reference field="3" count="1" selected="0">
            <x v="1"/>
          </reference>
        </references>
      </pivotArea>
    </chartFormat>
    <chartFormat chart="14" format="17" series="1">
      <pivotArea type="data" outline="0" fieldPosition="0">
        <references count="2">
          <reference field="4294967294" count="1" selected="0">
            <x v="0"/>
          </reference>
          <reference field="3" count="1" selected="0">
            <x v="2"/>
          </reference>
        </references>
      </pivotArea>
    </chartFormat>
    <chartFormat chart="14" format="18"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5A2E932-1301-48A5-8CF6-0DC1E651D150}" name="PivotTable3" cacheId="58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G106:G107" firstHeaderRow="1" firstDataRow="1" firstDataCol="0"/>
  <pivotFields count="12">
    <pivotField dataField="1" showAll="0"/>
    <pivotField numFmtId="14" showAll="0">
      <items count="179">
        <item x="171"/>
        <item x="17"/>
        <item x="174"/>
        <item x="38"/>
        <item x="57"/>
        <item x="118"/>
        <item x="66"/>
        <item x="98"/>
        <item x="34"/>
        <item x="1"/>
        <item x="153"/>
        <item x="111"/>
        <item x="59"/>
        <item x="158"/>
        <item x="5"/>
        <item x="115"/>
        <item x="40"/>
        <item x="79"/>
        <item x="108"/>
        <item x="21"/>
        <item x="128"/>
        <item x="42"/>
        <item x="135"/>
        <item x="120"/>
        <item x="71"/>
        <item x="52"/>
        <item x="167"/>
        <item x="31"/>
        <item x="139"/>
        <item x="56"/>
        <item x="131"/>
        <item x="80"/>
        <item x="133"/>
        <item x="81"/>
        <item x="47"/>
        <item x="130"/>
        <item x="102"/>
        <item x="113"/>
        <item x="176"/>
        <item x="65"/>
        <item x="149"/>
        <item x="50"/>
        <item x="26"/>
        <item x="2"/>
        <item x="19"/>
        <item x="165"/>
        <item x="141"/>
        <item x="119"/>
        <item x="7"/>
        <item x="27"/>
        <item x="35"/>
        <item x="0"/>
        <item x="46"/>
        <item x="30"/>
        <item x="144"/>
        <item x="157"/>
        <item x="163"/>
        <item x="48"/>
        <item x="169"/>
        <item x="83"/>
        <item x="49"/>
        <item x="25"/>
        <item x="15"/>
        <item x="54"/>
        <item x="122"/>
        <item x="132"/>
        <item x="58"/>
        <item x="32"/>
        <item x="145"/>
        <item x="175"/>
        <item x="12"/>
        <item x="69"/>
        <item x="151"/>
        <item x="67"/>
        <item x="146"/>
        <item x="10"/>
        <item x="72"/>
        <item x="109"/>
        <item x="44"/>
        <item x="161"/>
        <item x="138"/>
        <item x="94"/>
        <item x="97"/>
        <item x="84"/>
        <item x="134"/>
        <item x="166"/>
        <item x="3"/>
        <item x="76"/>
        <item x="29"/>
        <item x="51"/>
        <item x="103"/>
        <item x="77"/>
        <item x="24"/>
        <item x="73"/>
        <item x="168"/>
        <item x="177"/>
        <item x="170"/>
        <item x="20"/>
        <item x="33"/>
        <item x="78"/>
        <item x="124"/>
        <item x="136"/>
        <item x="64"/>
        <item x="126"/>
        <item x="96"/>
        <item x="121"/>
        <item x="28"/>
        <item x="100"/>
        <item x="104"/>
        <item x="116"/>
        <item x="8"/>
        <item x="99"/>
        <item x="39"/>
        <item x="53"/>
        <item x="110"/>
        <item x="107"/>
        <item x="160"/>
        <item x="41"/>
        <item x="156"/>
        <item x="93"/>
        <item x="112"/>
        <item x="91"/>
        <item x="114"/>
        <item x="106"/>
        <item x="85"/>
        <item x="16"/>
        <item x="6"/>
        <item x="164"/>
        <item x="23"/>
        <item x="101"/>
        <item x="43"/>
        <item x="162"/>
        <item x="18"/>
        <item x="63"/>
        <item x="95"/>
        <item x="89"/>
        <item x="88"/>
        <item x="150"/>
        <item x="11"/>
        <item x="74"/>
        <item x="147"/>
        <item x="152"/>
        <item x="70"/>
        <item x="123"/>
        <item x="82"/>
        <item x="137"/>
        <item x="125"/>
        <item x="62"/>
        <item x="143"/>
        <item x="159"/>
        <item x="36"/>
        <item x="9"/>
        <item x="75"/>
        <item x="86"/>
        <item x="127"/>
        <item x="45"/>
        <item x="142"/>
        <item x="13"/>
        <item x="61"/>
        <item x="92"/>
        <item x="68"/>
        <item x="60"/>
        <item x="140"/>
        <item x="37"/>
        <item x="117"/>
        <item x="22"/>
        <item x="172"/>
        <item x="55"/>
        <item x="90"/>
        <item x="14"/>
        <item x="4"/>
        <item x="87"/>
        <item x="154"/>
        <item x="173"/>
        <item x="155"/>
        <item x="148"/>
        <item x="105"/>
        <item x="129"/>
        <item t="default"/>
      </items>
    </pivotField>
    <pivotField showAll="0">
      <items count="4">
        <item x="0"/>
        <item x="1"/>
        <item x="2"/>
        <item t="default"/>
      </items>
    </pivotField>
    <pivotField showAll="0">
      <items count="5">
        <item x="2"/>
        <item x="3"/>
        <item x="1"/>
        <item x="0"/>
        <item t="default"/>
      </items>
    </pivotField>
    <pivotField showAll="0"/>
    <pivotField showAll="0"/>
    <pivotField showAll="0"/>
    <pivotField showAll="0">
      <items count="4">
        <item x="1"/>
        <item x="2"/>
        <item x="0"/>
        <item t="default"/>
      </items>
    </pivotField>
    <pivotField showAll="0">
      <items count="4">
        <item x="0"/>
        <item x="1"/>
        <item x="2"/>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Transactio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Location" xr10:uid="{A5CFE017-C4F9-4358-B76A-B1A55979C895}" sourceName="Store_Location">
  <pivotTables>
    <pivotTable tabId="3" name="PivotTable9"/>
    <pivotTable tabId="3" name="PivotTable10"/>
    <pivotTable tabId="3" name="PivotTable11"/>
    <pivotTable tabId="3" name="PivotTable12"/>
    <pivotTable tabId="3" name="PivotTable7"/>
    <pivotTable tabId="3" name="PivotTable8"/>
    <pivotTable tabId="3" name="PivotTable13"/>
    <pivotTable tabId="3" name="PivotTable14"/>
    <pivotTable tabId="3" name="PivotTable1"/>
    <pivotTable tabId="3" name="PivotTable3"/>
  </pivotTables>
  <data>
    <tabular pivotCacheId="10082504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6411757B-DD17-4B7D-AB55-C0DA49607EA6}" sourceName="Product_Category">
  <pivotTables>
    <pivotTable tabId="3" name="PivotTable9"/>
    <pivotTable tabId="3" name="PivotTable10"/>
    <pivotTable tabId="3" name="PivotTable11"/>
    <pivotTable tabId="3" name="PivotTable12"/>
    <pivotTable tabId="3" name="PivotTable13"/>
    <pivotTable tabId="3" name="PivotTable14"/>
    <pivotTable tabId="3" name="PivotTable7"/>
    <pivotTable tabId="3" name="PivotTable8"/>
    <pivotTable tabId="3" name="PivotTable1"/>
    <pivotTable tabId="3" name="PivotTable3"/>
  </pivotTables>
  <data>
    <tabular pivotCacheId="100825041">
      <items count="4">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1BF3B441-4532-42AC-A247-5D00CF45B22A}" sourceName="Payment-method">
  <pivotTables>
    <pivotTable tabId="3" name="PivotTable9"/>
    <pivotTable tabId="3" name="PivotTable10"/>
    <pivotTable tabId="3" name="PivotTable11"/>
    <pivotTable tabId="3" name="PivotTable12"/>
    <pivotTable tabId="3" name="PivotTable13"/>
    <pivotTable tabId="3" name="PivotTable14"/>
    <pivotTable tabId="3" name="PivotTable7"/>
    <pivotTable tabId="3" name="PivotTable8"/>
    <pivotTable tabId="3" name="PivotTable1"/>
    <pivotTable tabId="3" name="PivotTable3"/>
  </pivotTables>
  <data>
    <tabular pivotCacheId="100825041">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 xr10:uid="{4A9328DC-7738-415B-914E-0D830D3DE25F}" sourceName="Order_type">
  <pivotTables>
    <pivotTable tabId="3" name="PivotTable9"/>
    <pivotTable tabId="3" name="PivotTable10"/>
    <pivotTable tabId="3" name="PivotTable11"/>
    <pivotTable tabId="3" name="PivotTable12"/>
    <pivotTable tabId="3" name="PivotTable13"/>
    <pivotTable tabId="3" name="PivotTable14"/>
    <pivotTable tabId="3" name="PivotTable7"/>
    <pivotTable tabId="3" name="PivotTable8"/>
    <pivotTable tabId="3" name="PivotTable1"/>
    <pivotTable tabId="3" name="PivotTable3"/>
  </pivotTables>
  <data>
    <tabular pivotCacheId="10082504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Location 2" xr10:uid="{AC2997D7-B23A-44F0-8ED7-9EEC4CC1E75B}" cache="Slicer_Store_Location" caption="Store Location" columnCount="2" style="SlicerStyleOther2" rowHeight="241300"/>
  <slicer name="Product_Category 2" xr10:uid="{5844D19D-63D8-4412-ABE2-D3BC057D3C01}" cache="Slicer_Product_Category" caption="Product Category" columnCount="2" style="SlicerStyleOther2" rowHeight="241300"/>
  <slicer name="Payment-method 2" xr10:uid="{866AB606-03A9-443A-9F30-3342D6BD6448}" cache="Slicer_Payment_method" caption="Payment-method" columnCount="2" style="SlicerStyleOther2" rowHeight="241300"/>
  <slicer name="Order_type 1" xr10:uid="{2E5A9FAB-63D0-4BCE-9609-E07378782706}" cache="Slicer_Order_type" caption="Order type" columnCount="2" style="SlicerStyleOther2" rowHeight="241300"/>
</slicers>
</file>

<file path=xl/theme/theme1.xml><?xml version="1.0" encoding="utf-8"?>
<a:theme xmlns:a="http://schemas.openxmlformats.org/drawingml/2006/main" name="View">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View">
      <a:maj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Schoolbook" panose="020406040505050203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View">
      <a:fillStyleLst>
        <a:solidFill>
          <a:schemeClr val="phClr"/>
        </a:solidFill>
        <a:solidFill>
          <a:schemeClr val="phClr">
            <a:tint val="60000"/>
            <a:satMod val="120000"/>
          </a:schemeClr>
        </a:solidFill>
        <a:solidFill>
          <a:schemeClr val="phClr">
            <a:shade val="75000"/>
            <a:satMod val="160000"/>
          </a:schemeClr>
        </a:solidFill>
      </a:fillStyleLst>
      <a:lnStyleLst>
        <a:ln w="9525" cap="flat" cmpd="sng" algn="ctr">
          <a:solidFill>
            <a:schemeClr val="phClr"/>
          </a:solidFill>
          <a:prstDash val="solid"/>
        </a:ln>
        <a:ln w="13970" cap="flat" cmpd="sng" algn="ctr">
          <a:solidFill>
            <a:schemeClr val="phClr"/>
          </a:solidFill>
          <a:prstDash val="solid"/>
        </a:ln>
        <a:ln w="17145" cap="flat" cmpd="sng" algn="ctr">
          <a:solidFill>
            <a:schemeClr val="phClr">
              <a:shade val="95000"/>
              <a:alpha val="95000"/>
              <a:satMod val="150000"/>
            </a:schemeClr>
          </a:solidFill>
          <a:prstDash val="solid"/>
        </a:ln>
      </a:lnStyleLst>
      <a:effectStyleLst>
        <a:effectStyle>
          <a:effectLst/>
        </a:effectStyle>
        <a:effectStyle>
          <a:effectLst>
            <a:outerShdw blurRad="50800" dist="15240" dir="5400000" algn="tl" rotWithShape="0">
              <a:srgbClr val="000000">
                <a:alpha val="75000"/>
              </a:srgbClr>
            </a:outerShdw>
          </a:effectLst>
          <a:scene3d>
            <a:camera prst="orthographicFront">
              <a:rot lat="0" lon="0" rev="0"/>
            </a:camera>
            <a:lightRig rig="brightRoom" dir="tl"/>
          </a:scene3d>
          <a:sp3d contourW="9525" prstMaterial="flat">
            <a:bevelT w="0" h="0" prst="coolSlant"/>
            <a:contourClr>
              <a:schemeClr val="phClr">
                <a:shade val="35000"/>
                <a:satMod val="130000"/>
              </a:schemeClr>
            </a:contourClr>
          </a:sp3d>
        </a:effectStyle>
        <a:effectStyle>
          <a:effectLst>
            <a:outerShdw blurRad="76200" dist="25400" dir="5400000" algn="tl" rotWithShape="0">
              <a:srgbClr val="000000">
                <a:alpha val="55000"/>
              </a:srgbClr>
            </a:outerShdw>
          </a:effectLst>
          <a:scene3d>
            <a:camera prst="orthographicFront">
              <a:rot lat="0" lon="0" rev="0"/>
            </a:camera>
            <a:lightRig rig="brightRoom" dir="tl"/>
          </a:scene3d>
          <a:sp3d contourW="19050" prstMaterial="flat">
            <a:bevelT w="0" h="0" prst="coolSlant"/>
            <a:contourClr>
              <a:schemeClr val="phClr">
                <a:shade val="25000"/>
                <a:satMod val="140000"/>
              </a:schemeClr>
            </a:contourClr>
          </a:sp3d>
        </a:effectStyle>
      </a:effectStyleLst>
      <a:bgFillStyleLst>
        <a:solidFill>
          <a:schemeClr val="phClr"/>
        </a:solidFill>
        <a:solidFill>
          <a:schemeClr val="phClr">
            <a:tint val="95000"/>
            <a:satMod val="170000"/>
          </a:schemeClr>
        </a:solidFill>
        <a:gradFill rotWithShape="1">
          <a:gsLst>
            <a:gs pos="0">
              <a:schemeClr val="phClr">
                <a:tint val="94000"/>
                <a:shade val="98000"/>
                <a:satMod val="130000"/>
                <a:lumMod val="102000"/>
              </a:schemeClr>
            </a:gs>
            <a:gs pos="100000">
              <a:schemeClr val="phClr">
                <a:tint val="98000"/>
                <a:shade val="78000"/>
                <a:satMod val="140000"/>
              </a:schemeClr>
            </a:gs>
          </a:gsLst>
          <a:path path="circle">
            <a:fillToRect l="100000" t="100000" r="100000" b="100000"/>
          </a:path>
        </a:gradFill>
      </a:bgFillStyleLst>
    </a:fmtScheme>
  </a:themeElements>
  <a:objectDefaults/>
  <a:extraClrSchemeLst/>
  <a:extLst>
    <a:ext uri="{05A4C25C-085E-4340-85A3-A5531E510DB2}">
      <thm15:themeFamily xmlns:thm15="http://schemas.microsoft.com/office/thememl/2012/main" name="View" id="{BA0EB5A6-F2D4-4F82-977B-64ADEE4A2A69}" vid="{3969A8A2-35DB-4E3B-8885-16FD20568674}"/>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DC1D9-9FDC-424F-BB0D-938D46242BBD}">
  <dimension ref="A3:K110"/>
  <sheetViews>
    <sheetView workbookViewId="0"/>
  </sheetViews>
  <sheetFormatPr defaultRowHeight="14" x14ac:dyDescent="0.3"/>
  <cols>
    <col min="1" max="1" width="21.58203125" bestFit="1" customWidth="1"/>
    <col min="2" max="2" width="17.25" bestFit="1" customWidth="1"/>
    <col min="3" max="4" width="6.33203125" bestFit="1" customWidth="1"/>
    <col min="5" max="6" width="12.33203125" bestFit="1" customWidth="1"/>
    <col min="7" max="7" width="28.25" bestFit="1" customWidth="1"/>
    <col min="8" max="8" width="17.25" bestFit="1" customWidth="1"/>
    <col min="9" max="10" width="12.83203125" bestFit="1" customWidth="1"/>
    <col min="11" max="11" width="12.33203125" bestFit="1" customWidth="1"/>
  </cols>
  <sheetData>
    <row r="3" spans="1:6" x14ac:dyDescent="0.3">
      <c r="A3" s="5" t="s">
        <v>17</v>
      </c>
      <c r="B3" s="5" t="s">
        <v>18</v>
      </c>
    </row>
    <row r="4" spans="1:6" x14ac:dyDescent="0.3">
      <c r="A4" s="5" t="s">
        <v>15</v>
      </c>
      <c r="B4" t="s">
        <v>13</v>
      </c>
      <c r="C4" t="s">
        <v>14</v>
      </c>
      <c r="D4" t="s">
        <v>11</v>
      </c>
      <c r="E4" t="s">
        <v>9</v>
      </c>
      <c r="F4" t="s">
        <v>16</v>
      </c>
    </row>
    <row r="5" spans="1:6" x14ac:dyDescent="0.3">
      <c r="A5" s="6" t="s">
        <v>8</v>
      </c>
      <c r="B5" s="16">
        <v>14500</v>
      </c>
      <c r="C5" s="16">
        <v>10160</v>
      </c>
      <c r="D5" s="16">
        <v>9300</v>
      </c>
      <c r="E5" s="16">
        <v>5600</v>
      </c>
      <c r="F5" s="16">
        <v>39560</v>
      </c>
    </row>
    <row r="6" spans="1:6" x14ac:dyDescent="0.3">
      <c r="A6" s="6" t="s">
        <v>10</v>
      </c>
      <c r="B6" s="16">
        <v>12900</v>
      </c>
      <c r="C6" s="16">
        <v>10240</v>
      </c>
      <c r="D6" s="16">
        <v>8340</v>
      </c>
      <c r="E6" s="16">
        <v>4160</v>
      </c>
      <c r="F6" s="16">
        <v>35640</v>
      </c>
    </row>
    <row r="7" spans="1:6" x14ac:dyDescent="0.3">
      <c r="A7" s="6" t="s">
        <v>12</v>
      </c>
      <c r="B7" s="16">
        <v>14700</v>
      </c>
      <c r="C7" s="16">
        <v>9360</v>
      </c>
      <c r="D7" s="16">
        <v>7440</v>
      </c>
      <c r="E7" s="16">
        <v>5080</v>
      </c>
      <c r="F7" s="16">
        <v>36580</v>
      </c>
    </row>
    <row r="8" spans="1:6" x14ac:dyDescent="0.3">
      <c r="A8" s="6" t="s">
        <v>16</v>
      </c>
      <c r="B8" s="16">
        <v>42100</v>
      </c>
      <c r="C8" s="16">
        <v>29760</v>
      </c>
      <c r="D8" s="16">
        <v>25080</v>
      </c>
      <c r="E8" s="16">
        <v>14840</v>
      </c>
      <c r="F8" s="16">
        <v>111780</v>
      </c>
    </row>
    <row r="13" spans="1:6" x14ac:dyDescent="0.3">
      <c r="B13" s="8">
        <f>GETPIVOTDATA("Total_Amount",$A$3)</f>
        <v>111780</v>
      </c>
    </row>
    <row r="14" spans="1:6" x14ac:dyDescent="0.3">
      <c r="B14" s="7"/>
    </row>
    <row r="21" spans="1:5" x14ac:dyDescent="0.3">
      <c r="A21" s="5" t="s">
        <v>17</v>
      </c>
      <c r="B21" s="5" t="s">
        <v>18</v>
      </c>
    </row>
    <row r="22" spans="1:5" x14ac:dyDescent="0.3">
      <c r="A22" s="5" t="s">
        <v>15</v>
      </c>
      <c r="B22" t="s">
        <v>24</v>
      </c>
      <c r="C22" t="s">
        <v>25</v>
      </c>
      <c r="D22" t="s">
        <v>21</v>
      </c>
      <c r="E22" t="s">
        <v>16</v>
      </c>
    </row>
    <row r="23" spans="1:5" x14ac:dyDescent="0.3">
      <c r="A23" s="6" t="s">
        <v>13</v>
      </c>
      <c r="B23" s="16">
        <v>11500</v>
      </c>
      <c r="C23" s="16">
        <v>15000</v>
      </c>
      <c r="D23" s="16">
        <v>15600</v>
      </c>
      <c r="E23" s="16">
        <v>42100</v>
      </c>
    </row>
    <row r="24" spans="1:5" x14ac:dyDescent="0.3">
      <c r="A24" s="6" t="s">
        <v>14</v>
      </c>
      <c r="B24" s="16">
        <v>11120</v>
      </c>
      <c r="C24" s="16">
        <v>10080</v>
      </c>
      <c r="D24" s="16">
        <v>8560</v>
      </c>
      <c r="E24" s="16">
        <v>29760</v>
      </c>
    </row>
    <row r="25" spans="1:5" x14ac:dyDescent="0.3">
      <c r="A25" s="6" t="s">
        <v>11</v>
      </c>
      <c r="B25" s="16">
        <v>8940</v>
      </c>
      <c r="C25" s="16">
        <v>9360</v>
      </c>
      <c r="D25" s="16">
        <v>6780</v>
      </c>
      <c r="E25" s="16">
        <v>25080</v>
      </c>
    </row>
    <row r="26" spans="1:5" x14ac:dyDescent="0.3">
      <c r="A26" s="6" t="s">
        <v>9</v>
      </c>
      <c r="B26" s="16">
        <v>5560</v>
      </c>
      <c r="C26" s="16">
        <v>5120</v>
      </c>
      <c r="D26" s="16">
        <v>4160</v>
      </c>
      <c r="E26" s="16">
        <v>14840</v>
      </c>
    </row>
    <row r="27" spans="1:5" x14ac:dyDescent="0.3">
      <c r="A27" s="6" t="s">
        <v>16</v>
      </c>
      <c r="B27" s="16">
        <v>37120</v>
      </c>
      <c r="C27" s="16">
        <v>39560</v>
      </c>
      <c r="D27" s="16">
        <v>35100</v>
      </c>
      <c r="E27" s="16">
        <v>111780</v>
      </c>
    </row>
    <row r="38" spans="1:2" x14ac:dyDescent="0.3">
      <c r="A38" s="5" t="s">
        <v>15</v>
      </c>
      <c r="B38" t="s">
        <v>27</v>
      </c>
    </row>
    <row r="39" spans="1:2" x14ac:dyDescent="0.3">
      <c r="A39" s="6" t="s">
        <v>13</v>
      </c>
      <c r="B39" s="16">
        <v>651</v>
      </c>
    </row>
    <row r="40" spans="1:2" x14ac:dyDescent="0.3">
      <c r="A40" s="6" t="s">
        <v>14</v>
      </c>
      <c r="B40" s="16">
        <v>565</v>
      </c>
    </row>
    <row r="41" spans="1:2" x14ac:dyDescent="0.3">
      <c r="A41" s="6" t="s">
        <v>11</v>
      </c>
      <c r="B41" s="16">
        <v>578</v>
      </c>
    </row>
    <row r="42" spans="1:2" x14ac:dyDescent="0.3">
      <c r="A42" s="6" t="s">
        <v>9</v>
      </c>
      <c r="B42" s="16">
        <v>602</v>
      </c>
    </row>
    <row r="43" spans="1:2" x14ac:dyDescent="0.3">
      <c r="A43" s="6" t="s">
        <v>16</v>
      </c>
      <c r="B43" s="16">
        <v>2396</v>
      </c>
    </row>
    <row r="55" spans="1:2" x14ac:dyDescent="0.3">
      <c r="A55" s="5" t="s">
        <v>15</v>
      </c>
      <c r="B55" t="s">
        <v>17</v>
      </c>
    </row>
    <row r="56" spans="1:2" x14ac:dyDescent="0.3">
      <c r="A56" s="6" t="s">
        <v>13</v>
      </c>
      <c r="B56" s="16">
        <v>42100</v>
      </c>
    </row>
    <row r="57" spans="1:2" x14ac:dyDescent="0.3">
      <c r="A57" s="6" t="s">
        <v>14</v>
      </c>
      <c r="B57" s="16">
        <v>29760</v>
      </c>
    </row>
    <row r="58" spans="1:2" x14ac:dyDescent="0.3">
      <c r="A58" s="6" t="s">
        <v>11</v>
      </c>
      <c r="B58" s="16">
        <v>25080</v>
      </c>
    </row>
    <row r="59" spans="1:2" x14ac:dyDescent="0.3">
      <c r="A59" s="6" t="s">
        <v>9</v>
      </c>
      <c r="B59" s="16">
        <v>14840</v>
      </c>
    </row>
    <row r="60" spans="1:2" x14ac:dyDescent="0.3">
      <c r="A60" s="6" t="s">
        <v>16</v>
      </c>
      <c r="B60" s="16">
        <v>111780</v>
      </c>
    </row>
    <row r="72" spans="1:6" x14ac:dyDescent="0.3">
      <c r="A72" s="5" t="s">
        <v>17</v>
      </c>
      <c r="B72" s="5" t="s">
        <v>18</v>
      </c>
    </row>
    <row r="73" spans="1:6" x14ac:dyDescent="0.3">
      <c r="A73" s="5" t="s">
        <v>15</v>
      </c>
      <c r="B73" t="s">
        <v>13</v>
      </c>
      <c r="C73" t="s">
        <v>14</v>
      </c>
      <c r="D73" t="s">
        <v>11</v>
      </c>
      <c r="E73" t="s">
        <v>9</v>
      </c>
      <c r="F73" t="s">
        <v>16</v>
      </c>
    </row>
    <row r="74" spans="1:6" x14ac:dyDescent="0.3">
      <c r="A74" s="6" t="s">
        <v>28</v>
      </c>
      <c r="B74" s="16">
        <v>4800</v>
      </c>
      <c r="C74" s="16">
        <v>4320</v>
      </c>
      <c r="D74" s="16">
        <v>5520</v>
      </c>
      <c r="E74" s="16">
        <v>2280</v>
      </c>
      <c r="F74" s="16">
        <v>16920</v>
      </c>
    </row>
    <row r="75" spans="1:6" x14ac:dyDescent="0.3">
      <c r="A75" s="6" t="s">
        <v>29</v>
      </c>
      <c r="B75" s="16">
        <v>6200</v>
      </c>
      <c r="C75" s="16">
        <v>5360</v>
      </c>
      <c r="D75" s="16">
        <v>4440</v>
      </c>
      <c r="E75" s="16">
        <v>2120</v>
      </c>
      <c r="F75" s="16">
        <v>18120</v>
      </c>
    </row>
    <row r="76" spans="1:6" x14ac:dyDescent="0.3">
      <c r="A76" s="6" t="s">
        <v>30</v>
      </c>
      <c r="B76" s="16">
        <v>8400</v>
      </c>
      <c r="C76" s="16">
        <v>5680</v>
      </c>
      <c r="D76" s="16">
        <v>3480</v>
      </c>
      <c r="E76" s="16">
        <v>2720</v>
      </c>
      <c r="F76" s="16">
        <v>20280</v>
      </c>
    </row>
    <row r="77" spans="1:6" x14ac:dyDescent="0.3">
      <c r="A77" s="6" t="s">
        <v>31</v>
      </c>
      <c r="B77" s="16">
        <v>8700</v>
      </c>
      <c r="C77" s="16">
        <v>6320</v>
      </c>
      <c r="D77" s="16">
        <v>3300</v>
      </c>
      <c r="E77" s="16">
        <v>2000</v>
      </c>
      <c r="F77" s="16">
        <v>20320</v>
      </c>
    </row>
    <row r="78" spans="1:6" x14ac:dyDescent="0.3">
      <c r="A78" s="6" t="s">
        <v>32</v>
      </c>
      <c r="B78" s="16">
        <v>6500</v>
      </c>
      <c r="C78" s="16">
        <v>4160</v>
      </c>
      <c r="D78" s="16">
        <v>3960</v>
      </c>
      <c r="E78" s="16">
        <v>2760</v>
      </c>
      <c r="F78" s="16">
        <v>17380</v>
      </c>
    </row>
    <row r="79" spans="1:6" x14ac:dyDescent="0.3">
      <c r="A79" s="6" t="s">
        <v>33</v>
      </c>
      <c r="B79" s="16">
        <v>7500</v>
      </c>
      <c r="C79" s="16">
        <v>3920</v>
      </c>
      <c r="D79" s="16">
        <v>4380</v>
      </c>
      <c r="E79" s="16">
        <v>2960</v>
      </c>
      <c r="F79" s="16">
        <v>18760</v>
      </c>
    </row>
    <row r="80" spans="1:6" x14ac:dyDescent="0.3">
      <c r="A80" s="6" t="s">
        <v>16</v>
      </c>
      <c r="B80" s="16">
        <v>42100</v>
      </c>
      <c r="C80" s="16">
        <v>29760</v>
      </c>
      <c r="D80" s="16">
        <v>25080</v>
      </c>
      <c r="E80" s="16">
        <v>14840</v>
      </c>
      <c r="F80" s="16">
        <v>111780</v>
      </c>
    </row>
    <row r="89" spans="1:11" x14ac:dyDescent="0.3">
      <c r="A89" s="5" t="s">
        <v>15</v>
      </c>
      <c r="B89" t="s">
        <v>34</v>
      </c>
      <c r="G89" s="5" t="s">
        <v>35</v>
      </c>
      <c r="H89" s="5" t="s">
        <v>18</v>
      </c>
    </row>
    <row r="90" spans="1:11" x14ac:dyDescent="0.3">
      <c r="A90" s="6" t="s">
        <v>13</v>
      </c>
      <c r="B90" s="16">
        <v>215</v>
      </c>
      <c r="G90" s="5" t="s">
        <v>15</v>
      </c>
      <c r="H90" t="s">
        <v>8</v>
      </c>
      <c r="I90" t="s">
        <v>10</v>
      </c>
      <c r="J90" t="s">
        <v>12</v>
      </c>
      <c r="K90" t="s">
        <v>16</v>
      </c>
    </row>
    <row r="91" spans="1:11" x14ac:dyDescent="0.3">
      <c r="A91" s="6" t="s">
        <v>14</v>
      </c>
      <c r="B91" s="16">
        <v>193</v>
      </c>
      <c r="G91" s="6" t="s">
        <v>13</v>
      </c>
      <c r="H91" s="16">
        <v>2.9740259740259742</v>
      </c>
      <c r="I91" s="16">
        <v>3.15625</v>
      </c>
      <c r="J91" s="16">
        <v>2.9729729729729728</v>
      </c>
      <c r="K91" s="16">
        <v>3.0279069767441862</v>
      </c>
    </row>
    <row r="92" spans="1:11" x14ac:dyDescent="0.3">
      <c r="A92" s="6" t="s">
        <v>11</v>
      </c>
      <c r="B92" s="16">
        <v>205</v>
      </c>
      <c r="G92" s="6" t="s">
        <v>14</v>
      </c>
      <c r="H92" s="16">
        <v>3.0769230769230771</v>
      </c>
      <c r="I92" s="16">
        <v>2.7536231884057969</v>
      </c>
      <c r="J92" s="16">
        <v>2.9661016949152543</v>
      </c>
      <c r="K92" s="16">
        <v>2.9274611398963732</v>
      </c>
    </row>
    <row r="93" spans="1:11" x14ac:dyDescent="0.3">
      <c r="A93" s="6" t="s">
        <v>9</v>
      </c>
      <c r="B93" s="16">
        <v>187</v>
      </c>
      <c r="G93" s="6" t="s">
        <v>11</v>
      </c>
      <c r="H93" s="16">
        <v>2.8815789473684212</v>
      </c>
      <c r="I93" s="16">
        <v>2.5074626865671643</v>
      </c>
      <c r="J93" s="16">
        <v>3.0806451612903225</v>
      </c>
      <c r="K93" s="16">
        <v>2.8195121951219511</v>
      </c>
    </row>
    <row r="94" spans="1:11" x14ac:dyDescent="0.3">
      <c r="A94" s="6" t="s">
        <v>16</v>
      </c>
      <c r="B94" s="16">
        <v>800</v>
      </c>
      <c r="G94" s="6" t="s">
        <v>9</v>
      </c>
      <c r="H94" s="16">
        <v>3.3030303030303032</v>
      </c>
      <c r="I94" s="16">
        <v>3.1320754716981134</v>
      </c>
      <c r="J94" s="16">
        <v>3.2058823529411766</v>
      </c>
      <c r="K94" s="16">
        <v>3.2192513368983957</v>
      </c>
    </row>
    <row r="95" spans="1:11" x14ac:dyDescent="0.3">
      <c r="G95" s="6" t="s">
        <v>16</v>
      </c>
      <c r="H95" s="16">
        <v>3.0492957746478875</v>
      </c>
      <c r="I95" s="16">
        <v>2.8695652173913042</v>
      </c>
      <c r="J95" s="16">
        <v>3.0570342205323193</v>
      </c>
      <c r="K95" s="16">
        <v>2.9950000000000001</v>
      </c>
    </row>
    <row r="97" spans="1:7" x14ac:dyDescent="0.3">
      <c r="E97" s="9">
        <f>ROUND(GETPIVOTDATA("Customer_Rating",$G$89),1)</f>
        <v>3</v>
      </c>
    </row>
    <row r="98" spans="1:7" x14ac:dyDescent="0.3">
      <c r="B98">
        <f>GETPIVOTDATA("Customer_Rating",$A$89)</f>
        <v>800</v>
      </c>
    </row>
    <row r="101" spans="1:7" x14ac:dyDescent="0.3">
      <c r="A101" s="5" t="s">
        <v>15</v>
      </c>
      <c r="B101" t="s">
        <v>34</v>
      </c>
      <c r="C101" t="s">
        <v>17</v>
      </c>
      <c r="G101" t="s">
        <v>36</v>
      </c>
    </row>
    <row r="102" spans="1:7" x14ac:dyDescent="0.3">
      <c r="A102" s="6" t="s">
        <v>13</v>
      </c>
      <c r="B102" s="16">
        <v>215</v>
      </c>
      <c r="C102" s="16">
        <v>42100</v>
      </c>
      <c r="G102" s="16">
        <v>1582</v>
      </c>
    </row>
    <row r="103" spans="1:7" x14ac:dyDescent="0.3">
      <c r="A103" s="6" t="s">
        <v>14</v>
      </c>
      <c r="B103" s="16">
        <v>193</v>
      </c>
      <c r="C103" s="16">
        <v>29760</v>
      </c>
      <c r="G103">
        <f>G102</f>
        <v>1582</v>
      </c>
    </row>
    <row r="104" spans="1:7" x14ac:dyDescent="0.3">
      <c r="A104" s="6" t="s">
        <v>11</v>
      </c>
      <c r="B104" s="16">
        <v>205</v>
      </c>
      <c r="C104" s="16">
        <v>25080</v>
      </c>
    </row>
    <row r="105" spans="1:7" x14ac:dyDescent="0.3">
      <c r="A105" s="6" t="s">
        <v>9</v>
      </c>
      <c r="B105" s="16">
        <v>187</v>
      </c>
      <c r="C105" s="16">
        <v>14840</v>
      </c>
    </row>
    <row r="106" spans="1:7" x14ac:dyDescent="0.3">
      <c r="A106" s="6" t="s">
        <v>16</v>
      </c>
      <c r="B106" s="16">
        <v>800</v>
      </c>
      <c r="C106" s="16">
        <v>111780</v>
      </c>
      <c r="G106" t="s">
        <v>37</v>
      </c>
    </row>
    <row r="107" spans="1:7" x14ac:dyDescent="0.3">
      <c r="G107" s="16">
        <v>800</v>
      </c>
    </row>
    <row r="108" spans="1:7" x14ac:dyDescent="0.3">
      <c r="G108">
        <f>G107</f>
        <v>800</v>
      </c>
    </row>
    <row r="110" spans="1:7" x14ac:dyDescent="0.3">
      <c r="B110" s="7">
        <f>ROUND(GETPIVOTDATA("Sum of Total_Amount",$A$101)/GETPIVOTDATA("Count of Customer_Rating",$A$101),0)</f>
        <v>140</v>
      </c>
      <c r="G110">
        <f>G108</f>
        <v>800</v>
      </c>
    </row>
  </sheetData>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D692A-F360-42E1-9E22-8EBDAE57EEAB}">
  <dimension ref="A1:AG53"/>
  <sheetViews>
    <sheetView showGridLines="0" zoomScale="41" workbookViewId="0">
      <selection activeCell="H43" sqref="H43"/>
    </sheetView>
  </sheetViews>
  <sheetFormatPr defaultRowHeight="14" x14ac:dyDescent="0.3"/>
  <sheetData>
    <row r="1" spans="1:33" x14ac:dyDescent="0.3">
      <c r="A1" s="10"/>
      <c r="B1" s="10"/>
      <c r="C1" s="10"/>
      <c r="D1" s="10"/>
      <c r="E1" s="10"/>
      <c r="F1" s="10"/>
      <c r="G1" s="10"/>
      <c r="H1" s="10"/>
      <c r="I1" s="10"/>
      <c r="J1" s="10"/>
      <c r="K1" s="10"/>
      <c r="L1" s="10"/>
      <c r="M1" s="12"/>
      <c r="N1" s="12"/>
      <c r="O1" s="12"/>
      <c r="P1" s="12"/>
      <c r="Q1" s="12"/>
      <c r="R1" s="12"/>
      <c r="S1" s="12"/>
      <c r="T1" s="12"/>
      <c r="U1" s="13"/>
      <c r="V1" s="13"/>
      <c r="W1" s="13"/>
      <c r="X1" s="13"/>
      <c r="Y1" s="13"/>
      <c r="Z1" s="13"/>
      <c r="AA1" s="13"/>
      <c r="AB1" s="13"/>
      <c r="AC1" s="13"/>
      <c r="AD1" s="13"/>
      <c r="AE1" s="13"/>
      <c r="AF1" s="13"/>
      <c r="AG1" s="13"/>
    </row>
    <row r="2" spans="1:33" x14ac:dyDescent="0.3">
      <c r="A2" s="10"/>
      <c r="B2" s="10"/>
      <c r="C2" s="10"/>
      <c r="D2" s="10"/>
      <c r="E2" s="10"/>
      <c r="F2" s="10"/>
      <c r="G2" s="10"/>
      <c r="H2" s="10"/>
      <c r="I2" s="10"/>
      <c r="J2" s="10"/>
      <c r="K2" s="10"/>
      <c r="L2" s="10"/>
      <c r="M2" s="12"/>
      <c r="N2" s="12"/>
      <c r="O2" s="12"/>
      <c r="P2" s="12"/>
      <c r="Q2" s="12"/>
      <c r="R2" s="12"/>
      <c r="S2" s="12"/>
      <c r="T2" s="12"/>
      <c r="U2" s="13"/>
      <c r="V2" s="13"/>
      <c r="W2" s="13"/>
      <c r="X2" s="13"/>
      <c r="Y2" s="13"/>
      <c r="Z2" s="13"/>
      <c r="AA2" s="13"/>
      <c r="AB2" s="13"/>
      <c r="AC2" s="13"/>
      <c r="AD2" s="13"/>
      <c r="AE2" s="13"/>
      <c r="AF2" s="13"/>
      <c r="AG2" s="13"/>
    </row>
    <row r="3" spans="1:33" ht="25" x14ac:dyDescent="0.5">
      <c r="A3" s="10"/>
      <c r="B3" s="10"/>
      <c r="C3" s="10"/>
      <c r="D3" s="10"/>
      <c r="E3" s="11"/>
      <c r="F3" s="11"/>
      <c r="G3" s="11"/>
      <c r="H3" s="11"/>
      <c r="I3" s="11"/>
      <c r="J3" s="11"/>
      <c r="K3" s="11"/>
      <c r="L3" s="11"/>
      <c r="M3" s="14"/>
      <c r="N3" s="14"/>
      <c r="O3" s="12"/>
      <c r="P3" s="12"/>
      <c r="Q3" s="12"/>
      <c r="R3" s="12"/>
      <c r="S3" s="12"/>
      <c r="T3" s="12"/>
      <c r="U3" s="13"/>
      <c r="V3" s="13"/>
      <c r="W3" s="13"/>
      <c r="X3" s="13"/>
      <c r="Y3" s="13"/>
      <c r="Z3" s="13"/>
      <c r="AA3" s="13"/>
      <c r="AB3" s="13"/>
      <c r="AC3" s="13"/>
      <c r="AD3" s="13"/>
      <c r="AE3" s="13"/>
      <c r="AF3" s="13"/>
      <c r="AG3" s="13"/>
    </row>
    <row r="4" spans="1:33" x14ac:dyDescent="0.3">
      <c r="A4" s="10"/>
      <c r="B4" s="10"/>
      <c r="C4" s="10"/>
      <c r="D4" s="10"/>
      <c r="E4" s="10"/>
      <c r="F4" s="10"/>
      <c r="G4" s="10"/>
      <c r="H4" s="10"/>
      <c r="I4" s="10"/>
      <c r="J4" s="10"/>
      <c r="K4" s="10"/>
      <c r="L4" s="10"/>
      <c r="M4" s="12"/>
      <c r="N4" s="12"/>
      <c r="O4" s="12"/>
      <c r="P4" s="12"/>
      <c r="Q4" s="12"/>
      <c r="R4" s="12"/>
      <c r="S4" s="12"/>
      <c r="T4" s="12"/>
      <c r="U4" s="15"/>
      <c r="V4" s="13"/>
      <c r="W4" s="13"/>
      <c r="X4" s="13"/>
      <c r="Y4" s="13"/>
      <c r="Z4" s="13"/>
      <c r="AA4" s="13"/>
      <c r="AB4" s="13"/>
      <c r="AC4" s="13"/>
      <c r="AD4" s="13"/>
      <c r="AE4" s="13"/>
      <c r="AF4" s="13"/>
      <c r="AG4" s="13"/>
    </row>
    <row r="5" spans="1:33" x14ac:dyDescent="0.3">
      <c r="A5" s="10"/>
      <c r="B5" s="10"/>
      <c r="C5" s="10"/>
      <c r="D5" s="10"/>
      <c r="E5" s="10"/>
      <c r="F5" s="10"/>
      <c r="G5" s="10"/>
      <c r="H5" s="10"/>
      <c r="I5" s="10"/>
      <c r="J5" s="10"/>
      <c r="K5" s="10"/>
      <c r="L5" s="10"/>
      <c r="M5" s="12"/>
      <c r="N5" s="12"/>
      <c r="O5" s="12"/>
      <c r="P5" s="12"/>
      <c r="Q5" s="12"/>
      <c r="R5" s="12"/>
      <c r="S5" s="12"/>
      <c r="T5" s="12"/>
      <c r="U5" s="13"/>
      <c r="V5" s="13"/>
      <c r="W5" s="13"/>
      <c r="X5" s="13"/>
      <c r="Y5" s="13"/>
      <c r="Z5" s="13"/>
      <c r="AA5" s="13"/>
      <c r="AB5" s="13"/>
      <c r="AC5" s="13"/>
      <c r="AD5" s="13"/>
      <c r="AE5" s="13"/>
      <c r="AF5" s="13"/>
      <c r="AG5" s="13"/>
    </row>
    <row r="6" spans="1:33" x14ac:dyDescent="0.3">
      <c r="A6" s="10"/>
      <c r="B6" s="10"/>
      <c r="C6" s="10"/>
      <c r="D6" s="10"/>
      <c r="E6" s="10"/>
      <c r="F6" s="10"/>
      <c r="G6" s="10"/>
      <c r="H6" s="10"/>
      <c r="I6" s="10"/>
      <c r="J6" s="10"/>
      <c r="K6" s="10"/>
      <c r="L6" s="10"/>
      <c r="M6" s="12"/>
      <c r="N6" s="12"/>
      <c r="O6" s="12"/>
      <c r="P6" s="12"/>
      <c r="Q6" s="12"/>
      <c r="R6" s="12"/>
      <c r="S6" s="12"/>
      <c r="T6" s="12"/>
      <c r="U6" s="13"/>
      <c r="V6" s="13"/>
      <c r="W6" s="13"/>
      <c r="X6" s="13"/>
      <c r="Y6" s="13"/>
      <c r="Z6" s="13"/>
      <c r="AA6" s="13"/>
      <c r="AB6" s="13"/>
      <c r="AC6" s="13"/>
      <c r="AD6" s="13"/>
      <c r="AE6" s="13"/>
      <c r="AF6" s="13"/>
      <c r="AG6" s="13"/>
    </row>
    <row r="7" spans="1:33" x14ac:dyDescent="0.3">
      <c r="A7" s="10"/>
      <c r="B7" s="10"/>
      <c r="C7" s="10"/>
      <c r="D7" s="10"/>
      <c r="E7" s="10"/>
      <c r="F7" s="10"/>
      <c r="G7" s="10"/>
      <c r="H7" s="10"/>
      <c r="I7" s="10"/>
      <c r="J7" s="10"/>
      <c r="K7" s="10"/>
      <c r="L7" s="10"/>
      <c r="M7" s="12"/>
      <c r="N7" s="12"/>
      <c r="O7" s="12"/>
      <c r="P7" s="12"/>
      <c r="Q7" s="12"/>
      <c r="R7" s="12"/>
      <c r="S7" s="12"/>
      <c r="T7" s="12"/>
      <c r="U7" s="13"/>
      <c r="V7" s="13"/>
      <c r="W7" s="13"/>
      <c r="X7" s="13"/>
      <c r="Y7" s="13"/>
      <c r="Z7" s="13"/>
      <c r="AA7" s="13"/>
      <c r="AB7" s="13"/>
      <c r="AC7" s="13"/>
      <c r="AD7" s="13"/>
      <c r="AE7" s="13"/>
      <c r="AF7" s="13"/>
      <c r="AG7" s="13"/>
    </row>
    <row r="8" spans="1:33" x14ac:dyDescent="0.3">
      <c r="A8" s="10"/>
      <c r="B8" s="10"/>
      <c r="C8" s="10"/>
      <c r="D8" s="10"/>
      <c r="E8" s="10"/>
      <c r="F8" s="10"/>
      <c r="G8" s="10"/>
      <c r="H8" s="10"/>
      <c r="I8" s="10"/>
      <c r="J8" s="10"/>
      <c r="K8" s="10"/>
      <c r="L8" s="10"/>
      <c r="M8" s="12"/>
      <c r="N8" s="12"/>
      <c r="O8" s="12"/>
      <c r="P8" s="12"/>
      <c r="Q8" s="12"/>
      <c r="R8" s="12"/>
      <c r="S8" s="12"/>
      <c r="T8" s="12"/>
      <c r="U8" s="13"/>
      <c r="V8" s="13"/>
      <c r="W8" s="13"/>
      <c r="X8" s="13"/>
      <c r="Y8" s="13"/>
      <c r="Z8" s="13"/>
      <c r="AA8" s="13"/>
      <c r="AB8" s="13"/>
      <c r="AC8" s="13"/>
      <c r="AD8" s="13"/>
      <c r="AE8" s="13"/>
      <c r="AF8" s="13"/>
      <c r="AG8" s="13"/>
    </row>
    <row r="9" spans="1:33" x14ac:dyDescent="0.3">
      <c r="A9" s="10"/>
      <c r="B9" s="10"/>
      <c r="C9" s="10"/>
      <c r="D9" s="10"/>
      <c r="E9" s="10"/>
      <c r="F9" s="10"/>
      <c r="G9" s="10"/>
      <c r="H9" s="10"/>
      <c r="I9" s="10"/>
      <c r="J9" s="10"/>
      <c r="K9" s="10"/>
      <c r="L9" s="10"/>
      <c r="M9" s="12"/>
      <c r="N9" s="12"/>
      <c r="O9" s="12"/>
      <c r="P9" s="12"/>
      <c r="Q9" s="12"/>
      <c r="R9" s="12"/>
      <c r="S9" s="12"/>
      <c r="T9" s="12"/>
      <c r="U9" s="13"/>
      <c r="V9" s="13"/>
      <c r="W9" s="13"/>
      <c r="X9" s="13"/>
      <c r="Y9" s="13"/>
      <c r="Z9" s="13"/>
      <c r="AA9" s="13"/>
      <c r="AB9" s="13"/>
      <c r="AC9" s="13"/>
      <c r="AD9" s="13"/>
      <c r="AE9" s="13"/>
      <c r="AF9" s="13"/>
      <c r="AG9" s="13"/>
    </row>
    <row r="10" spans="1:33" x14ac:dyDescent="0.3">
      <c r="A10" s="10"/>
      <c r="B10" s="10"/>
      <c r="C10" s="10"/>
      <c r="D10" s="10"/>
      <c r="E10" s="10"/>
      <c r="F10" s="10"/>
      <c r="G10" s="10"/>
      <c r="H10" s="10"/>
      <c r="I10" s="10"/>
      <c r="J10" s="10"/>
      <c r="K10" s="10"/>
      <c r="L10" s="10"/>
      <c r="M10" s="12"/>
      <c r="N10" s="12"/>
      <c r="O10" s="12"/>
      <c r="P10" s="12"/>
      <c r="Q10" s="12"/>
      <c r="R10" s="12"/>
      <c r="S10" s="12"/>
      <c r="T10" s="12"/>
      <c r="U10" s="13"/>
      <c r="V10" s="13"/>
      <c r="W10" s="13"/>
      <c r="X10" s="13"/>
      <c r="Y10" s="13"/>
      <c r="Z10" s="13"/>
      <c r="AA10" s="13"/>
      <c r="AB10" s="13"/>
      <c r="AC10" s="13"/>
      <c r="AD10" s="13"/>
      <c r="AE10" s="13"/>
      <c r="AF10" s="13"/>
      <c r="AG10" s="13"/>
    </row>
    <row r="11" spans="1:33" x14ac:dyDescent="0.3">
      <c r="A11" s="10"/>
      <c r="B11" s="10"/>
      <c r="C11" s="10"/>
      <c r="D11" s="10"/>
      <c r="E11" s="10"/>
      <c r="F11" s="10"/>
      <c r="G11" s="10"/>
      <c r="H11" s="10"/>
      <c r="I11" s="10"/>
      <c r="J11" s="10"/>
      <c r="K11" s="10"/>
      <c r="L11" s="10"/>
      <c r="M11" s="12"/>
      <c r="N11" s="12"/>
      <c r="O11" s="12"/>
      <c r="P11" s="12"/>
      <c r="Q11" s="12"/>
      <c r="R11" s="12"/>
      <c r="S11" s="12"/>
      <c r="T11" s="12"/>
      <c r="U11" s="13"/>
      <c r="V11" s="13"/>
      <c r="W11" s="13"/>
      <c r="X11" s="13"/>
      <c r="Y11" s="13"/>
      <c r="Z11" s="13"/>
      <c r="AA11" s="13"/>
      <c r="AB11" s="13"/>
      <c r="AC11" s="13"/>
      <c r="AD11" s="13"/>
      <c r="AE11" s="13"/>
      <c r="AF11" s="13"/>
      <c r="AG11" s="13"/>
    </row>
    <row r="12" spans="1:33" x14ac:dyDescent="0.3">
      <c r="A12" s="10"/>
      <c r="B12" s="10"/>
      <c r="C12" s="10"/>
      <c r="D12" s="10"/>
      <c r="E12" s="10"/>
      <c r="F12" s="10"/>
      <c r="G12" s="10"/>
      <c r="H12" s="10"/>
      <c r="I12" s="10"/>
      <c r="J12" s="10"/>
      <c r="K12" s="10"/>
      <c r="L12" s="10"/>
      <c r="M12" s="12"/>
      <c r="N12" s="12"/>
      <c r="O12" s="12"/>
      <c r="P12" s="12"/>
      <c r="Q12" s="12"/>
      <c r="R12" s="12"/>
      <c r="S12" s="12"/>
      <c r="T12" s="12"/>
      <c r="U12" s="13"/>
      <c r="V12" s="13"/>
      <c r="W12" s="13"/>
      <c r="X12" s="13"/>
      <c r="Y12" s="13"/>
      <c r="Z12" s="13"/>
      <c r="AA12" s="13"/>
      <c r="AB12" s="13"/>
      <c r="AC12" s="13"/>
      <c r="AD12" s="13"/>
      <c r="AE12" s="13"/>
      <c r="AF12" s="13"/>
      <c r="AG12" s="13"/>
    </row>
    <row r="13" spans="1:33" x14ac:dyDescent="0.3">
      <c r="A13" s="10"/>
      <c r="B13" s="10"/>
      <c r="C13" s="10"/>
      <c r="D13" s="10"/>
      <c r="E13" s="10"/>
      <c r="F13" s="10"/>
      <c r="G13" s="10"/>
      <c r="H13" s="10"/>
      <c r="I13" s="10"/>
      <c r="J13" s="10"/>
      <c r="K13" s="10"/>
      <c r="L13" s="10"/>
      <c r="M13" s="12"/>
      <c r="N13" s="12"/>
      <c r="O13" s="12"/>
      <c r="P13" s="12"/>
      <c r="Q13" s="12"/>
      <c r="R13" s="12"/>
      <c r="S13" s="12"/>
      <c r="T13" s="12"/>
      <c r="U13" s="13"/>
      <c r="V13" s="13"/>
      <c r="W13" s="13"/>
      <c r="X13" s="13"/>
      <c r="Y13" s="13"/>
      <c r="Z13" s="13"/>
      <c r="AA13" s="13"/>
      <c r="AB13" s="13"/>
      <c r="AC13" s="13"/>
      <c r="AD13" s="13"/>
      <c r="AE13" s="13"/>
      <c r="AF13" s="13"/>
      <c r="AG13" s="13"/>
    </row>
    <row r="14" spans="1:33" x14ac:dyDescent="0.3">
      <c r="A14" s="10"/>
      <c r="B14" s="10"/>
      <c r="C14" s="10"/>
      <c r="D14" s="10"/>
      <c r="E14" s="10"/>
      <c r="F14" s="10"/>
      <c r="G14" s="10"/>
      <c r="H14" s="10"/>
      <c r="I14" s="10"/>
      <c r="J14" s="10"/>
      <c r="K14" s="10"/>
      <c r="L14" s="10"/>
      <c r="M14" s="12"/>
      <c r="N14" s="12"/>
      <c r="O14" s="12"/>
      <c r="P14" s="12"/>
      <c r="Q14" s="12"/>
      <c r="R14" s="12"/>
      <c r="S14" s="12"/>
      <c r="T14" s="12"/>
      <c r="U14" s="13"/>
      <c r="V14" s="13"/>
      <c r="W14" s="13"/>
      <c r="X14" s="13"/>
      <c r="Y14" s="13"/>
      <c r="Z14" s="13"/>
      <c r="AA14" s="13"/>
      <c r="AB14" s="13"/>
      <c r="AC14" s="13"/>
      <c r="AD14" s="13"/>
      <c r="AE14" s="13"/>
      <c r="AF14" s="13"/>
      <c r="AG14" s="13"/>
    </row>
    <row r="15" spans="1:33" x14ac:dyDescent="0.3">
      <c r="A15" s="10"/>
      <c r="B15" s="10"/>
      <c r="C15" s="10"/>
      <c r="D15" s="10"/>
      <c r="E15" s="10"/>
      <c r="F15" s="10"/>
      <c r="G15" s="10"/>
      <c r="H15" s="10"/>
      <c r="I15" s="10"/>
      <c r="J15" s="10"/>
      <c r="K15" s="10"/>
      <c r="L15" s="10"/>
      <c r="M15" s="12"/>
      <c r="N15" s="12"/>
      <c r="O15" s="12"/>
      <c r="P15" s="12"/>
      <c r="Q15" s="12"/>
      <c r="R15" s="12"/>
      <c r="S15" s="12"/>
      <c r="T15" s="12"/>
      <c r="U15" s="13"/>
      <c r="V15" s="13"/>
      <c r="W15" s="13"/>
      <c r="X15" s="13"/>
      <c r="Y15" s="13"/>
      <c r="Z15" s="13"/>
      <c r="AA15" s="13"/>
      <c r="AB15" s="13"/>
      <c r="AC15" s="13"/>
      <c r="AD15" s="13"/>
      <c r="AE15" s="13"/>
      <c r="AF15" s="13"/>
      <c r="AG15" s="13"/>
    </row>
    <row r="16" spans="1:33" x14ac:dyDescent="0.3">
      <c r="A16" s="10"/>
      <c r="B16" s="10"/>
      <c r="C16" s="10"/>
      <c r="D16" s="10"/>
      <c r="E16" s="10"/>
      <c r="F16" s="10"/>
      <c r="G16" s="10"/>
      <c r="H16" s="10"/>
      <c r="I16" s="10"/>
      <c r="J16" s="10"/>
      <c r="K16" s="10"/>
      <c r="L16" s="10"/>
      <c r="M16" s="12"/>
      <c r="N16" s="12"/>
      <c r="O16" s="12"/>
      <c r="P16" s="12"/>
      <c r="Q16" s="12"/>
      <c r="R16" s="12"/>
      <c r="S16" s="12"/>
      <c r="T16" s="12"/>
      <c r="U16" s="13"/>
      <c r="V16" s="13"/>
      <c r="W16" s="13"/>
      <c r="X16" s="13"/>
      <c r="Y16" s="13"/>
      <c r="Z16" s="13"/>
      <c r="AA16" s="13"/>
      <c r="AB16" s="13"/>
      <c r="AC16" s="13"/>
      <c r="AD16" s="13"/>
      <c r="AE16" s="13"/>
      <c r="AF16" s="13"/>
      <c r="AG16" s="13"/>
    </row>
    <row r="17" spans="1:33" x14ac:dyDescent="0.3">
      <c r="A17" s="10"/>
      <c r="B17" s="10"/>
      <c r="C17" s="10"/>
      <c r="D17" s="10"/>
      <c r="E17" s="10"/>
      <c r="F17" s="10"/>
      <c r="G17" s="10"/>
      <c r="H17" s="10"/>
      <c r="I17" s="10"/>
      <c r="J17" s="10"/>
      <c r="K17" s="10"/>
      <c r="L17" s="10"/>
      <c r="M17" s="12"/>
      <c r="N17" s="12"/>
      <c r="O17" s="12"/>
      <c r="P17" s="12"/>
      <c r="Q17" s="12"/>
      <c r="R17" s="12"/>
      <c r="S17" s="12"/>
      <c r="T17" s="12"/>
      <c r="U17" s="13"/>
      <c r="V17" s="13"/>
      <c r="W17" s="13"/>
      <c r="X17" s="13"/>
      <c r="Y17" s="13"/>
      <c r="Z17" s="13"/>
      <c r="AA17" s="13"/>
      <c r="AB17" s="13"/>
      <c r="AC17" s="13"/>
      <c r="AD17" s="13"/>
      <c r="AE17" s="13"/>
      <c r="AF17" s="13"/>
      <c r="AG17" s="13"/>
    </row>
    <row r="18" spans="1:33" x14ac:dyDescent="0.3">
      <c r="A18" s="10"/>
      <c r="B18" s="10"/>
      <c r="C18" s="10"/>
      <c r="D18" s="10"/>
      <c r="E18" s="10"/>
      <c r="F18" s="10"/>
      <c r="G18" s="10"/>
      <c r="H18" s="10"/>
      <c r="I18" s="10"/>
      <c r="J18" s="10"/>
      <c r="K18" s="10"/>
      <c r="L18" s="10"/>
      <c r="M18" s="12"/>
      <c r="N18" s="12"/>
      <c r="O18" s="12"/>
      <c r="P18" s="12"/>
      <c r="Q18" s="12"/>
      <c r="R18" s="12"/>
      <c r="S18" s="12"/>
      <c r="T18" s="12"/>
      <c r="U18" s="13"/>
      <c r="V18" s="13"/>
      <c r="W18" s="13"/>
      <c r="X18" s="13"/>
      <c r="Y18" s="13"/>
      <c r="Z18" s="13"/>
      <c r="AA18" s="13"/>
      <c r="AB18" s="13"/>
      <c r="AC18" s="13"/>
      <c r="AD18" s="13"/>
      <c r="AE18" s="13"/>
      <c r="AF18" s="13"/>
      <c r="AG18" s="13"/>
    </row>
    <row r="19" spans="1:33" x14ac:dyDescent="0.3">
      <c r="A19" s="10"/>
      <c r="B19" s="10"/>
      <c r="C19" s="10"/>
      <c r="D19" s="10"/>
      <c r="E19" s="10"/>
      <c r="F19" s="10"/>
      <c r="G19" s="10"/>
      <c r="H19" s="10"/>
      <c r="I19" s="10"/>
      <c r="J19" s="10"/>
      <c r="K19" s="10"/>
      <c r="L19" s="10"/>
      <c r="M19" s="12"/>
      <c r="N19" s="12"/>
      <c r="O19" s="12"/>
      <c r="P19" s="12"/>
      <c r="Q19" s="12"/>
      <c r="R19" s="12"/>
      <c r="S19" s="12"/>
      <c r="T19" s="12"/>
      <c r="U19" s="13"/>
      <c r="V19" s="13"/>
      <c r="W19" s="13"/>
      <c r="X19" s="13"/>
      <c r="Y19" s="13"/>
      <c r="Z19" s="13"/>
      <c r="AA19" s="13"/>
      <c r="AB19" s="13"/>
      <c r="AC19" s="13"/>
      <c r="AD19" s="13"/>
      <c r="AE19" s="13"/>
      <c r="AF19" s="13"/>
      <c r="AG19" s="13"/>
    </row>
    <row r="20" spans="1:33" x14ac:dyDescent="0.3">
      <c r="A20" s="10"/>
      <c r="B20" s="10"/>
      <c r="C20" s="10"/>
      <c r="D20" s="10"/>
      <c r="E20" s="10"/>
      <c r="F20" s="10"/>
      <c r="G20" s="10"/>
      <c r="H20" s="10"/>
      <c r="I20" s="10"/>
      <c r="J20" s="10"/>
      <c r="K20" s="10"/>
      <c r="L20" s="10"/>
      <c r="M20" s="12"/>
      <c r="N20" s="12"/>
      <c r="O20" s="12"/>
      <c r="P20" s="12"/>
      <c r="Q20" s="12"/>
      <c r="R20" s="12"/>
      <c r="S20" s="12"/>
      <c r="T20" s="12"/>
      <c r="U20" s="13"/>
      <c r="V20" s="13"/>
      <c r="W20" s="13"/>
      <c r="X20" s="13"/>
      <c r="Y20" s="13"/>
      <c r="Z20" s="13"/>
      <c r="AA20" s="13"/>
      <c r="AB20" s="13"/>
      <c r="AC20" s="13"/>
      <c r="AD20" s="13"/>
      <c r="AE20" s="13"/>
      <c r="AF20" s="13"/>
      <c r="AG20" s="13"/>
    </row>
    <row r="21" spans="1:33" x14ac:dyDescent="0.3">
      <c r="A21" s="10"/>
      <c r="B21" s="10"/>
      <c r="C21" s="10"/>
      <c r="D21" s="10"/>
      <c r="E21" s="10"/>
      <c r="F21" s="10"/>
      <c r="G21" s="10"/>
      <c r="H21" s="10"/>
      <c r="I21" s="10"/>
      <c r="J21" s="10"/>
      <c r="K21" s="10"/>
      <c r="L21" s="10"/>
      <c r="M21" s="12"/>
      <c r="N21" s="12"/>
      <c r="O21" s="12"/>
      <c r="P21" s="12"/>
      <c r="Q21" s="12"/>
      <c r="R21" s="12"/>
      <c r="S21" s="12"/>
      <c r="T21" s="12"/>
      <c r="U21" s="13"/>
      <c r="V21" s="13"/>
      <c r="W21" s="13"/>
      <c r="X21" s="13"/>
      <c r="Y21" s="13"/>
      <c r="Z21" s="13"/>
      <c r="AA21" s="13"/>
      <c r="AB21" s="13"/>
      <c r="AC21" s="13"/>
      <c r="AD21" s="13"/>
      <c r="AE21" s="13"/>
      <c r="AF21" s="13"/>
      <c r="AG21" s="13"/>
    </row>
    <row r="22" spans="1:33" x14ac:dyDescent="0.3">
      <c r="A22" s="10"/>
      <c r="B22" s="10"/>
      <c r="C22" s="10"/>
      <c r="D22" s="10"/>
      <c r="E22" s="10"/>
      <c r="F22" s="10"/>
      <c r="G22" s="10"/>
      <c r="H22" s="10"/>
      <c r="I22" s="10"/>
      <c r="J22" s="10"/>
      <c r="K22" s="10"/>
      <c r="L22" s="10"/>
      <c r="M22" s="12"/>
      <c r="N22" s="12"/>
      <c r="O22" s="12"/>
      <c r="P22" s="12"/>
      <c r="Q22" s="12"/>
      <c r="R22" s="12"/>
      <c r="S22" s="12"/>
      <c r="T22" s="12"/>
      <c r="U22" s="13"/>
      <c r="V22" s="13"/>
      <c r="W22" s="13"/>
      <c r="X22" s="13"/>
      <c r="Y22" s="13"/>
      <c r="Z22" s="13"/>
      <c r="AA22" s="13"/>
      <c r="AB22" s="13"/>
      <c r="AC22" s="13"/>
      <c r="AD22" s="13"/>
      <c r="AE22" s="13"/>
      <c r="AF22" s="13"/>
      <c r="AG22" s="13"/>
    </row>
    <row r="23" spans="1:33" x14ac:dyDescent="0.3">
      <c r="A23" s="10"/>
      <c r="B23" s="10"/>
      <c r="C23" s="10"/>
      <c r="D23" s="10"/>
      <c r="E23" s="10"/>
      <c r="F23" s="10"/>
      <c r="G23" s="10"/>
      <c r="H23" s="10"/>
      <c r="I23" s="10"/>
      <c r="J23" s="10"/>
      <c r="K23" s="10"/>
      <c r="L23" s="10"/>
      <c r="M23" s="12"/>
      <c r="N23" s="12"/>
      <c r="O23" s="12"/>
      <c r="P23" s="12"/>
      <c r="Q23" s="12"/>
      <c r="R23" s="12"/>
      <c r="S23" s="12"/>
      <c r="T23" s="12"/>
      <c r="U23" s="13"/>
      <c r="V23" s="13"/>
      <c r="W23" s="13"/>
      <c r="X23" s="13"/>
      <c r="Y23" s="13"/>
      <c r="Z23" s="13"/>
      <c r="AA23" s="13"/>
      <c r="AB23" s="13"/>
      <c r="AC23" s="13"/>
      <c r="AD23" s="13"/>
      <c r="AE23" s="13"/>
      <c r="AF23" s="13"/>
      <c r="AG23" s="13"/>
    </row>
    <row r="24" spans="1:33" x14ac:dyDescent="0.3">
      <c r="A24" s="10"/>
      <c r="B24" s="10"/>
      <c r="C24" s="10"/>
      <c r="D24" s="10"/>
      <c r="E24" s="10"/>
      <c r="F24" s="10"/>
      <c r="G24" s="10"/>
      <c r="H24" s="10"/>
      <c r="I24" s="10"/>
      <c r="J24" s="10"/>
      <c r="K24" s="10"/>
      <c r="L24" s="10"/>
      <c r="M24" s="12"/>
      <c r="N24" s="12"/>
      <c r="O24" s="12"/>
      <c r="P24" s="12"/>
      <c r="Q24" s="12"/>
      <c r="R24" s="12"/>
      <c r="S24" s="12"/>
      <c r="T24" s="12"/>
      <c r="U24" s="13"/>
      <c r="V24" s="13"/>
      <c r="W24" s="13"/>
      <c r="X24" s="13"/>
      <c r="Y24" s="13"/>
      <c r="Z24" s="13"/>
      <c r="AA24" s="13"/>
      <c r="AB24" s="13"/>
      <c r="AC24" s="13"/>
      <c r="AD24" s="13"/>
      <c r="AE24" s="13"/>
      <c r="AF24" s="13"/>
      <c r="AG24" s="13"/>
    </row>
    <row r="25" spans="1:33" x14ac:dyDescent="0.3">
      <c r="A25" s="10"/>
      <c r="B25" s="10"/>
      <c r="C25" s="10"/>
      <c r="D25" s="10"/>
      <c r="E25" s="10"/>
      <c r="F25" s="10"/>
      <c r="G25" s="10"/>
      <c r="H25" s="10"/>
      <c r="I25" s="10"/>
      <c r="J25" s="10"/>
      <c r="K25" s="10"/>
      <c r="L25" s="10"/>
      <c r="M25" s="12"/>
      <c r="N25" s="12"/>
      <c r="O25" s="12"/>
      <c r="P25" s="12"/>
      <c r="Q25" s="12"/>
      <c r="R25" s="12"/>
      <c r="S25" s="12"/>
      <c r="T25" s="12"/>
      <c r="U25" s="13"/>
      <c r="V25" s="13"/>
      <c r="W25" s="13"/>
      <c r="X25" s="13"/>
      <c r="Y25" s="13"/>
      <c r="Z25" s="13"/>
      <c r="AA25" s="13"/>
      <c r="AB25" s="13"/>
      <c r="AC25" s="13"/>
      <c r="AD25" s="13"/>
      <c r="AE25" s="13"/>
      <c r="AF25" s="13"/>
      <c r="AG25" s="13"/>
    </row>
    <row r="26" spans="1:33" x14ac:dyDescent="0.3">
      <c r="A26" s="10"/>
      <c r="B26" s="10"/>
      <c r="C26" s="10"/>
      <c r="D26" s="10"/>
      <c r="E26" s="10"/>
      <c r="F26" s="10"/>
      <c r="G26" s="10"/>
      <c r="H26" s="10"/>
      <c r="I26" s="10"/>
      <c r="J26" s="10"/>
      <c r="K26" s="10"/>
      <c r="L26" s="10"/>
      <c r="M26" s="12"/>
      <c r="N26" s="12"/>
      <c r="O26" s="12"/>
      <c r="P26" s="12"/>
      <c r="Q26" s="12"/>
      <c r="R26" s="12"/>
      <c r="S26" s="12"/>
      <c r="T26" s="12"/>
      <c r="U26" s="13"/>
      <c r="V26" s="13"/>
      <c r="W26" s="13"/>
      <c r="X26" s="13"/>
      <c r="Y26" s="13"/>
      <c r="Z26" s="13"/>
      <c r="AA26" s="13"/>
      <c r="AB26" s="13"/>
      <c r="AC26" s="13"/>
      <c r="AD26" s="13"/>
      <c r="AE26" s="13"/>
      <c r="AF26" s="13"/>
      <c r="AG26" s="13"/>
    </row>
    <row r="27" spans="1:33" x14ac:dyDescent="0.3">
      <c r="A27" s="10"/>
      <c r="B27" s="10"/>
      <c r="C27" s="10"/>
      <c r="D27" s="10"/>
      <c r="E27" s="10"/>
      <c r="F27" s="10"/>
      <c r="G27" s="10"/>
      <c r="H27" s="10"/>
      <c r="I27" s="10"/>
      <c r="J27" s="10"/>
      <c r="K27" s="10"/>
      <c r="L27" s="10"/>
      <c r="M27" s="12"/>
      <c r="N27" s="12"/>
      <c r="O27" s="12"/>
      <c r="P27" s="12"/>
      <c r="Q27" s="12"/>
      <c r="R27" s="12"/>
      <c r="S27" s="12"/>
      <c r="T27" s="12"/>
      <c r="U27" s="13"/>
      <c r="V27" s="13"/>
      <c r="W27" s="13"/>
      <c r="X27" s="13"/>
      <c r="Y27" s="13"/>
      <c r="Z27" s="13"/>
      <c r="AA27" s="13"/>
      <c r="AB27" s="13"/>
      <c r="AC27" s="13"/>
      <c r="AD27" s="13"/>
      <c r="AE27" s="13"/>
      <c r="AF27" s="13"/>
      <c r="AG27" s="13"/>
    </row>
    <row r="28" spans="1:33" x14ac:dyDescent="0.3">
      <c r="A28" s="10"/>
      <c r="B28" s="10"/>
      <c r="C28" s="10"/>
      <c r="D28" s="10"/>
      <c r="E28" s="10"/>
      <c r="F28" s="10"/>
      <c r="G28" s="10"/>
      <c r="H28" s="10"/>
      <c r="I28" s="10"/>
      <c r="J28" s="10"/>
      <c r="K28" s="10"/>
      <c r="L28" s="10"/>
      <c r="M28" s="12"/>
      <c r="N28" s="12"/>
      <c r="O28" s="12"/>
      <c r="P28" s="12"/>
      <c r="Q28" s="12"/>
      <c r="R28" s="12"/>
      <c r="S28" s="12"/>
      <c r="T28" s="12"/>
      <c r="U28" s="13"/>
      <c r="V28" s="13"/>
      <c r="W28" s="13"/>
      <c r="X28" s="13"/>
      <c r="Y28" s="13"/>
      <c r="Z28" s="13"/>
      <c r="AA28" s="13"/>
      <c r="AB28" s="13"/>
      <c r="AC28" s="13"/>
      <c r="AD28" s="13"/>
      <c r="AE28" s="13"/>
      <c r="AF28" s="13"/>
      <c r="AG28" s="13"/>
    </row>
    <row r="29" spans="1:33" x14ac:dyDescent="0.3">
      <c r="A29" s="10"/>
      <c r="B29" s="10"/>
      <c r="C29" s="10"/>
      <c r="D29" s="10"/>
      <c r="E29" s="10"/>
      <c r="F29" s="10"/>
      <c r="G29" s="10"/>
      <c r="H29" s="10"/>
      <c r="I29" s="10"/>
      <c r="J29" s="10"/>
      <c r="K29" s="10"/>
      <c r="L29" s="10"/>
      <c r="M29" s="12"/>
      <c r="N29" s="12"/>
      <c r="O29" s="12"/>
      <c r="P29" s="12"/>
      <c r="Q29" s="12"/>
      <c r="R29" s="12"/>
      <c r="S29" s="12"/>
      <c r="T29" s="12"/>
      <c r="U29" s="13"/>
      <c r="V29" s="13"/>
      <c r="W29" s="13"/>
      <c r="X29" s="13"/>
      <c r="Y29" s="13"/>
      <c r="Z29" s="13"/>
      <c r="AA29" s="13"/>
      <c r="AB29" s="13"/>
      <c r="AC29" s="13"/>
      <c r="AD29" s="13"/>
      <c r="AE29" s="13"/>
      <c r="AF29" s="13"/>
      <c r="AG29" s="13"/>
    </row>
    <row r="30" spans="1:33" x14ac:dyDescent="0.3">
      <c r="A30" s="10"/>
      <c r="B30" s="10"/>
      <c r="C30" s="10"/>
      <c r="D30" s="10"/>
      <c r="E30" s="10"/>
      <c r="F30" s="10"/>
      <c r="G30" s="10"/>
      <c r="H30" s="10"/>
      <c r="I30" s="10"/>
      <c r="J30" s="10"/>
      <c r="K30" s="10"/>
      <c r="L30" s="10"/>
      <c r="M30" s="12"/>
      <c r="N30" s="12"/>
      <c r="O30" s="12"/>
      <c r="P30" s="12"/>
      <c r="Q30" s="12"/>
      <c r="R30" s="12"/>
      <c r="S30" s="12"/>
      <c r="T30" s="12"/>
      <c r="U30" s="13"/>
      <c r="V30" s="13"/>
      <c r="W30" s="13"/>
      <c r="X30" s="13"/>
      <c r="Y30" s="13"/>
      <c r="Z30" s="13"/>
      <c r="AA30" s="13"/>
      <c r="AB30" s="13"/>
      <c r="AC30" s="13"/>
      <c r="AD30" s="13"/>
      <c r="AE30" s="13"/>
      <c r="AF30" s="13"/>
      <c r="AG30" s="13"/>
    </row>
    <row r="31" spans="1:33" x14ac:dyDescent="0.3">
      <c r="A31" s="10"/>
      <c r="B31" s="10"/>
      <c r="C31" s="10"/>
      <c r="D31" s="10"/>
      <c r="E31" s="10"/>
      <c r="F31" s="10"/>
      <c r="G31" s="10"/>
      <c r="H31" s="10"/>
      <c r="I31" s="10"/>
      <c r="J31" s="10"/>
      <c r="K31" s="10"/>
      <c r="L31" s="10"/>
      <c r="M31" s="12"/>
      <c r="N31" s="12"/>
      <c r="O31" s="12"/>
      <c r="P31" s="12"/>
      <c r="Q31" s="12"/>
      <c r="R31" s="12"/>
      <c r="S31" s="12"/>
      <c r="T31" s="12"/>
      <c r="U31" s="13"/>
      <c r="V31" s="13"/>
      <c r="W31" s="13"/>
      <c r="X31" s="13"/>
      <c r="Y31" s="13"/>
      <c r="Z31" s="13"/>
      <c r="AA31" s="13"/>
      <c r="AB31" s="13"/>
      <c r="AC31" s="13"/>
      <c r="AD31" s="13"/>
      <c r="AE31" s="13"/>
      <c r="AF31" s="13"/>
      <c r="AG31" s="13"/>
    </row>
    <row r="32" spans="1:33" x14ac:dyDescent="0.3">
      <c r="A32" s="10"/>
      <c r="B32" s="10"/>
      <c r="C32" s="10"/>
      <c r="D32" s="10"/>
      <c r="E32" s="10"/>
      <c r="F32" s="10"/>
      <c r="G32" s="10"/>
      <c r="H32" s="10"/>
      <c r="I32" s="10"/>
      <c r="J32" s="10"/>
      <c r="K32" s="10"/>
      <c r="L32" s="10"/>
      <c r="M32" s="12"/>
      <c r="N32" s="12"/>
      <c r="O32" s="12"/>
      <c r="P32" s="12"/>
      <c r="Q32" s="12"/>
      <c r="R32" s="12"/>
      <c r="S32" s="12"/>
      <c r="T32" s="12"/>
      <c r="U32" s="13"/>
      <c r="V32" s="13"/>
      <c r="W32" s="13"/>
      <c r="X32" s="13"/>
      <c r="Y32" s="13"/>
      <c r="Z32" s="13"/>
      <c r="AA32" s="13"/>
      <c r="AB32" s="13"/>
      <c r="AC32" s="13"/>
      <c r="AD32" s="13"/>
      <c r="AE32" s="13"/>
      <c r="AF32" s="13"/>
      <c r="AG32" s="13"/>
    </row>
    <row r="33" spans="1:33" x14ac:dyDescent="0.3">
      <c r="A33" s="10"/>
      <c r="B33" s="10"/>
      <c r="C33" s="10"/>
      <c r="D33" s="10"/>
      <c r="E33" s="10"/>
      <c r="F33" s="10"/>
      <c r="G33" s="10"/>
      <c r="H33" s="10"/>
      <c r="I33" s="10"/>
      <c r="J33" s="10"/>
      <c r="K33" s="10"/>
      <c r="L33" s="10"/>
      <c r="M33" s="12"/>
      <c r="N33" s="12"/>
      <c r="O33" s="12"/>
      <c r="P33" s="12"/>
      <c r="Q33" s="12"/>
      <c r="R33" s="12"/>
      <c r="S33" s="12"/>
      <c r="T33" s="12"/>
      <c r="U33" s="13"/>
      <c r="V33" s="13"/>
      <c r="W33" s="13"/>
      <c r="X33" s="13"/>
      <c r="Y33" s="13"/>
      <c r="Z33" s="13"/>
      <c r="AA33" s="13"/>
      <c r="AB33" s="13"/>
      <c r="AC33" s="13"/>
      <c r="AD33" s="13"/>
      <c r="AE33" s="13"/>
      <c r="AF33" s="13"/>
      <c r="AG33" s="13"/>
    </row>
    <row r="34" spans="1:33" x14ac:dyDescent="0.3">
      <c r="A34" s="10"/>
      <c r="B34" s="10"/>
      <c r="C34" s="10"/>
      <c r="D34" s="10"/>
      <c r="E34" s="10"/>
      <c r="F34" s="10"/>
      <c r="G34" s="10"/>
      <c r="H34" s="10"/>
      <c r="I34" s="10"/>
      <c r="J34" s="10"/>
      <c r="K34" s="10"/>
      <c r="L34" s="10"/>
      <c r="M34" s="12"/>
      <c r="N34" s="12"/>
      <c r="O34" s="12"/>
      <c r="P34" s="12"/>
      <c r="Q34" s="12"/>
      <c r="R34" s="12"/>
      <c r="S34" s="12"/>
      <c r="T34" s="12"/>
      <c r="U34" s="13"/>
      <c r="V34" s="13"/>
      <c r="W34" s="13"/>
      <c r="X34" s="13"/>
      <c r="Y34" s="13"/>
      <c r="Z34" s="13"/>
      <c r="AA34" s="13"/>
      <c r="AB34" s="13"/>
      <c r="AC34" s="13"/>
      <c r="AD34" s="13"/>
      <c r="AE34" s="13"/>
      <c r="AF34" s="13"/>
      <c r="AG34" s="13"/>
    </row>
    <row r="35" spans="1:33" x14ac:dyDescent="0.3">
      <c r="A35" s="10"/>
      <c r="B35" s="10"/>
      <c r="C35" s="10"/>
      <c r="D35" s="10"/>
      <c r="E35" s="10"/>
      <c r="F35" s="10"/>
      <c r="G35" s="10"/>
      <c r="H35" s="10"/>
      <c r="I35" s="10"/>
      <c r="J35" s="10"/>
      <c r="K35" s="10"/>
      <c r="L35" s="10"/>
      <c r="M35" s="12"/>
      <c r="N35" s="12"/>
      <c r="O35" s="12"/>
      <c r="P35" s="12"/>
      <c r="Q35" s="12"/>
      <c r="R35" s="12"/>
      <c r="S35" s="12"/>
      <c r="T35" s="12"/>
      <c r="U35" s="13"/>
      <c r="V35" s="13"/>
      <c r="W35" s="13"/>
      <c r="X35" s="13"/>
      <c r="Y35" s="13"/>
      <c r="Z35" s="13"/>
      <c r="AA35" s="13"/>
      <c r="AB35" s="13"/>
      <c r="AC35" s="13"/>
      <c r="AD35" s="13"/>
      <c r="AE35" s="13"/>
      <c r="AF35" s="13"/>
      <c r="AG35" s="13"/>
    </row>
    <row r="36" spans="1:33" x14ac:dyDescent="0.3">
      <c r="A36" s="10"/>
      <c r="B36" s="10"/>
      <c r="C36" s="10"/>
      <c r="D36" s="10"/>
      <c r="E36" s="10"/>
      <c r="F36" s="10"/>
      <c r="G36" s="10"/>
      <c r="H36" s="10"/>
      <c r="I36" s="10"/>
      <c r="J36" s="10"/>
      <c r="K36" s="10"/>
      <c r="L36" s="10"/>
      <c r="M36" s="12"/>
      <c r="N36" s="12"/>
      <c r="O36" s="12"/>
      <c r="P36" s="12"/>
      <c r="Q36" s="12"/>
      <c r="R36" s="12"/>
      <c r="S36" s="12"/>
      <c r="T36" s="12"/>
      <c r="U36" s="13"/>
      <c r="V36" s="13"/>
      <c r="W36" s="13"/>
      <c r="X36" s="13"/>
      <c r="Y36" s="13"/>
      <c r="Z36" s="13"/>
      <c r="AA36" s="13"/>
      <c r="AB36" s="13"/>
      <c r="AC36" s="13"/>
      <c r="AD36" s="13"/>
      <c r="AE36" s="13"/>
      <c r="AF36" s="13"/>
      <c r="AG36" s="13"/>
    </row>
    <row r="37" spans="1:33" x14ac:dyDescent="0.3">
      <c r="A37" s="10"/>
      <c r="B37" s="10"/>
      <c r="C37" s="10"/>
      <c r="D37" s="10"/>
      <c r="E37" s="10"/>
      <c r="F37" s="10"/>
      <c r="G37" s="10"/>
      <c r="H37" s="10"/>
      <c r="I37" s="10"/>
      <c r="J37" s="10"/>
      <c r="K37" s="10"/>
      <c r="L37" s="10"/>
      <c r="M37" s="12"/>
      <c r="N37" s="12"/>
      <c r="O37" s="12"/>
      <c r="P37" s="12"/>
      <c r="Q37" s="12"/>
      <c r="R37" s="12"/>
      <c r="S37" s="12"/>
      <c r="T37" s="12"/>
      <c r="U37" s="13"/>
      <c r="V37" s="13"/>
      <c r="W37" s="13"/>
      <c r="X37" s="13"/>
      <c r="Y37" s="13"/>
      <c r="Z37" s="13"/>
      <c r="AA37" s="13"/>
      <c r="AB37" s="13"/>
      <c r="AC37" s="13"/>
      <c r="AD37" s="13"/>
      <c r="AE37" s="13"/>
      <c r="AF37" s="13"/>
      <c r="AG37" s="13"/>
    </row>
    <row r="38" spans="1:33" x14ac:dyDescent="0.3">
      <c r="A38" s="10"/>
      <c r="B38" s="10"/>
      <c r="C38" s="10"/>
      <c r="D38" s="10"/>
      <c r="E38" s="10"/>
      <c r="F38" s="10"/>
      <c r="G38" s="10"/>
      <c r="H38" s="10"/>
      <c r="I38" s="10"/>
      <c r="J38" s="10"/>
      <c r="K38" s="10"/>
      <c r="L38" s="10"/>
      <c r="M38" s="12"/>
      <c r="N38" s="12"/>
      <c r="O38" s="12"/>
      <c r="P38" s="12"/>
      <c r="Q38" s="12"/>
      <c r="R38" s="12"/>
      <c r="S38" s="12"/>
      <c r="T38" s="12"/>
      <c r="U38" s="13"/>
      <c r="V38" s="13"/>
      <c r="W38" s="13"/>
      <c r="X38" s="13"/>
      <c r="Y38" s="13"/>
      <c r="Z38" s="13"/>
      <c r="AA38" s="13"/>
      <c r="AB38" s="13"/>
      <c r="AC38" s="13"/>
      <c r="AD38" s="13"/>
      <c r="AE38" s="13"/>
      <c r="AF38" s="13"/>
      <c r="AG38" s="13"/>
    </row>
    <row r="39" spans="1:33" x14ac:dyDescent="0.3">
      <c r="A39" s="10"/>
      <c r="B39" s="10"/>
      <c r="C39" s="10"/>
      <c r="D39" s="10"/>
      <c r="E39" s="10"/>
      <c r="F39" s="10"/>
      <c r="G39" s="10"/>
      <c r="H39" s="10"/>
      <c r="I39" s="10"/>
      <c r="J39" s="10"/>
      <c r="K39" s="10"/>
      <c r="L39" s="10"/>
      <c r="M39" s="12"/>
      <c r="N39" s="12"/>
      <c r="O39" s="12"/>
      <c r="P39" s="12"/>
      <c r="Q39" s="12"/>
      <c r="R39" s="12"/>
      <c r="S39" s="12"/>
      <c r="T39" s="12"/>
      <c r="U39" s="13"/>
      <c r="V39" s="13"/>
      <c r="W39" s="13"/>
      <c r="X39" s="13"/>
      <c r="Y39" s="13"/>
      <c r="Z39" s="13"/>
      <c r="AA39" s="13"/>
      <c r="AB39" s="13"/>
      <c r="AC39" s="13"/>
      <c r="AD39" s="13"/>
      <c r="AE39" s="13"/>
      <c r="AF39" s="13"/>
      <c r="AG39" s="13"/>
    </row>
    <row r="40" spans="1:33" x14ac:dyDescent="0.3">
      <c r="A40" s="10"/>
      <c r="B40" s="10"/>
      <c r="C40" s="10"/>
      <c r="D40" s="10"/>
      <c r="E40" s="10"/>
      <c r="F40" s="10"/>
      <c r="G40" s="10"/>
      <c r="H40" s="10"/>
      <c r="I40" s="10"/>
      <c r="J40" s="10"/>
      <c r="K40" s="10"/>
      <c r="L40" s="10"/>
      <c r="M40" s="12"/>
      <c r="N40" s="12"/>
      <c r="O40" s="12"/>
      <c r="P40" s="12"/>
      <c r="Q40" s="12"/>
      <c r="R40" s="12"/>
      <c r="S40" s="12"/>
      <c r="T40" s="12"/>
      <c r="U40" s="13"/>
      <c r="V40" s="13"/>
      <c r="W40" s="13"/>
      <c r="X40" s="13"/>
      <c r="Y40" s="13"/>
      <c r="Z40" s="13"/>
      <c r="AA40" s="13"/>
      <c r="AB40" s="13"/>
      <c r="AC40" s="13"/>
      <c r="AD40" s="13"/>
      <c r="AE40" s="13"/>
      <c r="AF40" s="13"/>
      <c r="AG40" s="13"/>
    </row>
    <row r="41" spans="1:33" x14ac:dyDescent="0.3">
      <c r="A41" s="10"/>
      <c r="B41" s="10"/>
      <c r="C41" s="10"/>
      <c r="D41" s="10"/>
      <c r="E41" s="10"/>
      <c r="F41" s="10"/>
      <c r="G41" s="10"/>
      <c r="H41" s="10"/>
      <c r="I41" s="10"/>
      <c r="J41" s="10"/>
      <c r="K41" s="10"/>
      <c r="L41" s="10"/>
      <c r="M41" s="12"/>
      <c r="N41" s="12"/>
      <c r="O41" s="12"/>
      <c r="P41" s="12"/>
      <c r="Q41" s="12"/>
      <c r="R41" s="12"/>
      <c r="S41" s="12"/>
      <c r="T41" s="12"/>
      <c r="U41" s="13"/>
      <c r="V41" s="13"/>
      <c r="W41" s="13"/>
      <c r="X41" s="13"/>
      <c r="Y41" s="13"/>
      <c r="Z41" s="13"/>
      <c r="AA41" s="13"/>
      <c r="AB41" s="13"/>
      <c r="AC41" s="13"/>
      <c r="AD41" s="13"/>
      <c r="AE41" s="13"/>
      <c r="AF41" s="13"/>
      <c r="AG41" s="13"/>
    </row>
    <row r="42" spans="1:33" x14ac:dyDescent="0.3">
      <c r="A42" s="10"/>
      <c r="B42" s="10"/>
      <c r="C42" s="10"/>
      <c r="D42" s="10"/>
      <c r="E42" s="10"/>
      <c r="F42" s="10"/>
      <c r="G42" s="10"/>
      <c r="H42" s="10"/>
      <c r="I42" s="10"/>
      <c r="J42" s="10"/>
      <c r="K42" s="10"/>
      <c r="L42" s="10"/>
      <c r="M42" s="12"/>
      <c r="N42" s="12"/>
      <c r="O42" s="12"/>
      <c r="P42" s="12"/>
      <c r="Q42" s="12"/>
      <c r="R42" s="12"/>
      <c r="S42" s="12"/>
      <c r="T42" s="12"/>
      <c r="U42" s="13"/>
      <c r="V42" s="13"/>
      <c r="W42" s="13"/>
      <c r="X42" s="13"/>
      <c r="Y42" s="13"/>
      <c r="Z42" s="13"/>
      <c r="AA42" s="13"/>
      <c r="AB42" s="13"/>
      <c r="AC42" s="13"/>
      <c r="AD42" s="13"/>
      <c r="AE42" s="13"/>
      <c r="AF42" s="13"/>
      <c r="AG42" s="13"/>
    </row>
    <row r="43" spans="1:33" x14ac:dyDescent="0.3">
      <c r="A43" s="10"/>
      <c r="B43" s="10"/>
      <c r="C43" s="10"/>
      <c r="D43" s="10"/>
      <c r="E43" s="10"/>
      <c r="F43" s="10"/>
      <c r="G43" s="10"/>
      <c r="H43" s="10"/>
      <c r="I43" s="10"/>
      <c r="J43" s="10"/>
      <c r="K43" s="10"/>
      <c r="L43" s="10"/>
      <c r="M43" s="12"/>
      <c r="N43" s="12"/>
      <c r="O43" s="12"/>
      <c r="P43" s="12"/>
      <c r="Q43" s="12"/>
      <c r="R43" s="12"/>
      <c r="S43" s="12"/>
      <c r="T43" s="12"/>
      <c r="U43" s="13"/>
      <c r="V43" s="13"/>
      <c r="W43" s="13"/>
      <c r="X43" s="13"/>
      <c r="Y43" s="13"/>
      <c r="Z43" s="13"/>
      <c r="AA43" s="13"/>
      <c r="AB43" s="13"/>
      <c r="AC43" s="13"/>
      <c r="AD43" s="13"/>
      <c r="AE43" s="13"/>
      <c r="AF43" s="13"/>
      <c r="AG43" s="13"/>
    </row>
    <row r="44" spans="1:33" x14ac:dyDescent="0.3">
      <c r="A44" s="10"/>
      <c r="B44" s="10"/>
      <c r="C44" s="10"/>
      <c r="D44" s="10"/>
      <c r="E44" s="10"/>
      <c r="F44" s="10"/>
      <c r="G44" s="10"/>
      <c r="H44" s="10"/>
      <c r="I44" s="10"/>
      <c r="J44" s="10"/>
      <c r="K44" s="10"/>
      <c r="L44" s="10"/>
      <c r="M44" s="12"/>
      <c r="N44" s="12"/>
      <c r="O44" s="12"/>
      <c r="P44" s="12"/>
      <c r="Q44" s="12"/>
      <c r="R44" s="12"/>
      <c r="S44" s="12"/>
      <c r="T44" s="12"/>
      <c r="U44" s="13"/>
      <c r="V44" s="13"/>
      <c r="W44" s="13"/>
      <c r="X44" s="13"/>
      <c r="Y44" s="13"/>
      <c r="Z44" s="13"/>
      <c r="AA44" s="13"/>
      <c r="AB44" s="13"/>
      <c r="AC44" s="13"/>
      <c r="AD44" s="13"/>
      <c r="AE44" s="13"/>
      <c r="AF44" s="13"/>
      <c r="AG44" s="13"/>
    </row>
    <row r="45" spans="1:33" x14ac:dyDescent="0.3">
      <c r="A45" s="10"/>
      <c r="B45" s="10"/>
      <c r="C45" s="10"/>
      <c r="D45" s="10"/>
      <c r="E45" s="10"/>
      <c r="F45" s="10"/>
      <c r="G45" s="10"/>
      <c r="H45" s="10"/>
      <c r="I45" s="10"/>
      <c r="J45" s="10"/>
      <c r="K45" s="10"/>
      <c r="L45" s="10"/>
      <c r="M45" s="12"/>
      <c r="N45" s="12"/>
      <c r="O45" s="12"/>
      <c r="P45" s="12"/>
      <c r="Q45" s="12"/>
      <c r="R45" s="12"/>
      <c r="S45" s="12"/>
      <c r="T45" s="12"/>
      <c r="U45" s="13"/>
      <c r="V45" s="13"/>
      <c r="W45" s="13"/>
      <c r="X45" s="13"/>
      <c r="Y45" s="13"/>
      <c r="Z45" s="13"/>
      <c r="AA45" s="13"/>
      <c r="AB45" s="13"/>
      <c r="AC45" s="13"/>
      <c r="AD45" s="13"/>
      <c r="AE45" s="13"/>
      <c r="AF45" s="13"/>
      <c r="AG45" s="13"/>
    </row>
    <row r="46" spans="1:33" x14ac:dyDescent="0.3">
      <c r="A46" s="10"/>
      <c r="B46" s="10"/>
      <c r="C46" s="10"/>
      <c r="D46" s="10"/>
      <c r="E46" s="10"/>
      <c r="F46" s="10"/>
      <c r="G46" s="10"/>
      <c r="H46" s="10"/>
      <c r="I46" s="10"/>
      <c r="J46" s="10"/>
      <c r="K46" s="10"/>
      <c r="L46" s="10"/>
      <c r="M46" s="12"/>
      <c r="N46" s="12"/>
      <c r="O46" s="12"/>
      <c r="P46" s="12"/>
      <c r="Q46" s="12"/>
      <c r="R46" s="12"/>
      <c r="S46" s="12"/>
      <c r="T46" s="12"/>
      <c r="U46" s="13"/>
      <c r="V46" s="13"/>
      <c r="W46" s="13"/>
      <c r="X46" s="13"/>
      <c r="Y46" s="13"/>
      <c r="Z46" s="13"/>
      <c r="AA46" s="13"/>
      <c r="AB46" s="13"/>
      <c r="AC46" s="13"/>
      <c r="AD46" s="13"/>
      <c r="AE46" s="13"/>
      <c r="AF46" s="13"/>
      <c r="AG46" s="13"/>
    </row>
    <row r="47" spans="1:33" x14ac:dyDescent="0.3">
      <c r="A47" s="10"/>
      <c r="B47" s="10"/>
      <c r="C47" s="10"/>
      <c r="D47" s="10"/>
      <c r="E47" s="10"/>
      <c r="F47" s="10"/>
      <c r="G47" s="10"/>
      <c r="H47" s="10"/>
      <c r="I47" s="10"/>
      <c r="J47" s="10"/>
      <c r="K47" s="10"/>
      <c r="L47" s="10"/>
      <c r="M47" s="12"/>
      <c r="N47" s="12"/>
      <c r="O47" s="12"/>
      <c r="P47" s="12"/>
      <c r="Q47" s="12"/>
      <c r="R47" s="12"/>
      <c r="S47" s="12"/>
      <c r="T47" s="12"/>
      <c r="U47" s="13"/>
      <c r="V47" s="13"/>
      <c r="W47" s="13"/>
      <c r="X47" s="13"/>
      <c r="Y47" s="13"/>
      <c r="Z47" s="13"/>
      <c r="AA47" s="13"/>
      <c r="AB47" s="13"/>
      <c r="AC47" s="13"/>
      <c r="AD47" s="13"/>
      <c r="AE47" s="13"/>
      <c r="AF47" s="13"/>
      <c r="AG47" s="13"/>
    </row>
    <row r="48" spans="1:33" x14ac:dyDescent="0.3">
      <c r="A48" s="10"/>
      <c r="B48" s="10"/>
      <c r="C48" s="10"/>
      <c r="D48" s="10"/>
      <c r="E48" s="10"/>
      <c r="F48" s="10"/>
      <c r="G48" s="10"/>
      <c r="H48" s="10"/>
      <c r="I48" s="10"/>
      <c r="J48" s="10"/>
      <c r="K48" s="10"/>
      <c r="L48" s="10"/>
      <c r="M48" s="12"/>
      <c r="N48" s="12"/>
      <c r="O48" s="12"/>
      <c r="P48" s="12"/>
      <c r="Q48" s="12"/>
      <c r="R48" s="12"/>
      <c r="S48" s="12"/>
      <c r="T48" s="12"/>
      <c r="U48" s="13"/>
      <c r="V48" s="13"/>
      <c r="W48" s="13"/>
      <c r="X48" s="13"/>
      <c r="Y48" s="13"/>
      <c r="Z48" s="13"/>
      <c r="AA48" s="13"/>
      <c r="AB48" s="13"/>
      <c r="AC48" s="13"/>
      <c r="AD48" s="13"/>
      <c r="AE48" s="13"/>
      <c r="AF48" s="13"/>
      <c r="AG48" s="13"/>
    </row>
    <row r="49" spans="1:33" x14ac:dyDescent="0.3">
      <c r="A49" s="10"/>
      <c r="B49" s="10"/>
      <c r="C49" s="10"/>
      <c r="D49" s="10"/>
      <c r="E49" s="10"/>
      <c r="F49" s="10"/>
      <c r="G49" s="10"/>
      <c r="H49" s="10"/>
      <c r="I49" s="10"/>
      <c r="J49" s="10"/>
      <c r="K49" s="10"/>
      <c r="L49" s="10"/>
      <c r="M49" s="12"/>
      <c r="N49" s="12"/>
      <c r="O49" s="12"/>
      <c r="P49" s="12"/>
      <c r="Q49" s="12"/>
      <c r="R49" s="12"/>
      <c r="S49" s="12"/>
      <c r="T49" s="12"/>
      <c r="U49" s="13"/>
      <c r="V49" s="13"/>
      <c r="W49" s="13"/>
      <c r="X49" s="13"/>
      <c r="Y49" s="13"/>
      <c r="Z49" s="13"/>
      <c r="AA49" s="13"/>
      <c r="AB49" s="13"/>
      <c r="AC49" s="13"/>
      <c r="AD49" s="13"/>
      <c r="AE49" s="13"/>
      <c r="AF49" s="13"/>
      <c r="AG49" s="13"/>
    </row>
    <row r="50" spans="1:33" x14ac:dyDescent="0.3">
      <c r="A50" s="10"/>
      <c r="B50" s="10"/>
      <c r="C50" s="10"/>
      <c r="D50" s="10"/>
      <c r="E50" s="10"/>
      <c r="F50" s="10"/>
      <c r="G50" s="10"/>
      <c r="H50" s="10"/>
      <c r="I50" s="10"/>
      <c r="J50" s="10"/>
      <c r="K50" s="10"/>
      <c r="L50" s="10"/>
      <c r="M50" s="12"/>
      <c r="N50" s="12"/>
      <c r="O50" s="12"/>
      <c r="P50" s="12"/>
      <c r="Q50" s="12"/>
      <c r="R50" s="12"/>
      <c r="S50" s="12"/>
      <c r="T50" s="12"/>
      <c r="U50" s="13"/>
      <c r="V50" s="13"/>
      <c r="W50" s="13"/>
      <c r="X50" s="13"/>
      <c r="Y50" s="13"/>
      <c r="Z50" s="13"/>
      <c r="AA50" s="13"/>
      <c r="AB50" s="13"/>
      <c r="AC50" s="13"/>
      <c r="AD50" s="13"/>
      <c r="AE50" s="13"/>
      <c r="AF50" s="13"/>
      <c r="AG50" s="13"/>
    </row>
    <row r="51" spans="1:33" x14ac:dyDescent="0.3">
      <c r="A51" s="10"/>
      <c r="B51" s="10"/>
      <c r="C51" s="10"/>
      <c r="D51" s="10"/>
      <c r="E51" s="10"/>
      <c r="F51" s="10"/>
      <c r="G51" s="10"/>
      <c r="H51" s="10"/>
      <c r="I51" s="10"/>
      <c r="J51" s="10"/>
      <c r="K51" s="10"/>
      <c r="L51" s="10"/>
      <c r="M51" s="12"/>
      <c r="N51" s="12"/>
      <c r="O51" s="12"/>
      <c r="P51" s="12"/>
      <c r="Q51" s="12"/>
      <c r="R51" s="12"/>
      <c r="S51" s="12"/>
      <c r="T51" s="12"/>
      <c r="U51" s="13"/>
      <c r="V51" s="13"/>
      <c r="W51" s="13"/>
      <c r="X51" s="13"/>
      <c r="Y51" s="13"/>
      <c r="Z51" s="13"/>
      <c r="AA51" s="13"/>
      <c r="AB51" s="13"/>
      <c r="AC51" s="13"/>
      <c r="AD51" s="13"/>
      <c r="AE51" s="13"/>
      <c r="AF51" s="13"/>
      <c r="AG51" s="13"/>
    </row>
    <row r="52" spans="1:33" x14ac:dyDescent="0.3">
      <c r="M52" s="13"/>
      <c r="N52" s="13"/>
      <c r="O52" s="13"/>
      <c r="P52" s="13"/>
      <c r="Q52" s="13"/>
      <c r="R52" s="13"/>
      <c r="S52" s="13"/>
      <c r="T52" s="13"/>
      <c r="U52" s="13"/>
      <c r="V52" s="13"/>
      <c r="W52" s="13"/>
      <c r="X52" s="13"/>
      <c r="Y52" s="13"/>
      <c r="Z52" s="13"/>
      <c r="AA52" s="13"/>
      <c r="AB52" s="13"/>
      <c r="AC52" s="13"/>
      <c r="AD52" s="13"/>
      <c r="AE52" s="13"/>
      <c r="AF52" s="13"/>
      <c r="AG52" s="13"/>
    </row>
    <row r="53" spans="1:33" x14ac:dyDescent="0.3">
      <c r="M53" s="13"/>
      <c r="N53" s="13"/>
      <c r="O53" s="13"/>
      <c r="P53" s="13"/>
      <c r="Q53" s="13"/>
      <c r="R53" s="13"/>
      <c r="S53" s="13"/>
      <c r="T53" s="13"/>
      <c r="U53" s="13"/>
      <c r="V53" s="13"/>
      <c r="W53" s="13"/>
      <c r="X53" s="13"/>
      <c r="Y53" s="13"/>
      <c r="Z53" s="13"/>
      <c r="AA53" s="13"/>
      <c r="AB53" s="13"/>
      <c r="AC53" s="13"/>
      <c r="AD53" s="13"/>
      <c r="AE53" s="13"/>
      <c r="AF53" s="13"/>
      <c r="AG53"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D397C-DA6D-4A39-9F2E-5C45AD21C70F}">
  <dimension ref="A1:J801"/>
  <sheetViews>
    <sheetView tabSelected="1" zoomScale="10" workbookViewId="0"/>
  </sheetViews>
  <sheetFormatPr defaultRowHeight="14" x14ac:dyDescent="0.3"/>
  <cols>
    <col min="1" max="1" width="15" customWidth="1"/>
    <col min="2" max="2" width="12.6640625" customWidth="1"/>
    <col min="3" max="3" width="17.4140625" customWidth="1"/>
    <col min="4" max="4" width="18.25" customWidth="1"/>
    <col min="5" max="5" width="8.9140625" customWidth="1"/>
    <col min="6" max="6" width="10.6640625" customWidth="1"/>
    <col min="7" max="9" width="14" customWidth="1"/>
    <col min="10" max="10" width="17.25" customWidth="1"/>
    <col min="12" max="17" width="8"/>
  </cols>
  <sheetData>
    <row r="1" spans="1:10" x14ac:dyDescent="0.3">
      <c r="A1" s="3" t="s">
        <v>0</v>
      </c>
      <c r="B1" s="3" t="s">
        <v>1</v>
      </c>
      <c r="C1" s="3" t="s">
        <v>2</v>
      </c>
      <c r="D1" s="3" t="s">
        <v>3</v>
      </c>
      <c r="E1" s="3" t="s">
        <v>4</v>
      </c>
      <c r="F1" s="3" t="s">
        <v>5</v>
      </c>
      <c r="G1" s="3" t="s">
        <v>6</v>
      </c>
      <c r="H1" s="3" t="s">
        <v>19</v>
      </c>
      <c r="I1" s="3" t="s">
        <v>20</v>
      </c>
      <c r="J1" s="3" t="s">
        <v>7</v>
      </c>
    </row>
    <row r="2" spans="1:10" ht="15" x14ac:dyDescent="0.4">
      <c r="A2" s="1">
        <v>1001</v>
      </c>
      <c r="B2" s="2">
        <v>46075</v>
      </c>
      <c r="C2" s="1" t="s">
        <v>8</v>
      </c>
      <c r="D2" s="1" t="s">
        <v>9</v>
      </c>
      <c r="E2" s="4">
        <v>3</v>
      </c>
      <c r="F2" s="1" cm="1">
        <f t="array" ref="F2">_xlfn.IFS(D2="Tea", 40, D2="Coffee", 60, D2="Bakery", 100, D2="Beverages", 80)</f>
        <v>40</v>
      </c>
      <c r="G2" s="1">
        <f>E2*F2</f>
        <v>120</v>
      </c>
      <c r="H2" s="1" t="s">
        <v>21</v>
      </c>
      <c r="I2" s="1" t="s">
        <v>22</v>
      </c>
      <c r="J2" s="1">
        <v>2</v>
      </c>
    </row>
    <row r="3" spans="1:10" ht="15" x14ac:dyDescent="0.4">
      <c r="A3" s="1">
        <v>1002</v>
      </c>
      <c r="B3" s="2">
        <v>46033</v>
      </c>
      <c r="C3" s="1" t="s">
        <v>10</v>
      </c>
      <c r="D3" s="1" t="s">
        <v>11</v>
      </c>
      <c r="E3" s="4">
        <v>1</v>
      </c>
      <c r="F3" s="1" cm="1">
        <f t="array" ref="F3">_xlfn.IFS(D3="Tea", 40, D3="Coffee", 60, D3="Bakery", 100, D3="Beverages", 80)</f>
        <v>60</v>
      </c>
      <c r="G3" s="1">
        <f t="shared" ref="G3:G66" si="0">E3*F3</f>
        <v>60</v>
      </c>
      <c r="H3" s="1" t="s">
        <v>21</v>
      </c>
      <c r="I3" s="1" t="s">
        <v>23</v>
      </c>
      <c r="J3" s="1">
        <v>1</v>
      </c>
    </row>
    <row r="4" spans="1:10" ht="15" x14ac:dyDescent="0.4">
      <c r="A4" s="1">
        <v>1003</v>
      </c>
      <c r="B4" s="2">
        <v>46067</v>
      </c>
      <c r="C4" s="1" t="s">
        <v>10</v>
      </c>
      <c r="D4" s="1" t="s">
        <v>9</v>
      </c>
      <c r="E4" s="4">
        <v>1</v>
      </c>
      <c r="F4" s="1" cm="1">
        <f t="array" ref="F4">_xlfn.IFS(D4="Tea", 40, D4="Coffee", 60, D4="Bakery", 100, D4="Beverages", 80)</f>
        <v>40</v>
      </c>
      <c r="G4" s="1">
        <f t="shared" si="0"/>
        <v>40</v>
      </c>
      <c r="H4" s="1" t="s">
        <v>24</v>
      </c>
      <c r="I4" s="1" t="s">
        <v>22</v>
      </c>
      <c r="J4" s="1">
        <v>3</v>
      </c>
    </row>
    <row r="5" spans="1:10" ht="15" x14ac:dyDescent="0.4">
      <c r="A5" s="1">
        <v>1004</v>
      </c>
      <c r="B5" s="2">
        <v>46110</v>
      </c>
      <c r="C5" s="1" t="s">
        <v>8</v>
      </c>
      <c r="D5" s="1" t="s">
        <v>11</v>
      </c>
      <c r="E5" s="4">
        <v>3</v>
      </c>
      <c r="F5" s="1" cm="1">
        <f t="array" ref="F5">_xlfn.IFS(D5="Tea", 40, D5="Coffee", 60, D5="Bakery", 100, D5="Beverages", 80)</f>
        <v>60</v>
      </c>
      <c r="G5" s="1">
        <f t="shared" si="0"/>
        <v>180</v>
      </c>
      <c r="H5" s="1" t="s">
        <v>21</v>
      </c>
      <c r="I5" s="1" t="s">
        <v>23</v>
      </c>
      <c r="J5" s="1">
        <v>2</v>
      </c>
    </row>
    <row r="6" spans="1:10" ht="15" x14ac:dyDescent="0.4">
      <c r="A6" s="1">
        <v>1005</v>
      </c>
      <c r="B6" s="2">
        <v>46195</v>
      </c>
      <c r="C6" s="1" t="s">
        <v>12</v>
      </c>
      <c r="D6" s="1" t="s">
        <v>11</v>
      </c>
      <c r="E6" s="4">
        <v>2</v>
      </c>
      <c r="F6" s="1" cm="1">
        <f t="array" ref="F6">_xlfn.IFS(D6="Tea", 40, D6="Coffee", 60, D6="Bakery", 100, D6="Beverages", 80)</f>
        <v>60</v>
      </c>
      <c r="G6" s="1">
        <f t="shared" si="0"/>
        <v>120</v>
      </c>
      <c r="H6" s="1" t="s">
        <v>25</v>
      </c>
      <c r="I6" s="1" t="s">
        <v>22</v>
      </c>
      <c r="J6" s="1">
        <v>5</v>
      </c>
    </row>
    <row r="7" spans="1:10" ht="15" x14ac:dyDescent="0.4">
      <c r="A7" s="1">
        <v>1006</v>
      </c>
      <c r="B7" s="2">
        <v>46038</v>
      </c>
      <c r="C7" s="1" t="s">
        <v>12</v>
      </c>
      <c r="D7" s="1" t="s">
        <v>13</v>
      </c>
      <c r="E7" s="4">
        <v>2</v>
      </c>
      <c r="F7" s="1" cm="1">
        <f t="array" ref="F7">_xlfn.IFS(D7="Tea", 40, D7="Coffee", 60, D7="Bakery", 100, D7="Beverages", 80)</f>
        <v>100</v>
      </c>
      <c r="G7" s="1">
        <f t="shared" si="0"/>
        <v>200</v>
      </c>
      <c r="H7" s="1" t="s">
        <v>25</v>
      </c>
      <c r="I7" s="1" t="s">
        <v>23</v>
      </c>
      <c r="J7" s="1">
        <v>1</v>
      </c>
    </row>
    <row r="8" spans="1:10" ht="15" x14ac:dyDescent="0.4">
      <c r="A8" s="1">
        <v>1007</v>
      </c>
      <c r="B8" s="2">
        <v>46110</v>
      </c>
      <c r="C8" s="1" t="s">
        <v>12</v>
      </c>
      <c r="D8" s="1" t="s">
        <v>14</v>
      </c>
      <c r="E8" s="4">
        <v>1</v>
      </c>
      <c r="F8" s="1" cm="1">
        <f t="array" ref="F8">_xlfn.IFS(D8="Tea", 40, D8="Coffee", 60, D8="Bakery", 100, D8="Beverages", 80)</f>
        <v>80</v>
      </c>
      <c r="G8" s="1">
        <f t="shared" si="0"/>
        <v>80</v>
      </c>
      <c r="H8" s="1" t="s">
        <v>21</v>
      </c>
      <c r="I8" s="1" t="s">
        <v>22</v>
      </c>
      <c r="J8" s="1">
        <v>5</v>
      </c>
    </row>
    <row r="9" spans="1:10" ht="15" x14ac:dyDescent="0.4">
      <c r="A9" s="1">
        <v>1008</v>
      </c>
      <c r="B9" s="2">
        <v>46150</v>
      </c>
      <c r="C9" s="1" t="s">
        <v>12</v>
      </c>
      <c r="D9" s="1" t="s">
        <v>13</v>
      </c>
      <c r="E9" s="4">
        <v>3</v>
      </c>
      <c r="F9" s="1" cm="1">
        <f t="array" ref="F9">_xlfn.IFS(D9="Tea", 40, D9="Coffee", 60, D9="Bakery", 100, D9="Beverages", 80)</f>
        <v>100</v>
      </c>
      <c r="G9" s="1">
        <f t="shared" si="0"/>
        <v>300</v>
      </c>
      <c r="H9" s="1" t="s">
        <v>25</v>
      </c>
      <c r="I9" s="1" t="s">
        <v>23</v>
      </c>
      <c r="J9" s="1">
        <v>3</v>
      </c>
    </row>
    <row r="10" spans="1:10" ht="15" x14ac:dyDescent="0.4">
      <c r="A10" s="1">
        <v>1009</v>
      </c>
      <c r="B10" s="2">
        <v>46072</v>
      </c>
      <c r="C10" s="1" t="s">
        <v>10</v>
      </c>
      <c r="D10" s="1" t="s">
        <v>14</v>
      </c>
      <c r="E10" s="4">
        <v>2</v>
      </c>
      <c r="F10" s="1" cm="1">
        <f t="array" ref="F10">_xlfn.IFS(D10="Tea", 40, D10="Coffee", 60, D10="Bakery", 100, D10="Beverages", 80)</f>
        <v>80</v>
      </c>
      <c r="G10" s="1">
        <f t="shared" si="0"/>
        <v>160</v>
      </c>
      <c r="H10" s="1" t="s">
        <v>25</v>
      </c>
      <c r="I10" s="1" t="s">
        <v>26</v>
      </c>
      <c r="J10" s="1">
        <v>4</v>
      </c>
    </row>
    <row r="11" spans="1:10" ht="15" x14ac:dyDescent="0.4">
      <c r="A11" s="1">
        <v>1010</v>
      </c>
      <c r="B11" s="2">
        <v>46134</v>
      </c>
      <c r="C11" s="1" t="s">
        <v>8</v>
      </c>
      <c r="D11" s="1" t="s">
        <v>14</v>
      </c>
      <c r="E11" s="4">
        <v>2</v>
      </c>
      <c r="F11" s="1" cm="1">
        <f t="array" ref="F11">_xlfn.IFS(D11="Tea", 40, D11="Coffee", 60, D11="Bakery", 100, D11="Beverages", 80)</f>
        <v>80</v>
      </c>
      <c r="G11" s="1">
        <f t="shared" si="0"/>
        <v>160</v>
      </c>
      <c r="H11" s="1" t="s">
        <v>25</v>
      </c>
      <c r="I11" s="1" t="s">
        <v>22</v>
      </c>
      <c r="J11" s="1">
        <v>1</v>
      </c>
    </row>
    <row r="12" spans="1:10" ht="15" x14ac:dyDescent="0.4">
      <c r="A12" s="1">
        <v>1011</v>
      </c>
      <c r="B12" s="2">
        <v>46176</v>
      </c>
      <c r="C12" s="1" t="s">
        <v>8</v>
      </c>
      <c r="D12" s="1" t="s">
        <v>13</v>
      </c>
      <c r="E12" s="4">
        <v>3</v>
      </c>
      <c r="F12" s="1" cm="1">
        <f t="array" ref="F12">_xlfn.IFS(D12="Tea", 40, D12="Coffee", 60, D12="Bakery", 100, D12="Beverages", 80)</f>
        <v>100</v>
      </c>
      <c r="G12" s="1">
        <f t="shared" si="0"/>
        <v>300</v>
      </c>
      <c r="H12" s="1" t="s">
        <v>25</v>
      </c>
      <c r="I12" s="1" t="s">
        <v>22</v>
      </c>
      <c r="J12" s="1">
        <v>1</v>
      </c>
    </row>
    <row r="13" spans="1:10" ht="15" x14ac:dyDescent="0.4">
      <c r="A13" s="1">
        <v>1012</v>
      </c>
      <c r="B13" s="2">
        <v>46033</v>
      </c>
      <c r="C13" s="1" t="s">
        <v>8</v>
      </c>
      <c r="D13" s="1" t="s">
        <v>11</v>
      </c>
      <c r="E13" s="4">
        <v>3</v>
      </c>
      <c r="F13" s="1" cm="1">
        <f t="array" ref="F13">_xlfn.IFS(D13="Tea", 40, D13="Coffee", 60, D13="Bakery", 100, D13="Beverages", 80)</f>
        <v>60</v>
      </c>
      <c r="G13" s="1">
        <f t="shared" si="0"/>
        <v>180</v>
      </c>
      <c r="H13" s="1" t="s">
        <v>24</v>
      </c>
      <c r="I13" s="1" t="s">
        <v>22</v>
      </c>
      <c r="J13" s="1">
        <v>4</v>
      </c>
    </row>
    <row r="14" spans="1:10" ht="15" x14ac:dyDescent="0.4">
      <c r="A14" s="1">
        <v>1013</v>
      </c>
      <c r="B14" s="2">
        <v>46099</v>
      </c>
      <c r="C14" s="1" t="s">
        <v>8</v>
      </c>
      <c r="D14" s="1" t="s">
        <v>11</v>
      </c>
      <c r="E14" s="4">
        <v>3</v>
      </c>
      <c r="F14" s="1" cm="1">
        <f t="array" ref="F14">_xlfn.IFS(D14="Tea", 40, D14="Coffee", 60, D14="Bakery", 100, D14="Beverages", 80)</f>
        <v>60</v>
      </c>
      <c r="G14" s="1">
        <f t="shared" si="0"/>
        <v>180</v>
      </c>
      <c r="H14" s="1" t="s">
        <v>25</v>
      </c>
      <c r="I14" s="1" t="s">
        <v>22</v>
      </c>
      <c r="J14" s="1">
        <v>4</v>
      </c>
    </row>
    <row r="15" spans="1:10" ht="15" x14ac:dyDescent="0.4">
      <c r="A15" s="1">
        <v>1014</v>
      </c>
      <c r="B15" s="2">
        <v>46163</v>
      </c>
      <c r="C15" s="1" t="s">
        <v>10</v>
      </c>
      <c r="D15" s="1" t="s">
        <v>11</v>
      </c>
      <c r="E15" s="4">
        <v>2</v>
      </c>
      <c r="F15" s="1" cm="1">
        <f t="array" ref="F15">_xlfn.IFS(D15="Tea", 40, D15="Coffee", 60, D15="Bakery", 100, D15="Beverages", 80)</f>
        <v>60</v>
      </c>
      <c r="G15" s="1">
        <f t="shared" si="0"/>
        <v>120</v>
      </c>
      <c r="H15" s="1" t="s">
        <v>24</v>
      </c>
      <c r="I15" s="1" t="s">
        <v>22</v>
      </c>
      <c r="J15" s="1">
        <v>4</v>
      </c>
    </row>
    <row r="16" spans="1:10" ht="15" x14ac:dyDescent="0.4">
      <c r="A16" s="1">
        <v>1015</v>
      </c>
      <c r="B16" s="2">
        <v>46110</v>
      </c>
      <c r="C16" s="1" t="s">
        <v>12</v>
      </c>
      <c r="D16" s="1" t="s">
        <v>13</v>
      </c>
      <c r="E16" s="4">
        <v>3</v>
      </c>
      <c r="F16" s="1" cm="1">
        <f t="array" ref="F16">_xlfn.IFS(D16="Tea", 40, D16="Coffee", 60, D16="Bakery", 100, D16="Beverages", 80)</f>
        <v>100</v>
      </c>
      <c r="G16" s="1">
        <f t="shared" si="0"/>
        <v>300</v>
      </c>
      <c r="H16" s="1" t="s">
        <v>24</v>
      </c>
      <c r="I16" s="1" t="s">
        <v>23</v>
      </c>
      <c r="J16" s="1">
        <v>4</v>
      </c>
    </row>
    <row r="17" spans="1:10" ht="15" x14ac:dyDescent="0.4">
      <c r="A17" s="1">
        <v>1016</v>
      </c>
      <c r="B17" s="2">
        <v>46094</v>
      </c>
      <c r="C17" s="1" t="s">
        <v>12</v>
      </c>
      <c r="D17" s="1" t="s">
        <v>9</v>
      </c>
      <c r="E17" s="4">
        <v>2</v>
      </c>
      <c r="F17" s="1" cm="1">
        <f t="array" ref="F17">_xlfn.IFS(D17="Tea", 40, D17="Coffee", 60, D17="Bakery", 100, D17="Beverages", 80)</f>
        <v>40</v>
      </c>
      <c r="G17" s="1">
        <f t="shared" si="0"/>
        <v>80</v>
      </c>
      <c r="H17" s="1" t="s">
        <v>25</v>
      </c>
      <c r="I17" s="1" t="s">
        <v>22</v>
      </c>
      <c r="J17" s="1">
        <v>5</v>
      </c>
    </row>
    <row r="18" spans="1:10" ht="15" x14ac:dyDescent="0.4">
      <c r="A18" s="1">
        <v>1017</v>
      </c>
      <c r="B18" s="2">
        <v>46150</v>
      </c>
      <c r="C18" s="1" t="s">
        <v>8</v>
      </c>
      <c r="D18" s="1" t="s">
        <v>9</v>
      </c>
      <c r="E18" s="4">
        <v>3</v>
      </c>
      <c r="F18" s="1" cm="1">
        <f t="array" ref="F18">_xlfn.IFS(D18="Tea", 40, D18="Coffee", 60, D18="Bakery", 100, D18="Beverages", 80)</f>
        <v>40</v>
      </c>
      <c r="G18" s="1">
        <f t="shared" si="0"/>
        <v>120</v>
      </c>
      <c r="H18" s="1" t="s">
        <v>21</v>
      </c>
      <c r="I18" s="1" t="s">
        <v>26</v>
      </c>
      <c r="J18" s="1">
        <v>4</v>
      </c>
    </row>
    <row r="19" spans="1:10" ht="15" x14ac:dyDescent="0.4">
      <c r="A19" s="1">
        <v>1018</v>
      </c>
      <c r="B19" s="2">
        <v>46182</v>
      </c>
      <c r="C19" s="1" t="s">
        <v>8</v>
      </c>
      <c r="D19" s="1" t="s">
        <v>11</v>
      </c>
      <c r="E19" s="4">
        <v>1</v>
      </c>
      <c r="F19" s="1" cm="1">
        <f t="array" ref="F19">_xlfn.IFS(D19="Tea", 40, D19="Coffee", 60, D19="Bakery", 100, D19="Beverages", 80)</f>
        <v>60</v>
      </c>
      <c r="G19" s="1">
        <f t="shared" si="0"/>
        <v>60</v>
      </c>
      <c r="H19" s="1" t="s">
        <v>25</v>
      </c>
      <c r="I19" s="1" t="s">
        <v>26</v>
      </c>
      <c r="J19" s="1">
        <v>3</v>
      </c>
    </row>
    <row r="20" spans="1:10" ht="15" x14ac:dyDescent="0.4">
      <c r="A20" s="1">
        <v>1019</v>
      </c>
      <c r="B20" s="2">
        <v>46194</v>
      </c>
      <c r="C20" s="1" t="s">
        <v>10</v>
      </c>
      <c r="D20" s="1" t="s">
        <v>9</v>
      </c>
      <c r="E20" s="4">
        <v>2</v>
      </c>
      <c r="F20" s="1" cm="1">
        <f t="array" ref="F20">_xlfn.IFS(D20="Tea", 40, D20="Coffee", 60, D20="Bakery", 100, D20="Beverages", 80)</f>
        <v>40</v>
      </c>
      <c r="G20" s="1">
        <f t="shared" si="0"/>
        <v>80</v>
      </c>
      <c r="H20" s="1" t="s">
        <v>24</v>
      </c>
      <c r="I20" s="1" t="s">
        <v>26</v>
      </c>
      <c r="J20" s="1">
        <v>4</v>
      </c>
    </row>
    <row r="21" spans="1:10" ht="15" x14ac:dyDescent="0.4">
      <c r="A21" s="1">
        <v>1020</v>
      </c>
      <c r="B21" s="2">
        <v>46086</v>
      </c>
      <c r="C21" s="1" t="s">
        <v>10</v>
      </c>
      <c r="D21" s="1" t="s">
        <v>9</v>
      </c>
      <c r="E21" s="4">
        <v>1</v>
      </c>
      <c r="F21" s="1" cm="1">
        <f t="array" ref="F21">_xlfn.IFS(D21="Tea", 40, D21="Coffee", 60, D21="Bakery", 100, D21="Beverages", 80)</f>
        <v>40</v>
      </c>
      <c r="G21" s="1">
        <f t="shared" si="0"/>
        <v>40</v>
      </c>
      <c r="H21" s="1" t="s">
        <v>25</v>
      </c>
      <c r="I21" s="1" t="s">
        <v>26</v>
      </c>
      <c r="J21" s="1">
        <v>3</v>
      </c>
    </row>
    <row r="22" spans="1:10" ht="15" x14ac:dyDescent="0.4">
      <c r="A22" s="1">
        <v>1021</v>
      </c>
      <c r="B22" s="2">
        <v>46149</v>
      </c>
      <c r="C22" s="1" t="s">
        <v>8</v>
      </c>
      <c r="D22" s="1" t="s">
        <v>14</v>
      </c>
      <c r="E22" s="4">
        <v>3</v>
      </c>
      <c r="F22" s="1" cm="1">
        <f t="array" ref="F22">_xlfn.IFS(D22="Tea", 40, D22="Coffee", 60, D22="Bakery", 100, D22="Beverages", 80)</f>
        <v>80</v>
      </c>
      <c r="G22" s="1">
        <f t="shared" si="0"/>
        <v>240</v>
      </c>
      <c r="H22" s="1" t="s">
        <v>21</v>
      </c>
      <c r="I22" s="1" t="s">
        <v>22</v>
      </c>
      <c r="J22" s="1">
        <v>5</v>
      </c>
    </row>
    <row r="23" spans="1:10" ht="15" x14ac:dyDescent="0.4">
      <c r="A23" s="1">
        <v>1022</v>
      </c>
      <c r="B23" s="2">
        <v>46025</v>
      </c>
      <c r="C23" s="1" t="s">
        <v>10</v>
      </c>
      <c r="D23" s="1" t="s">
        <v>14</v>
      </c>
      <c r="E23" s="4">
        <v>3</v>
      </c>
      <c r="F23" s="1" cm="1">
        <f t="array" ref="F23">_xlfn.IFS(D23="Tea", 40, D23="Coffee", 60, D23="Bakery", 100, D23="Beverages", 80)</f>
        <v>80</v>
      </c>
      <c r="G23" s="1">
        <f t="shared" si="0"/>
        <v>240</v>
      </c>
      <c r="H23" s="1" t="s">
        <v>24</v>
      </c>
      <c r="I23" s="1" t="s">
        <v>26</v>
      </c>
      <c r="J23" s="1">
        <v>1</v>
      </c>
    </row>
    <row r="24" spans="1:10" ht="15" x14ac:dyDescent="0.4">
      <c r="A24" s="1">
        <v>1023</v>
      </c>
      <c r="B24" s="2">
        <v>46157</v>
      </c>
      <c r="C24" s="1" t="s">
        <v>12</v>
      </c>
      <c r="D24" s="1" t="s">
        <v>9</v>
      </c>
      <c r="E24" s="4">
        <v>2</v>
      </c>
      <c r="F24" s="1" cm="1">
        <f t="array" ref="F24">_xlfn.IFS(D24="Tea", 40, D24="Coffee", 60, D24="Bakery", 100, D24="Beverages", 80)</f>
        <v>40</v>
      </c>
      <c r="G24" s="1">
        <f t="shared" si="0"/>
        <v>80</v>
      </c>
      <c r="H24" s="1" t="s">
        <v>21</v>
      </c>
      <c r="I24" s="1" t="s">
        <v>23</v>
      </c>
      <c r="J24" s="1">
        <v>5</v>
      </c>
    </row>
    <row r="25" spans="1:10" ht="15" x14ac:dyDescent="0.4">
      <c r="A25" s="1">
        <v>1024</v>
      </c>
      <c r="B25" s="2">
        <v>46068</v>
      </c>
      <c r="C25" s="1" t="s">
        <v>10</v>
      </c>
      <c r="D25" s="1" t="s">
        <v>14</v>
      </c>
      <c r="E25" s="4">
        <v>3</v>
      </c>
      <c r="F25" s="1" cm="1">
        <f t="array" ref="F25">_xlfn.IFS(D25="Tea", 40, D25="Coffee", 60, D25="Bakery", 100, D25="Beverages", 80)</f>
        <v>80</v>
      </c>
      <c r="G25" s="1">
        <f t="shared" si="0"/>
        <v>240</v>
      </c>
      <c r="H25" s="1" t="s">
        <v>24</v>
      </c>
      <c r="I25" s="1" t="s">
        <v>26</v>
      </c>
      <c r="J25" s="1">
        <v>3</v>
      </c>
    </row>
    <row r="26" spans="1:10" ht="15" x14ac:dyDescent="0.4">
      <c r="A26" s="1">
        <v>1025</v>
      </c>
      <c r="B26" s="2">
        <v>46121</v>
      </c>
      <c r="C26" s="1" t="s">
        <v>8</v>
      </c>
      <c r="D26" s="1" t="s">
        <v>11</v>
      </c>
      <c r="E26" s="4">
        <v>2</v>
      </c>
      <c r="F26" s="1" cm="1">
        <f t="array" ref="F26">_xlfn.IFS(D26="Tea", 40, D26="Coffee", 60, D26="Bakery", 100, D26="Beverages", 80)</f>
        <v>60</v>
      </c>
      <c r="G26" s="1">
        <f t="shared" si="0"/>
        <v>120</v>
      </c>
      <c r="H26" s="1" t="s">
        <v>25</v>
      </c>
      <c r="I26" s="1" t="s">
        <v>26</v>
      </c>
      <c r="J26" s="1">
        <v>4</v>
      </c>
    </row>
    <row r="27" spans="1:10" ht="15" x14ac:dyDescent="0.4">
      <c r="A27" s="1">
        <v>1026</v>
      </c>
      <c r="B27" s="2">
        <v>46043</v>
      </c>
      <c r="C27" s="1" t="s">
        <v>12</v>
      </c>
      <c r="D27" s="1" t="s">
        <v>13</v>
      </c>
      <c r="E27" s="4">
        <v>1</v>
      </c>
      <c r="F27" s="1" cm="1">
        <f t="array" ref="F27">_xlfn.IFS(D27="Tea", 40, D27="Coffee", 60, D27="Bakery", 100, D27="Beverages", 80)</f>
        <v>100</v>
      </c>
      <c r="G27" s="1">
        <f t="shared" si="0"/>
        <v>100</v>
      </c>
      <c r="H27" s="1" t="s">
        <v>24</v>
      </c>
      <c r="I27" s="1" t="s">
        <v>22</v>
      </c>
      <c r="J27" s="1">
        <v>1</v>
      </c>
    </row>
    <row r="28" spans="1:10" ht="15" x14ac:dyDescent="0.4">
      <c r="A28" s="1">
        <v>1027</v>
      </c>
      <c r="B28" s="2">
        <v>46190</v>
      </c>
      <c r="C28" s="1" t="s">
        <v>8</v>
      </c>
      <c r="D28" s="1" t="s">
        <v>14</v>
      </c>
      <c r="E28" s="4">
        <v>3</v>
      </c>
      <c r="F28" s="1" cm="1">
        <f t="array" ref="F28">_xlfn.IFS(D28="Tea", 40, D28="Coffee", 60, D28="Bakery", 100, D28="Beverages", 80)</f>
        <v>80</v>
      </c>
      <c r="G28" s="1">
        <f t="shared" si="0"/>
        <v>240</v>
      </c>
      <c r="H28" s="1" t="s">
        <v>24</v>
      </c>
      <c r="I28" s="1" t="s">
        <v>22</v>
      </c>
      <c r="J28" s="1">
        <v>4</v>
      </c>
    </row>
    <row r="29" spans="1:10" ht="15" x14ac:dyDescent="0.4">
      <c r="A29" s="1">
        <v>1028</v>
      </c>
      <c r="B29" s="2">
        <v>46157</v>
      </c>
      <c r="C29" s="1" t="s">
        <v>8</v>
      </c>
      <c r="D29" s="1" t="s">
        <v>13</v>
      </c>
      <c r="E29" s="4">
        <v>2</v>
      </c>
      <c r="F29" s="1" cm="1">
        <f t="array" ref="F29">_xlfn.IFS(D29="Tea", 40, D29="Coffee", 60, D29="Bakery", 100, D29="Beverages", 80)</f>
        <v>100</v>
      </c>
      <c r="G29" s="1">
        <f t="shared" si="0"/>
        <v>200</v>
      </c>
      <c r="H29" s="1" t="s">
        <v>25</v>
      </c>
      <c r="I29" s="1" t="s">
        <v>26</v>
      </c>
      <c r="J29" s="1">
        <v>3</v>
      </c>
    </row>
    <row r="30" spans="1:10" ht="15" x14ac:dyDescent="0.4">
      <c r="A30" s="1">
        <v>1029</v>
      </c>
      <c r="B30" s="2">
        <v>46152</v>
      </c>
      <c r="C30" s="1" t="s">
        <v>8</v>
      </c>
      <c r="D30" s="1" t="s">
        <v>14</v>
      </c>
      <c r="E30" s="4">
        <v>2</v>
      </c>
      <c r="F30" s="1" cm="1">
        <f t="array" ref="F30">_xlfn.IFS(D30="Tea", 40, D30="Coffee", 60, D30="Bakery", 100, D30="Beverages", 80)</f>
        <v>80</v>
      </c>
      <c r="G30" s="1">
        <f t="shared" si="0"/>
        <v>160</v>
      </c>
      <c r="H30" s="1" t="s">
        <v>24</v>
      </c>
      <c r="I30" s="1" t="s">
        <v>23</v>
      </c>
      <c r="J30" s="1">
        <v>1</v>
      </c>
    </row>
    <row r="31" spans="1:10" ht="15" x14ac:dyDescent="0.4">
      <c r="A31" s="1">
        <v>1030</v>
      </c>
      <c r="B31" s="2">
        <v>46116</v>
      </c>
      <c r="C31" s="1" t="s">
        <v>10</v>
      </c>
      <c r="D31" s="1" t="s">
        <v>13</v>
      </c>
      <c r="E31" s="4">
        <v>2</v>
      </c>
      <c r="F31" s="1" cm="1">
        <f t="array" ref="F31">_xlfn.IFS(D31="Tea", 40, D31="Coffee", 60, D31="Bakery", 100, D31="Beverages", 80)</f>
        <v>100</v>
      </c>
      <c r="G31" s="1">
        <f t="shared" si="0"/>
        <v>200</v>
      </c>
      <c r="H31" s="1" t="s">
        <v>24</v>
      </c>
      <c r="I31" s="1" t="s">
        <v>26</v>
      </c>
      <c r="J31" s="1">
        <v>5</v>
      </c>
    </row>
    <row r="32" spans="1:10" ht="15" x14ac:dyDescent="0.4">
      <c r="A32" s="1">
        <v>1031</v>
      </c>
      <c r="B32" s="2">
        <v>46085</v>
      </c>
      <c r="C32" s="1" t="s">
        <v>8</v>
      </c>
      <c r="D32" s="1" t="s">
        <v>9</v>
      </c>
      <c r="E32" s="4">
        <v>3</v>
      </c>
      <c r="F32" s="1" cm="1">
        <f t="array" ref="F32">_xlfn.IFS(D32="Tea", 40, D32="Coffee", 60, D32="Bakery", 100, D32="Beverages", 80)</f>
        <v>40</v>
      </c>
      <c r="G32" s="1">
        <f t="shared" si="0"/>
        <v>120</v>
      </c>
      <c r="H32" s="1" t="s">
        <v>24</v>
      </c>
      <c r="I32" s="1" t="s">
        <v>26</v>
      </c>
      <c r="J32" s="1">
        <v>5</v>
      </c>
    </row>
    <row r="33" spans="1:10" ht="15" x14ac:dyDescent="0.4">
      <c r="A33" s="1">
        <v>1032</v>
      </c>
      <c r="B33" s="2">
        <v>46066</v>
      </c>
      <c r="C33" s="1" t="s">
        <v>10</v>
      </c>
      <c r="D33" s="1" t="s">
        <v>14</v>
      </c>
      <c r="E33" s="4">
        <v>2</v>
      </c>
      <c r="F33" s="1" cm="1">
        <f t="array" ref="F33">_xlfn.IFS(D33="Tea", 40, D33="Coffee", 60, D33="Bakery", 100, D33="Beverages", 80)</f>
        <v>80</v>
      </c>
      <c r="G33" s="1">
        <f t="shared" si="0"/>
        <v>160</v>
      </c>
      <c r="H33" s="1" t="s">
        <v>25</v>
      </c>
      <c r="I33" s="1" t="s">
        <v>22</v>
      </c>
      <c r="J33" s="1">
        <v>4</v>
      </c>
    </row>
    <row r="34" spans="1:10" ht="15" x14ac:dyDescent="0.4">
      <c r="A34" s="1">
        <v>1033</v>
      </c>
      <c r="B34" s="2">
        <v>46073</v>
      </c>
      <c r="C34" s="1" t="s">
        <v>12</v>
      </c>
      <c r="D34" s="1" t="s">
        <v>13</v>
      </c>
      <c r="E34" s="4">
        <v>1</v>
      </c>
      <c r="F34" s="1" cm="1">
        <f t="array" ref="F34">_xlfn.IFS(D34="Tea", 40, D34="Coffee", 60, D34="Bakery", 100, D34="Beverages", 80)</f>
        <v>100</v>
      </c>
      <c r="G34" s="1">
        <f t="shared" si="0"/>
        <v>100</v>
      </c>
      <c r="H34" s="1" t="s">
        <v>24</v>
      </c>
      <c r="I34" s="1" t="s">
        <v>22</v>
      </c>
      <c r="J34" s="1">
        <v>2</v>
      </c>
    </row>
    <row r="35" spans="1:10" ht="15" x14ac:dyDescent="0.4">
      <c r="A35" s="1">
        <v>1034</v>
      </c>
      <c r="B35" s="2">
        <v>46130</v>
      </c>
      <c r="C35" s="1" t="s">
        <v>8</v>
      </c>
      <c r="D35" s="1" t="s">
        <v>13</v>
      </c>
      <c r="E35" s="4">
        <v>2</v>
      </c>
      <c r="F35" s="1" cm="1">
        <f t="array" ref="F35">_xlfn.IFS(D35="Tea", 40, D35="Coffee", 60, D35="Bakery", 100, D35="Beverages", 80)</f>
        <v>100</v>
      </c>
      <c r="G35" s="1">
        <f t="shared" si="0"/>
        <v>200</v>
      </c>
      <c r="H35" s="1" t="s">
        <v>24</v>
      </c>
      <c r="I35" s="1" t="s">
        <v>22</v>
      </c>
      <c r="J35" s="1">
        <v>3</v>
      </c>
    </row>
    <row r="36" spans="1:10" ht="15" x14ac:dyDescent="0.4">
      <c r="A36" s="1">
        <v>1035</v>
      </c>
      <c r="B36" s="2">
        <v>46112</v>
      </c>
      <c r="C36" s="1" t="s">
        <v>12</v>
      </c>
      <c r="D36" s="1" t="s">
        <v>13</v>
      </c>
      <c r="E36" s="4">
        <v>2</v>
      </c>
      <c r="F36" s="1" cm="1">
        <f t="array" ref="F36">_xlfn.IFS(D36="Tea", 40, D36="Coffee", 60, D36="Bakery", 100, D36="Beverages", 80)</f>
        <v>100</v>
      </c>
      <c r="G36" s="1">
        <f t="shared" si="0"/>
        <v>200</v>
      </c>
      <c r="H36" s="1" t="s">
        <v>25</v>
      </c>
      <c r="I36" s="1" t="s">
        <v>22</v>
      </c>
      <c r="J36" s="1">
        <v>3</v>
      </c>
    </row>
    <row r="37" spans="1:10" ht="15" x14ac:dyDescent="0.4">
      <c r="A37" s="1">
        <v>1036</v>
      </c>
      <c r="B37" s="2">
        <v>46077</v>
      </c>
      <c r="C37" s="1" t="s">
        <v>10</v>
      </c>
      <c r="D37" s="1" t="s">
        <v>13</v>
      </c>
      <c r="E37" s="4">
        <v>3</v>
      </c>
      <c r="F37" s="1" cm="1">
        <f t="array" ref="F37">_xlfn.IFS(D37="Tea", 40, D37="Coffee", 60, D37="Bakery", 100, D37="Beverages", 80)</f>
        <v>100</v>
      </c>
      <c r="G37" s="1">
        <f t="shared" si="0"/>
        <v>300</v>
      </c>
      <c r="H37" s="1" t="s">
        <v>25</v>
      </c>
      <c r="I37" s="1" t="s">
        <v>22</v>
      </c>
      <c r="J37" s="1">
        <v>1</v>
      </c>
    </row>
    <row r="38" spans="1:10" ht="15" x14ac:dyDescent="0.4">
      <c r="A38" s="1">
        <v>1037</v>
      </c>
      <c r="B38" s="2">
        <v>46051</v>
      </c>
      <c r="C38" s="1" t="s">
        <v>8</v>
      </c>
      <c r="D38" s="1" t="s">
        <v>14</v>
      </c>
      <c r="E38" s="4">
        <v>1</v>
      </c>
      <c r="F38" s="1" cm="1">
        <f t="array" ref="F38">_xlfn.IFS(D38="Tea", 40, D38="Coffee", 60, D38="Bakery", 100, D38="Beverages", 80)</f>
        <v>80</v>
      </c>
      <c r="G38" s="1">
        <f t="shared" si="0"/>
        <v>80</v>
      </c>
      <c r="H38" s="1" t="s">
        <v>21</v>
      </c>
      <c r="I38" s="1" t="s">
        <v>23</v>
      </c>
      <c r="J38" s="1">
        <v>4</v>
      </c>
    </row>
    <row r="39" spans="1:10" ht="15" x14ac:dyDescent="0.4">
      <c r="A39" s="1">
        <v>1038</v>
      </c>
      <c r="B39" s="2">
        <v>46025</v>
      </c>
      <c r="C39" s="1" t="s">
        <v>12</v>
      </c>
      <c r="D39" s="1" t="s">
        <v>9</v>
      </c>
      <c r="E39" s="4">
        <v>1</v>
      </c>
      <c r="F39" s="1" cm="1">
        <f t="array" ref="F39">_xlfn.IFS(D39="Tea", 40, D39="Coffee", 60, D39="Bakery", 100, D39="Beverages", 80)</f>
        <v>40</v>
      </c>
      <c r="G39" s="1">
        <f t="shared" si="0"/>
        <v>40</v>
      </c>
      <c r="H39" s="1" t="s">
        <v>24</v>
      </c>
      <c r="I39" s="1" t="s">
        <v>22</v>
      </c>
      <c r="J39" s="1">
        <v>2</v>
      </c>
    </row>
    <row r="40" spans="1:10" ht="15" x14ac:dyDescent="0.4">
      <c r="A40" s="1">
        <v>1039</v>
      </c>
      <c r="B40" s="2">
        <v>46091</v>
      </c>
      <c r="C40" s="1" t="s">
        <v>10</v>
      </c>
      <c r="D40" s="1" t="s">
        <v>13</v>
      </c>
      <c r="E40" s="4">
        <v>1</v>
      </c>
      <c r="F40" s="1" cm="1">
        <f t="array" ref="F40">_xlfn.IFS(D40="Tea", 40, D40="Coffee", 60, D40="Bakery", 100, D40="Beverages", 80)</f>
        <v>100</v>
      </c>
      <c r="G40" s="1">
        <f t="shared" si="0"/>
        <v>100</v>
      </c>
      <c r="H40" s="1" t="s">
        <v>24</v>
      </c>
      <c r="I40" s="1" t="s">
        <v>26</v>
      </c>
      <c r="J40" s="1">
        <v>1</v>
      </c>
    </row>
    <row r="41" spans="1:10" ht="15" x14ac:dyDescent="0.4">
      <c r="A41" s="1">
        <v>1040</v>
      </c>
      <c r="B41" s="2">
        <v>46122</v>
      </c>
      <c r="C41" s="1" t="s">
        <v>8</v>
      </c>
      <c r="D41" s="1" t="s">
        <v>13</v>
      </c>
      <c r="E41" s="4">
        <v>3</v>
      </c>
      <c r="F41" s="1" cm="1">
        <f t="array" ref="F41">_xlfn.IFS(D41="Tea", 40, D41="Coffee", 60, D41="Bakery", 100, D41="Beverages", 80)</f>
        <v>100</v>
      </c>
      <c r="G41" s="1">
        <f t="shared" si="0"/>
        <v>300</v>
      </c>
      <c r="H41" s="1" t="s">
        <v>24</v>
      </c>
      <c r="I41" s="1" t="s">
        <v>23</v>
      </c>
      <c r="J41" s="1">
        <v>1</v>
      </c>
    </row>
    <row r="42" spans="1:10" ht="15" x14ac:dyDescent="0.4">
      <c r="A42" s="1">
        <v>1041</v>
      </c>
      <c r="B42" s="2">
        <v>46032</v>
      </c>
      <c r="C42" s="1" t="s">
        <v>10</v>
      </c>
      <c r="D42" s="1" t="s">
        <v>14</v>
      </c>
      <c r="E42" s="4">
        <v>3</v>
      </c>
      <c r="F42" s="1" cm="1">
        <f t="array" ref="F42">_xlfn.IFS(D42="Tea", 40, D42="Coffee", 60, D42="Bakery", 100, D42="Beverages", 80)</f>
        <v>80</v>
      </c>
      <c r="G42" s="1">
        <f t="shared" si="0"/>
        <v>240</v>
      </c>
      <c r="H42" s="1" t="s">
        <v>25</v>
      </c>
      <c r="I42" s="1" t="s">
        <v>26</v>
      </c>
      <c r="J42" s="1">
        <v>5</v>
      </c>
    </row>
    <row r="43" spans="1:10" ht="15" x14ac:dyDescent="0.4">
      <c r="A43" s="1">
        <v>1042</v>
      </c>
      <c r="B43" s="2">
        <v>46074</v>
      </c>
      <c r="C43" s="1" t="s">
        <v>8</v>
      </c>
      <c r="D43" s="1" t="s">
        <v>9</v>
      </c>
      <c r="E43" s="4">
        <v>2</v>
      </c>
      <c r="F43" s="1" cm="1">
        <f t="array" ref="F43">_xlfn.IFS(D43="Tea", 40, D43="Coffee", 60, D43="Bakery", 100, D43="Beverages", 80)</f>
        <v>40</v>
      </c>
      <c r="G43" s="1">
        <f t="shared" si="0"/>
        <v>80</v>
      </c>
      <c r="H43" s="1" t="s">
        <v>21</v>
      </c>
      <c r="I43" s="1" t="s">
        <v>23</v>
      </c>
      <c r="J43" s="1">
        <v>1</v>
      </c>
    </row>
    <row r="44" spans="1:10" ht="15" x14ac:dyDescent="0.4">
      <c r="A44" s="1">
        <v>1043</v>
      </c>
      <c r="B44" s="2">
        <v>46175</v>
      </c>
      <c r="C44" s="1" t="s">
        <v>10</v>
      </c>
      <c r="D44" s="1" t="s">
        <v>9</v>
      </c>
      <c r="E44" s="4">
        <v>2</v>
      </c>
      <c r="F44" s="1" cm="1">
        <f t="array" ref="F44">_xlfn.IFS(D44="Tea", 40, D44="Coffee", 60, D44="Bakery", 100, D44="Beverages", 80)</f>
        <v>40</v>
      </c>
      <c r="G44" s="1">
        <f t="shared" si="0"/>
        <v>80</v>
      </c>
      <c r="H44" s="1" t="s">
        <v>25</v>
      </c>
      <c r="I44" s="1" t="s">
        <v>23</v>
      </c>
      <c r="J44" s="1">
        <v>4</v>
      </c>
    </row>
    <row r="45" spans="1:10" ht="15" x14ac:dyDescent="0.4">
      <c r="A45" s="1">
        <v>1044</v>
      </c>
      <c r="B45" s="2">
        <v>46188</v>
      </c>
      <c r="C45" s="1" t="s">
        <v>12</v>
      </c>
      <c r="D45" s="1" t="s">
        <v>9</v>
      </c>
      <c r="E45" s="4">
        <v>2</v>
      </c>
      <c r="F45" s="1" cm="1">
        <f t="array" ref="F45">_xlfn.IFS(D45="Tea", 40, D45="Coffee", 60, D45="Bakery", 100, D45="Beverages", 80)</f>
        <v>40</v>
      </c>
      <c r="G45" s="1">
        <f t="shared" si="0"/>
        <v>80</v>
      </c>
      <c r="H45" s="1" t="s">
        <v>24</v>
      </c>
      <c r="I45" s="1" t="s">
        <v>26</v>
      </c>
      <c r="J45" s="1">
        <v>4</v>
      </c>
    </row>
    <row r="46" spans="1:10" ht="15" x14ac:dyDescent="0.4">
      <c r="A46" s="1">
        <v>1045</v>
      </c>
      <c r="B46" s="2">
        <v>46027</v>
      </c>
      <c r="C46" s="1" t="s">
        <v>12</v>
      </c>
      <c r="D46" s="1" t="s">
        <v>9</v>
      </c>
      <c r="E46" s="4">
        <v>2</v>
      </c>
      <c r="F46" s="1" cm="1">
        <f t="array" ref="F46">_xlfn.IFS(D46="Tea", 40, D46="Coffee", 60, D46="Bakery", 100, D46="Beverages", 80)</f>
        <v>40</v>
      </c>
      <c r="G46" s="1">
        <f t="shared" si="0"/>
        <v>80</v>
      </c>
      <c r="H46" s="1" t="s">
        <v>25</v>
      </c>
      <c r="I46" s="1" t="s">
        <v>26</v>
      </c>
      <c r="J46" s="1">
        <v>5</v>
      </c>
    </row>
    <row r="47" spans="1:10" ht="15" x14ac:dyDescent="0.4">
      <c r="A47" s="1">
        <v>1046</v>
      </c>
      <c r="B47" s="2">
        <v>46136</v>
      </c>
      <c r="C47" s="1" t="s">
        <v>10</v>
      </c>
      <c r="D47" s="1" t="s">
        <v>13</v>
      </c>
      <c r="E47" s="4">
        <v>3</v>
      </c>
      <c r="F47" s="1" cm="1">
        <f t="array" ref="F47">_xlfn.IFS(D47="Tea", 40, D47="Coffee", 60, D47="Bakery", 100, D47="Beverages", 80)</f>
        <v>100</v>
      </c>
      <c r="G47" s="1">
        <f t="shared" si="0"/>
        <v>300</v>
      </c>
      <c r="H47" s="1" t="s">
        <v>21</v>
      </c>
      <c r="I47" s="1" t="s">
        <v>23</v>
      </c>
      <c r="J47" s="1">
        <v>1</v>
      </c>
    </row>
    <row r="48" spans="1:10" ht="15" x14ac:dyDescent="0.4">
      <c r="A48" s="1">
        <v>1047</v>
      </c>
      <c r="B48" s="2">
        <v>46040</v>
      </c>
      <c r="C48" s="1" t="s">
        <v>10</v>
      </c>
      <c r="D48" s="1" t="s">
        <v>13</v>
      </c>
      <c r="E48" s="4">
        <v>1</v>
      </c>
      <c r="F48" s="1" cm="1">
        <f t="array" ref="F48">_xlfn.IFS(D48="Tea", 40, D48="Coffee", 60, D48="Bakery", 100, D48="Beverages", 80)</f>
        <v>100</v>
      </c>
      <c r="G48" s="1">
        <f t="shared" si="0"/>
        <v>100</v>
      </c>
      <c r="H48" s="1" t="s">
        <v>21</v>
      </c>
      <c r="I48" s="1" t="s">
        <v>23</v>
      </c>
      <c r="J48" s="1">
        <v>2</v>
      </c>
    </row>
    <row r="49" spans="1:10" ht="15" x14ac:dyDescent="0.4">
      <c r="A49" s="1">
        <v>1048</v>
      </c>
      <c r="B49" s="2">
        <v>46091</v>
      </c>
      <c r="C49" s="1" t="s">
        <v>10</v>
      </c>
      <c r="D49" s="1" t="s">
        <v>11</v>
      </c>
      <c r="E49" s="4">
        <v>3</v>
      </c>
      <c r="F49" s="1" cm="1">
        <f t="array" ref="F49">_xlfn.IFS(D49="Tea", 40, D49="Coffee", 60, D49="Bakery", 100, D49="Beverages", 80)</f>
        <v>60</v>
      </c>
      <c r="G49" s="1">
        <f t="shared" si="0"/>
        <v>180</v>
      </c>
      <c r="H49" s="1" t="s">
        <v>24</v>
      </c>
      <c r="I49" s="1" t="s">
        <v>26</v>
      </c>
      <c r="J49" s="1">
        <v>4</v>
      </c>
    </row>
    <row r="50" spans="1:10" ht="15" x14ac:dyDescent="0.4">
      <c r="A50" s="1">
        <v>1049</v>
      </c>
      <c r="B50" s="2">
        <v>46141</v>
      </c>
      <c r="C50" s="1" t="s">
        <v>12</v>
      </c>
      <c r="D50" s="1" t="s">
        <v>13</v>
      </c>
      <c r="E50" s="4">
        <v>2</v>
      </c>
      <c r="F50" s="1" cm="1">
        <f t="array" ref="F50">_xlfn.IFS(D50="Tea", 40, D50="Coffee", 60, D50="Bakery", 100, D50="Beverages", 80)</f>
        <v>100</v>
      </c>
      <c r="G50" s="1">
        <f t="shared" si="0"/>
        <v>200</v>
      </c>
      <c r="H50" s="1" t="s">
        <v>25</v>
      </c>
      <c r="I50" s="1" t="s">
        <v>26</v>
      </c>
      <c r="J50" s="1">
        <v>4</v>
      </c>
    </row>
    <row r="51" spans="1:10" ht="15" x14ac:dyDescent="0.4">
      <c r="A51" s="1">
        <v>1050</v>
      </c>
      <c r="B51" s="2">
        <v>46045</v>
      </c>
      <c r="C51" s="1" t="s">
        <v>8</v>
      </c>
      <c r="D51" s="1" t="s">
        <v>11</v>
      </c>
      <c r="E51" s="4">
        <v>3</v>
      </c>
      <c r="F51" s="1" cm="1">
        <f t="array" ref="F51">_xlfn.IFS(D51="Tea", 40, D51="Coffee", 60, D51="Bakery", 100, D51="Beverages", 80)</f>
        <v>60</v>
      </c>
      <c r="G51" s="1">
        <f t="shared" si="0"/>
        <v>180</v>
      </c>
      <c r="H51" s="1" t="s">
        <v>21</v>
      </c>
      <c r="I51" s="1" t="s">
        <v>23</v>
      </c>
      <c r="J51" s="1">
        <v>2</v>
      </c>
    </row>
    <row r="52" spans="1:10" ht="15" x14ac:dyDescent="0.4">
      <c r="A52" s="1">
        <v>1051</v>
      </c>
      <c r="B52" s="2">
        <v>46155</v>
      </c>
      <c r="C52" s="1" t="s">
        <v>12</v>
      </c>
      <c r="D52" s="1" t="s">
        <v>9</v>
      </c>
      <c r="E52" s="4">
        <v>3</v>
      </c>
      <c r="F52" s="1" cm="1">
        <f t="array" ref="F52">_xlfn.IFS(D52="Tea", 40, D52="Coffee", 60, D52="Bakery", 100, D52="Beverages", 80)</f>
        <v>40</v>
      </c>
      <c r="G52" s="1">
        <f t="shared" si="0"/>
        <v>120</v>
      </c>
      <c r="H52" s="1" t="s">
        <v>21</v>
      </c>
      <c r="I52" s="1" t="s">
        <v>22</v>
      </c>
      <c r="J52" s="1">
        <v>1</v>
      </c>
    </row>
    <row r="53" spans="1:10" ht="15" x14ac:dyDescent="0.4">
      <c r="A53" s="1">
        <v>1052</v>
      </c>
      <c r="B53" s="2">
        <v>46045</v>
      </c>
      <c r="C53" s="1" t="s">
        <v>8</v>
      </c>
      <c r="D53" s="1" t="s">
        <v>14</v>
      </c>
      <c r="E53" s="4">
        <v>1</v>
      </c>
      <c r="F53" s="1" cm="1">
        <f t="array" ref="F53">_xlfn.IFS(D53="Tea", 40, D53="Coffee", 60, D53="Bakery", 100, D53="Beverages", 80)</f>
        <v>80</v>
      </c>
      <c r="G53" s="1">
        <f t="shared" si="0"/>
        <v>80</v>
      </c>
      <c r="H53" s="1" t="s">
        <v>21</v>
      </c>
      <c r="I53" s="1" t="s">
        <v>26</v>
      </c>
      <c r="J53" s="1">
        <v>3</v>
      </c>
    </row>
    <row r="54" spans="1:10" ht="15" x14ac:dyDescent="0.4">
      <c r="A54" s="1">
        <v>1053</v>
      </c>
      <c r="B54" s="2">
        <v>46102</v>
      </c>
      <c r="C54" s="1" t="s">
        <v>10</v>
      </c>
      <c r="D54" s="1" t="s">
        <v>9</v>
      </c>
      <c r="E54" s="4">
        <v>2</v>
      </c>
      <c r="F54" s="1" cm="1">
        <f t="array" ref="F54">_xlfn.IFS(D54="Tea", 40, D54="Coffee", 60, D54="Bakery", 100, D54="Beverages", 80)</f>
        <v>40</v>
      </c>
      <c r="G54" s="1">
        <f t="shared" si="0"/>
        <v>80</v>
      </c>
      <c r="H54" s="1" t="s">
        <v>25</v>
      </c>
      <c r="I54" s="1" t="s">
        <v>26</v>
      </c>
      <c r="J54" s="1">
        <v>4</v>
      </c>
    </row>
    <row r="55" spans="1:10" ht="15" x14ac:dyDescent="0.4">
      <c r="A55" s="1">
        <v>1054</v>
      </c>
      <c r="B55" s="2">
        <v>46180</v>
      </c>
      <c r="C55" s="1" t="s">
        <v>10</v>
      </c>
      <c r="D55" s="1" t="s">
        <v>14</v>
      </c>
      <c r="E55" s="4">
        <v>3</v>
      </c>
      <c r="F55" s="1" cm="1">
        <f t="array" ref="F55">_xlfn.IFS(D55="Tea", 40, D55="Coffee", 60, D55="Bakery", 100, D55="Beverages", 80)</f>
        <v>80</v>
      </c>
      <c r="G55" s="1">
        <f t="shared" si="0"/>
        <v>240</v>
      </c>
      <c r="H55" s="1" t="s">
        <v>25</v>
      </c>
      <c r="I55" s="1" t="s">
        <v>22</v>
      </c>
      <c r="J55" s="1">
        <v>3</v>
      </c>
    </row>
    <row r="56" spans="1:10" ht="15" x14ac:dyDescent="0.4">
      <c r="A56" s="1">
        <v>1055</v>
      </c>
      <c r="B56" s="2">
        <v>46076</v>
      </c>
      <c r="C56" s="1" t="s">
        <v>12</v>
      </c>
      <c r="D56" s="1" t="s">
        <v>11</v>
      </c>
      <c r="E56" s="4">
        <v>3</v>
      </c>
      <c r="F56" s="1" cm="1">
        <f t="array" ref="F56">_xlfn.IFS(D56="Tea", 40, D56="Coffee", 60, D56="Bakery", 100, D56="Beverages", 80)</f>
        <v>60</v>
      </c>
      <c r="G56" s="1">
        <f t="shared" si="0"/>
        <v>180</v>
      </c>
      <c r="H56" s="1" t="s">
        <v>24</v>
      </c>
      <c r="I56" s="1" t="s">
        <v>22</v>
      </c>
      <c r="J56" s="1">
        <v>1</v>
      </c>
    </row>
    <row r="57" spans="1:10" ht="15" x14ac:dyDescent="0.4">
      <c r="A57" s="1">
        <v>1056</v>
      </c>
      <c r="B57" s="2">
        <v>46058</v>
      </c>
      <c r="C57" s="1" t="s">
        <v>8</v>
      </c>
      <c r="D57" s="1" t="s">
        <v>11</v>
      </c>
      <c r="E57" s="4">
        <v>2</v>
      </c>
      <c r="F57" s="1" cm="1">
        <f t="array" ref="F57">_xlfn.IFS(D57="Tea", 40, D57="Coffee", 60, D57="Bakery", 100, D57="Beverages", 80)</f>
        <v>60</v>
      </c>
      <c r="G57" s="1">
        <f t="shared" si="0"/>
        <v>120</v>
      </c>
      <c r="H57" s="1" t="s">
        <v>25</v>
      </c>
      <c r="I57" s="1" t="s">
        <v>22</v>
      </c>
      <c r="J57" s="1">
        <v>1</v>
      </c>
    </row>
    <row r="58" spans="1:10" ht="15" x14ac:dyDescent="0.4">
      <c r="A58" s="1">
        <v>1057</v>
      </c>
      <c r="B58" s="2">
        <v>46081</v>
      </c>
      <c r="C58" s="1" t="s">
        <v>10</v>
      </c>
      <c r="D58" s="1" t="s">
        <v>14</v>
      </c>
      <c r="E58" s="4">
        <v>2</v>
      </c>
      <c r="F58" s="1" cm="1">
        <f t="array" ref="F58">_xlfn.IFS(D58="Tea", 40, D58="Coffee", 60, D58="Bakery", 100, D58="Beverages", 80)</f>
        <v>80</v>
      </c>
      <c r="G58" s="1">
        <f t="shared" si="0"/>
        <v>160</v>
      </c>
      <c r="H58" s="1" t="s">
        <v>24</v>
      </c>
      <c r="I58" s="1" t="s">
        <v>23</v>
      </c>
      <c r="J58" s="1">
        <v>4</v>
      </c>
    </row>
    <row r="59" spans="1:10" ht="15" x14ac:dyDescent="0.4">
      <c r="A59" s="1">
        <v>1058</v>
      </c>
      <c r="B59" s="2">
        <v>46182</v>
      </c>
      <c r="C59" s="1" t="s">
        <v>10</v>
      </c>
      <c r="D59" s="1" t="s">
        <v>9</v>
      </c>
      <c r="E59" s="4">
        <v>3</v>
      </c>
      <c r="F59" s="1" cm="1">
        <f t="array" ref="F59">_xlfn.IFS(D59="Tea", 40, D59="Coffee", 60, D59="Bakery", 100, D59="Beverages", 80)</f>
        <v>40</v>
      </c>
      <c r="G59" s="1">
        <f t="shared" si="0"/>
        <v>120</v>
      </c>
      <c r="H59" s="1" t="s">
        <v>25</v>
      </c>
      <c r="I59" s="1" t="s">
        <v>22</v>
      </c>
      <c r="J59" s="1">
        <v>2</v>
      </c>
    </row>
    <row r="60" spans="1:10" ht="15" x14ac:dyDescent="0.4">
      <c r="A60" s="1">
        <v>1059</v>
      </c>
      <c r="B60" s="2">
        <v>46150</v>
      </c>
      <c r="C60" s="1" t="s">
        <v>8</v>
      </c>
      <c r="D60" s="1" t="s">
        <v>14</v>
      </c>
      <c r="E60" s="4">
        <v>1</v>
      </c>
      <c r="F60" s="1" cm="1">
        <f t="array" ref="F60">_xlfn.IFS(D60="Tea", 40, D60="Coffee", 60, D60="Bakery", 100, D60="Beverages", 80)</f>
        <v>80</v>
      </c>
      <c r="G60" s="1">
        <f t="shared" si="0"/>
        <v>80</v>
      </c>
      <c r="H60" s="1" t="s">
        <v>25</v>
      </c>
      <c r="I60" s="1" t="s">
        <v>23</v>
      </c>
      <c r="J60" s="1">
        <v>1</v>
      </c>
    </row>
    <row r="61" spans="1:10" ht="15" x14ac:dyDescent="0.4">
      <c r="A61" s="1">
        <v>1060</v>
      </c>
      <c r="B61" s="2">
        <v>46116</v>
      </c>
      <c r="C61" s="1" t="s">
        <v>8</v>
      </c>
      <c r="D61" s="1" t="s">
        <v>13</v>
      </c>
      <c r="E61" s="4">
        <v>3</v>
      </c>
      <c r="F61" s="1" cm="1">
        <f t="array" ref="F61">_xlfn.IFS(D61="Tea", 40, D61="Coffee", 60, D61="Bakery", 100, D61="Beverages", 80)</f>
        <v>100</v>
      </c>
      <c r="G61" s="1">
        <f t="shared" si="0"/>
        <v>300</v>
      </c>
      <c r="H61" s="1" t="s">
        <v>21</v>
      </c>
      <c r="I61" s="1" t="s">
        <v>26</v>
      </c>
      <c r="J61" s="1">
        <v>3</v>
      </c>
    </row>
    <row r="62" spans="1:10" ht="15" x14ac:dyDescent="0.4">
      <c r="A62" s="1">
        <v>1061</v>
      </c>
      <c r="B62" s="2">
        <v>46084</v>
      </c>
      <c r="C62" s="1" t="s">
        <v>8</v>
      </c>
      <c r="D62" s="1" t="s">
        <v>13</v>
      </c>
      <c r="E62" s="4">
        <v>1</v>
      </c>
      <c r="F62" s="1" cm="1">
        <f t="array" ref="F62">_xlfn.IFS(D62="Tea", 40, D62="Coffee", 60, D62="Bakery", 100, D62="Beverages", 80)</f>
        <v>100</v>
      </c>
      <c r="G62" s="1">
        <f t="shared" si="0"/>
        <v>100</v>
      </c>
      <c r="H62" s="1" t="s">
        <v>25</v>
      </c>
      <c r="I62" s="1" t="s">
        <v>26</v>
      </c>
      <c r="J62" s="1">
        <v>1</v>
      </c>
    </row>
    <row r="63" spans="1:10" ht="15" x14ac:dyDescent="0.4">
      <c r="A63" s="1">
        <v>1062</v>
      </c>
      <c r="B63" s="2">
        <v>46045</v>
      </c>
      <c r="C63" s="1" t="s">
        <v>12</v>
      </c>
      <c r="D63" s="1" t="s">
        <v>11</v>
      </c>
      <c r="E63" s="4">
        <v>1</v>
      </c>
      <c r="F63" s="1" cm="1">
        <f t="array" ref="F63">_xlfn.IFS(D63="Tea", 40, D63="Coffee", 60, D63="Bakery", 100, D63="Beverages", 80)</f>
        <v>60</v>
      </c>
      <c r="G63" s="1">
        <f t="shared" si="0"/>
        <v>60</v>
      </c>
      <c r="H63" s="1" t="s">
        <v>24</v>
      </c>
      <c r="I63" s="1" t="s">
        <v>26</v>
      </c>
      <c r="J63" s="1">
        <v>4</v>
      </c>
    </row>
    <row r="64" spans="1:10" ht="15" x14ac:dyDescent="0.4">
      <c r="A64" s="1">
        <v>1063</v>
      </c>
      <c r="B64" s="2">
        <v>46065</v>
      </c>
      <c r="C64" s="1" t="s">
        <v>12</v>
      </c>
      <c r="D64" s="1" t="s">
        <v>14</v>
      </c>
      <c r="E64" s="4">
        <v>3</v>
      </c>
      <c r="F64" s="1" cm="1">
        <f t="array" ref="F64">_xlfn.IFS(D64="Tea", 40, D64="Coffee", 60, D64="Bakery", 100, D64="Beverages", 80)</f>
        <v>80</v>
      </c>
      <c r="G64" s="1">
        <f t="shared" si="0"/>
        <v>240</v>
      </c>
      <c r="H64" s="1" t="s">
        <v>25</v>
      </c>
      <c r="I64" s="1" t="s">
        <v>26</v>
      </c>
      <c r="J64" s="1">
        <v>5</v>
      </c>
    </row>
    <row r="65" spans="1:10" ht="15" x14ac:dyDescent="0.4">
      <c r="A65" s="1">
        <v>1064</v>
      </c>
      <c r="B65" s="2">
        <v>46113</v>
      </c>
      <c r="C65" s="1" t="s">
        <v>10</v>
      </c>
      <c r="D65" s="1" t="s">
        <v>14</v>
      </c>
      <c r="E65" s="4">
        <v>2</v>
      </c>
      <c r="F65" s="1" cm="1">
        <f t="array" ref="F65">_xlfn.IFS(D65="Tea", 40, D65="Coffee", 60, D65="Bakery", 100, D65="Beverages", 80)</f>
        <v>80</v>
      </c>
      <c r="G65" s="1">
        <f t="shared" si="0"/>
        <v>160</v>
      </c>
      <c r="H65" s="1" t="s">
        <v>24</v>
      </c>
      <c r="I65" s="1" t="s">
        <v>22</v>
      </c>
      <c r="J65" s="1">
        <v>2</v>
      </c>
    </row>
    <row r="66" spans="1:10" ht="15" x14ac:dyDescent="0.4">
      <c r="A66" s="1">
        <v>1065</v>
      </c>
      <c r="B66" s="2">
        <v>46136</v>
      </c>
      <c r="C66" s="1" t="s">
        <v>10</v>
      </c>
      <c r="D66" s="1" t="s">
        <v>11</v>
      </c>
      <c r="E66" s="4">
        <v>3</v>
      </c>
      <c r="F66" s="1" cm="1">
        <f t="array" ref="F66">_xlfn.IFS(D66="Tea", 40, D66="Coffee", 60, D66="Bakery", 100, D66="Beverages", 80)</f>
        <v>60</v>
      </c>
      <c r="G66" s="1">
        <f t="shared" si="0"/>
        <v>180</v>
      </c>
      <c r="H66" s="1" t="s">
        <v>25</v>
      </c>
      <c r="I66" s="1" t="s">
        <v>26</v>
      </c>
      <c r="J66" s="1">
        <v>4</v>
      </c>
    </row>
    <row r="67" spans="1:10" ht="15" x14ac:dyDescent="0.4">
      <c r="A67" s="1">
        <v>1066</v>
      </c>
      <c r="B67" s="2">
        <v>46049</v>
      </c>
      <c r="C67" s="1" t="s">
        <v>10</v>
      </c>
      <c r="D67" s="1" t="s">
        <v>14</v>
      </c>
      <c r="E67" s="4">
        <v>1</v>
      </c>
      <c r="F67" s="1" cm="1">
        <f t="array" ref="F67">_xlfn.IFS(D67="Tea", 40, D67="Coffee", 60, D67="Bakery", 100, D67="Beverages", 80)</f>
        <v>80</v>
      </c>
      <c r="G67" s="1">
        <f t="shared" ref="G67:G130" si="1">E67*F67</f>
        <v>80</v>
      </c>
      <c r="H67" s="1" t="s">
        <v>24</v>
      </c>
      <c r="I67" s="1" t="s">
        <v>23</v>
      </c>
      <c r="J67" s="1">
        <v>2</v>
      </c>
    </row>
    <row r="68" spans="1:10" ht="15" x14ac:dyDescent="0.4">
      <c r="A68" s="1">
        <v>1067</v>
      </c>
      <c r="B68" s="2">
        <v>46058</v>
      </c>
      <c r="C68" s="1" t="s">
        <v>12</v>
      </c>
      <c r="D68" s="1" t="s">
        <v>14</v>
      </c>
      <c r="E68" s="4">
        <v>2</v>
      </c>
      <c r="F68" s="1" cm="1">
        <f t="array" ref="F68">_xlfn.IFS(D68="Tea", 40, D68="Coffee", 60, D68="Bakery", 100, D68="Beverages", 80)</f>
        <v>80</v>
      </c>
      <c r="G68" s="1">
        <f t="shared" si="1"/>
        <v>160</v>
      </c>
      <c r="H68" s="1" t="s">
        <v>21</v>
      </c>
      <c r="I68" s="1" t="s">
        <v>22</v>
      </c>
      <c r="J68" s="1">
        <v>1</v>
      </c>
    </row>
    <row r="69" spans="1:10" ht="15" x14ac:dyDescent="0.4">
      <c r="A69" s="1">
        <v>1068</v>
      </c>
      <c r="B69" s="2">
        <v>46137</v>
      </c>
      <c r="C69" s="1" t="s">
        <v>12</v>
      </c>
      <c r="D69" s="1" t="s">
        <v>13</v>
      </c>
      <c r="E69" s="4">
        <v>1</v>
      </c>
      <c r="F69" s="1" cm="1">
        <f t="array" ref="F69">_xlfn.IFS(D69="Tea", 40, D69="Coffee", 60, D69="Bakery", 100, D69="Beverages", 80)</f>
        <v>100</v>
      </c>
      <c r="G69" s="1">
        <f t="shared" si="1"/>
        <v>100</v>
      </c>
      <c r="H69" s="1" t="s">
        <v>24</v>
      </c>
      <c r="I69" s="1" t="s">
        <v>22</v>
      </c>
      <c r="J69" s="1">
        <v>3</v>
      </c>
    </row>
    <row r="70" spans="1:10" ht="15" x14ac:dyDescent="0.4">
      <c r="A70" s="1">
        <v>1069</v>
      </c>
      <c r="B70" s="2">
        <v>46087</v>
      </c>
      <c r="C70" s="1" t="s">
        <v>8</v>
      </c>
      <c r="D70" s="1" t="s">
        <v>13</v>
      </c>
      <c r="E70" s="4">
        <v>1</v>
      </c>
      <c r="F70" s="1" cm="1">
        <f t="array" ref="F70">_xlfn.IFS(D70="Tea", 40, D70="Coffee", 60, D70="Bakery", 100, D70="Beverages", 80)</f>
        <v>100</v>
      </c>
      <c r="G70" s="1">
        <f t="shared" si="1"/>
        <v>100</v>
      </c>
      <c r="H70" s="1" t="s">
        <v>24</v>
      </c>
      <c r="I70" s="1" t="s">
        <v>26</v>
      </c>
      <c r="J70" s="1">
        <v>4</v>
      </c>
    </row>
    <row r="71" spans="1:10" ht="15" x14ac:dyDescent="0.4">
      <c r="A71" s="1">
        <v>1070</v>
      </c>
      <c r="B71" s="2">
        <v>46180</v>
      </c>
      <c r="C71" s="1" t="s">
        <v>12</v>
      </c>
      <c r="D71" s="1" t="s">
        <v>11</v>
      </c>
      <c r="E71" s="4">
        <v>1</v>
      </c>
      <c r="F71" s="1" cm="1">
        <f t="array" ref="F71">_xlfn.IFS(D71="Tea", 40, D71="Coffee", 60, D71="Bakery", 100, D71="Beverages", 80)</f>
        <v>60</v>
      </c>
      <c r="G71" s="1">
        <f t="shared" si="1"/>
        <v>60</v>
      </c>
      <c r="H71" s="1" t="s">
        <v>21</v>
      </c>
      <c r="I71" s="1" t="s">
        <v>23</v>
      </c>
      <c r="J71" s="1">
        <v>2</v>
      </c>
    </row>
    <row r="72" spans="1:10" ht="15" x14ac:dyDescent="0.4">
      <c r="A72" s="1">
        <v>1071</v>
      </c>
      <c r="B72" s="2">
        <v>46192</v>
      </c>
      <c r="C72" s="1" t="s">
        <v>10</v>
      </c>
      <c r="D72" s="1" t="s">
        <v>11</v>
      </c>
      <c r="E72" s="4">
        <v>1</v>
      </c>
      <c r="F72" s="1" cm="1">
        <f t="array" ref="F72">_xlfn.IFS(D72="Tea", 40, D72="Coffee", 60, D72="Bakery", 100, D72="Beverages", 80)</f>
        <v>60</v>
      </c>
      <c r="G72" s="1">
        <f t="shared" si="1"/>
        <v>60</v>
      </c>
      <c r="H72" s="1" t="s">
        <v>24</v>
      </c>
      <c r="I72" s="1" t="s">
        <v>22</v>
      </c>
      <c r="J72" s="1">
        <v>2</v>
      </c>
    </row>
    <row r="73" spans="1:10" ht="15" x14ac:dyDescent="0.4">
      <c r="A73" s="1">
        <v>1072</v>
      </c>
      <c r="B73" s="2">
        <v>46053</v>
      </c>
      <c r="C73" s="1" t="s">
        <v>10</v>
      </c>
      <c r="D73" s="1" t="s">
        <v>9</v>
      </c>
      <c r="E73" s="4">
        <v>3</v>
      </c>
      <c r="F73" s="1" cm="1">
        <f t="array" ref="F73">_xlfn.IFS(D73="Tea", 40, D73="Coffee", 60, D73="Bakery", 100, D73="Beverages", 80)</f>
        <v>40</v>
      </c>
      <c r="G73" s="1">
        <f t="shared" si="1"/>
        <v>120</v>
      </c>
      <c r="H73" s="1" t="s">
        <v>24</v>
      </c>
      <c r="I73" s="1" t="s">
        <v>22</v>
      </c>
      <c r="J73" s="1">
        <v>5</v>
      </c>
    </row>
    <row r="74" spans="1:10" ht="15" x14ac:dyDescent="0.4">
      <c r="A74" s="1">
        <v>1073</v>
      </c>
      <c r="B74" s="2">
        <v>46028</v>
      </c>
      <c r="C74" s="1" t="s">
        <v>8</v>
      </c>
      <c r="D74" s="1" t="s">
        <v>11</v>
      </c>
      <c r="E74" s="4">
        <v>1</v>
      </c>
      <c r="F74" s="1" cm="1">
        <f t="array" ref="F74">_xlfn.IFS(D74="Tea", 40, D74="Coffee", 60, D74="Bakery", 100, D74="Beverages", 80)</f>
        <v>60</v>
      </c>
      <c r="G74" s="1">
        <f t="shared" si="1"/>
        <v>60</v>
      </c>
      <c r="H74" s="1" t="s">
        <v>21</v>
      </c>
      <c r="I74" s="1" t="s">
        <v>23</v>
      </c>
      <c r="J74" s="1">
        <v>3</v>
      </c>
    </row>
    <row r="75" spans="1:10" ht="15" x14ac:dyDescent="0.4">
      <c r="A75" s="1">
        <v>1074</v>
      </c>
      <c r="B75" s="2">
        <v>46090</v>
      </c>
      <c r="C75" s="1" t="s">
        <v>10</v>
      </c>
      <c r="D75" s="1" t="s">
        <v>13</v>
      </c>
      <c r="E75" s="4">
        <v>3</v>
      </c>
      <c r="F75" s="1" cm="1">
        <f t="array" ref="F75">_xlfn.IFS(D75="Tea", 40, D75="Coffee", 60, D75="Bakery", 100, D75="Beverages", 80)</f>
        <v>100</v>
      </c>
      <c r="G75" s="1">
        <f t="shared" si="1"/>
        <v>300</v>
      </c>
      <c r="H75" s="1" t="s">
        <v>25</v>
      </c>
      <c r="I75" s="1" t="s">
        <v>22</v>
      </c>
      <c r="J75" s="1">
        <v>5</v>
      </c>
    </row>
    <row r="76" spans="1:10" ht="15" x14ac:dyDescent="0.4">
      <c r="A76" s="1">
        <v>1075</v>
      </c>
      <c r="B76" s="2">
        <v>46036</v>
      </c>
      <c r="C76" s="1" t="s">
        <v>12</v>
      </c>
      <c r="D76" s="1" t="s">
        <v>11</v>
      </c>
      <c r="E76" s="4">
        <v>1</v>
      </c>
      <c r="F76" s="1" cm="1">
        <f t="array" ref="F76">_xlfn.IFS(D76="Tea", 40, D76="Coffee", 60, D76="Bakery", 100, D76="Beverages", 80)</f>
        <v>60</v>
      </c>
      <c r="G76" s="1">
        <f t="shared" si="1"/>
        <v>60</v>
      </c>
      <c r="H76" s="1" t="s">
        <v>24</v>
      </c>
      <c r="I76" s="1" t="s">
        <v>26</v>
      </c>
      <c r="J76" s="1">
        <v>4</v>
      </c>
    </row>
    <row r="77" spans="1:10" ht="15" x14ac:dyDescent="0.4">
      <c r="A77" s="1">
        <v>1076</v>
      </c>
      <c r="B77" s="2">
        <v>46186</v>
      </c>
      <c r="C77" s="1" t="s">
        <v>12</v>
      </c>
      <c r="D77" s="1" t="s">
        <v>11</v>
      </c>
      <c r="E77" s="4">
        <v>1</v>
      </c>
      <c r="F77" s="1" cm="1">
        <f t="array" ref="F77">_xlfn.IFS(D77="Tea", 40, D77="Coffee", 60, D77="Bakery", 100, D77="Beverages", 80)</f>
        <v>60</v>
      </c>
      <c r="G77" s="1">
        <f t="shared" si="1"/>
        <v>60</v>
      </c>
      <c r="H77" s="1" t="s">
        <v>25</v>
      </c>
      <c r="I77" s="1" t="s">
        <v>26</v>
      </c>
      <c r="J77" s="1">
        <v>5</v>
      </c>
    </row>
    <row r="78" spans="1:10" ht="15" x14ac:dyDescent="0.4">
      <c r="A78" s="1">
        <v>1077</v>
      </c>
      <c r="B78" s="2">
        <v>46134</v>
      </c>
      <c r="C78" s="1" t="s">
        <v>8</v>
      </c>
      <c r="D78" s="1" t="s">
        <v>14</v>
      </c>
      <c r="E78" s="4">
        <v>1</v>
      </c>
      <c r="F78" s="1" cm="1">
        <f t="array" ref="F78">_xlfn.IFS(D78="Tea", 40, D78="Coffee", 60, D78="Bakery", 100, D78="Beverages", 80)</f>
        <v>80</v>
      </c>
      <c r="G78" s="1">
        <f t="shared" si="1"/>
        <v>80</v>
      </c>
      <c r="H78" s="1" t="s">
        <v>25</v>
      </c>
      <c r="I78" s="1" t="s">
        <v>26</v>
      </c>
      <c r="J78" s="1">
        <v>4</v>
      </c>
    </row>
    <row r="79" spans="1:10" ht="15" x14ac:dyDescent="0.4">
      <c r="A79" s="1">
        <v>1078</v>
      </c>
      <c r="B79" s="2">
        <v>46183</v>
      </c>
      <c r="C79" s="1" t="s">
        <v>8</v>
      </c>
      <c r="D79" s="1" t="s">
        <v>9</v>
      </c>
      <c r="E79" s="4">
        <v>3</v>
      </c>
      <c r="F79" s="1" cm="1">
        <f t="array" ref="F79">_xlfn.IFS(D79="Tea", 40, D79="Coffee", 60, D79="Bakery", 100, D79="Beverages", 80)</f>
        <v>40</v>
      </c>
      <c r="G79" s="1">
        <f t="shared" si="1"/>
        <v>120</v>
      </c>
      <c r="H79" s="1" t="s">
        <v>24</v>
      </c>
      <c r="I79" s="1" t="s">
        <v>23</v>
      </c>
      <c r="J79" s="1">
        <v>1</v>
      </c>
    </row>
    <row r="80" spans="1:10" ht="15" x14ac:dyDescent="0.4">
      <c r="A80" s="1">
        <v>1079</v>
      </c>
      <c r="B80" s="2">
        <v>46172</v>
      </c>
      <c r="C80" s="1" t="s">
        <v>8</v>
      </c>
      <c r="D80" s="1" t="s">
        <v>9</v>
      </c>
      <c r="E80" s="4">
        <v>1</v>
      </c>
      <c r="F80" s="1" cm="1">
        <f t="array" ref="F80">_xlfn.IFS(D80="Tea", 40, D80="Coffee", 60, D80="Bakery", 100, D80="Beverages", 80)</f>
        <v>40</v>
      </c>
      <c r="G80" s="1">
        <f t="shared" si="1"/>
        <v>40</v>
      </c>
      <c r="H80" s="1" t="s">
        <v>21</v>
      </c>
      <c r="I80" s="1" t="s">
        <v>23</v>
      </c>
      <c r="J80" s="1">
        <v>4</v>
      </c>
    </row>
    <row r="81" spans="1:10" ht="15" x14ac:dyDescent="0.4">
      <c r="A81" s="1">
        <v>1080</v>
      </c>
      <c r="B81" s="2">
        <v>46158</v>
      </c>
      <c r="C81" s="1" t="s">
        <v>10</v>
      </c>
      <c r="D81" s="1" t="s">
        <v>13</v>
      </c>
      <c r="E81" s="4">
        <v>1</v>
      </c>
      <c r="F81" s="1" cm="1">
        <f t="array" ref="F81">_xlfn.IFS(D81="Tea", 40, D81="Coffee", 60, D81="Bakery", 100, D81="Beverages", 80)</f>
        <v>100</v>
      </c>
      <c r="G81" s="1">
        <f t="shared" si="1"/>
        <v>100</v>
      </c>
      <c r="H81" s="1" t="s">
        <v>21</v>
      </c>
      <c r="I81" s="1" t="s">
        <v>23</v>
      </c>
      <c r="J81" s="1">
        <v>5</v>
      </c>
    </row>
    <row r="82" spans="1:10" ht="15" x14ac:dyDescent="0.4">
      <c r="A82" s="1">
        <v>1081</v>
      </c>
      <c r="B82" s="2">
        <v>46126</v>
      </c>
      <c r="C82" s="1" t="s">
        <v>8</v>
      </c>
      <c r="D82" s="1" t="s">
        <v>11</v>
      </c>
      <c r="E82" s="4">
        <v>3</v>
      </c>
      <c r="F82" s="1" cm="1">
        <f t="array" ref="F82">_xlfn.IFS(D82="Tea", 40, D82="Coffee", 60, D82="Bakery", 100, D82="Beverages", 80)</f>
        <v>60</v>
      </c>
      <c r="G82" s="1">
        <f t="shared" si="1"/>
        <v>180</v>
      </c>
      <c r="H82" s="1" t="s">
        <v>24</v>
      </c>
      <c r="I82" s="1" t="s">
        <v>26</v>
      </c>
      <c r="J82" s="1">
        <v>5</v>
      </c>
    </row>
    <row r="83" spans="1:10" ht="15" x14ac:dyDescent="0.4">
      <c r="A83" s="1">
        <v>1082</v>
      </c>
      <c r="B83" s="2">
        <v>46150</v>
      </c>
      <c r="C83" s="1" t="s">
        <v>12</v>
      </c>
      <c r="D83" s="1" t="s">
        <v>11</v>
      </c>
      <c r="E83" s="4">
        <v>1</v>
      </c>
      <c r="F83" s="1" cm="1">
        <f t="array" ref="F83">_xlfn.IFS(D83="Tea", 40, D83="Coffee", 60, D83="Bakery", 100, D83="Beverages", 80)</f>
        <v>60</v>
      </c>
      <c r="G83" s="1">
        <f t="shared" si="1"/>
        <v>60</v>
      </c>
      <c r="H83" s="1" t="s">
        <v>21</v>
      </c>
      <c r="I83" s="1" t="s">
        <v>22</v>
      </c>
      <c r="J83" s="1">
        <v>4</v>
      </c>
    </row>
    <row r="84" spans="1:10" ht="15" x14ac:dyDescent="0.4">
      <c r="A84" s="1">
        <v>1083</v>
      </c>
      <c r="B84" s="2">
        <v>46063</v>
      </c>
      <c r="C84" s="1" t="s">
        <v>8</v>
      </c>
      <c r="D84" s="1" t="s">
        <v>11</v>
      </c>
      <c r="E84" s="4">
        <v>2</v>
      </c>
      <c r="F84" s="1" cm="1">
        <f t="array" ref="F84">_xlfn.IFS(D84="Tea", 40, D84="Coffee", 60, D84="Bakery", 100, D84="Beverages", 80)</f>
        <v>60</v>
      </c>
      <c r="G84" s="1">
        <f t="shared" si="1"/>
        <v>120</v>
      </c>
      <c r="H84" s="1" t="s">
        <v>21</v>
      </c>
      <c r="I84" s="1" t="s">
        <v>22</v>
      </c>
      <c r="J84" s="1">
        <v>3</v>
      </c>
    </row>
    <row r="85" spans="1:10" ht="15" x14ac:dyDescent="0.4">
      <c r="A85" s="1">
        <v>1084</v>
      </c>
      <c r="B85" s="2">
        <v>46030</v>
      </c>
      <c r="C85" s="1" t="s">
        <v>8</v>
      </c>
      <c r="D85" s="1" t="s">
        <v>13</v>
      </c>
      <c r="E85" s="4">
        <v>1</v>
      </c>
      <c r="F85" s="1" cm="1">
        <f t="array" ref="F85">_xlfn.IFS(D85="Tea", 40, D85="Coffee", 60, D85="Bakery", 100, D85="Beverages", 80)</f>
        <v>100</v>
      </c>
      <c r="G85" s="1">
        <f t="shared" si="1"/>
        <v>100</v>
      </c>
      <c r="H85" s="1" t="s">
        <v>25</v>
      </c>
      <c r="I85" s="1" t="s">
        <v>22</v>
      </c>
      <c r="J85" s="1">
        <v>5</v>
      </c>
    </row>
    <row r="86" spans="1:10" ht="15" x14ac:dyDescent="0.4">
      <c r="A86" s="1">
        <v>1085</v>
      </c>
      <c r="B86" s="2">
        <v>46097</v>
      </c>
      <c r="C86" s="1" t="s">
        <v>12</v>
      </c>
      <c r="D86" s="1" t="s">
        <v>9</v>
      </c>
      <c r="E86" s="4">
        <v>1</v>
      </c>
      <c r="F86" s="1" cm="1">
        <f t="array" ref="F86">_xlfn.IFS(D86="Tea", 40, D86="Coffee", 60, D86="Bakery", 100, D86="Beverages", 80)</f>
        <v>40</v>
      </c>
      <c r="G86" s="1">
        <f t="shared" si="1"/>
        <v>40</v>
      </c>
      <c r="H86" s="1" t="s">
        <v>25</v>
      </c>
      <c r="I86" s="1" t="s">
        <v>23</v>
      </c>
      <c r="J86" s="1">
        <v>2</v>
      </c>
    </row>
    <row r="87" spans="1:10" ht="15" x14ac:dyDescent="0.4">
      <c r="A87" s="1">
        <v>1086</v>
      </c>
      <c r="B87" s="2">
        <v>46185</v>
      </c>
      <c r="C87" s="1" t="s">
        <v>12</v>
      </c>
      <c r="D87" s="1" t="s">
        <v>11</v>
      </c>
      <c r="E87" s="4">
        <v>2</v>
      </c>
      <c r="F87" s="1" cm="1">
        <f t="array" ref="F87">_xlfn.IFS(D87="Tea", 40, D87="Coffee", 60, D87="Bakery", 100, D87="Beverages", 80)</f>
        <v>60</v>
      </c>
      <c r="G87" s="1">
        <f t="shared" si="1"/>
        <v>120</v>
      </c>
      <c r="H87" s="1" t="s">
        <v>21</v>
      </c>
      <c r="I87" s="1" t="s">
        <v>26</v>
      </c>
      <c r="J87" s="1">
        <v>4</v>
      </c>
    </row>
    <row r="88" spans="1:10" ht="15" x14ac:dyDescent="0.4">
      <c r="A88" s="1">
        <v>1087</v>
      </c>
      <c r="B88" s="2">
        <v>46095</v>
      </c>
      <c r="C88" s="1" t="s">
        <v>8</v>
      </c>
      <c r="D88" s="1" t="s">
        <v>13</v>
      </c>
      <c r="E88" s="4">
        <v>1</v>
      </c>
      <c r="F88" s="1" cm="1">
        <f t="array" ref="F88">_xlfn.IFS(D88="Tea", 40, D88="Coffee", 60, D88="Bakery", 100, D88="Beverages", 80)</f>
        <v>100</v>
      </c>
      <c r="G88" s="1">
        <f t="shared" si="1"/>
        <v>100</v>
      </c>
      <c r="H88" s="1" t="s">
        <v>24</v>
      </c>
      <c r="I88" s="1" t="s">
        <v>23</v>
      </c>
      <c r="J88" s="1">
        <v>3</v>
      </c>
    </row>
    <row r="89" spans="1:10" ht="15" x14ac:dyDescent="0.4">
      <c r="A89" s="1">
        <v>1088</v>
      </c>
      <c r="B89" s="2">
        <v>46167</v>
      </c>
      <c r="C89" s="1" t="s">
        <v>10</v>
      </c>
      <c r="D89" s="1" t="s">
        <v>9</v>
      </c>
      <c r="E89" s="4">
        <v>2</v>
      </c>
      <c r="F89" s="1" cm="1">
        <f t="array" ref="F89">_xlfn.IFS(D89="Tea", 40, D89="Coffee", 60, D89="Bakery", 100, D89="Beverages", 80)</f>
        <v>40</v>
      </c>
      <c r="G89" s="1">
        <f t="shared" si="1"/>
        <v>80</v>
      </c>
      <c r="H89" s="1" t="s">
        <v>24</v>
      </c>
      <c r="I89" s="1" t="s">
        <v>22</v>
      </c>
      <c r="J89" s="1">
        <v>5</v>
      </c>
    </row>
    <row r="90" spans="1:10" ht="15" x14ac:dyDescent="0.4">
      <c r="A90" s="1">
        <v>1089</v>
      </c>
      <c r="B90" s="2">
        <v>46186</v>
      </c>
      <c r="C90" s="1" t="s">
        <v>12</v>
      </c>
      <c r="D90" s="1" t="s">
        <v>9</v>
      </c>
      <c r="E90" s="4">
        <v>2</v>
      </c>
      <c r="F90" s="1" cm="1">
        <f t="array" ref="F90">_xlfn.IFS(D90="Tea", 40, D90="Coffee", 60, D90="Bakery", 100, D90="Beverages", 80)</f>
        <v>40</v>
      </c>
      <c r="G90" s="1">
        <f t="shared" si="1"/>
        <v>80</v>
      </c>
      <c r="H90" s="1" t="s">
        <v>21</v>
      </c>
      <c r="I90" s="1" t="s">
        <v>23</v>
      </c>
      <c r="J90" s="1">
        <v>3</v>
      </c>
    </row>
    <row r="91" spans="1:10" ht="15" x14ac:dyDescent="0.4">
      <c r="A91" s="1">
        <v>1090</v>
      </c>
      <c r="B91" s="2">
        <v>46048</v>
      </c>
      <c r="C91" s="1" t="s">
        <v>12</v>
      </c>
      <c r="D91" s="1" t="s">
        <v>11</v>
      </c>
      <c r="E91" s="4">
        <v>1</v>
      </c>
      <c r="F91" s="1" cm="1">
        <f t="array" ref="F91">_xlfn.IFS(D91="Tea", 40, D91="Coffee", 60, D91="Bakery", 100, D91="Beverages", 80)</f>
        <v>60</v>
      </c>
      <c r="G91" s="1">
        <f t="shared" si="1"/>
        <v>60</v>
      </c>
      <c r="H91" s="1" t="s">
        <v>25</v>
      </c>
      <c r="I91" s="1" t="s">
        <v>23</v>
      </c>
      <c r="J91" s="1">
        <v>2</v>
      </c>
    </row>
    <row r="92" spans="1:10" ht="15" x14ac:dyDescent="0.4">
      <c r="A92" s="1">
        <v>1091</v>
      </c>
      <c r="B92" s="2">
        <v>46100</v>
      </c>
      <c r="C92" s="1" t="s">
        <v>8</v>
      </c>
      <c r="D92" s="1" t="s">
        <v>9</v>
      </c>
      <c r="E92" s="4">
        <v>1</v>
      </c>
      <c r="F92" s="1" cm="1">
        <f t="array" ref="F92">_xlfn.IFS(D92="Tea", 40, D92="Coffee", 60, D92="Bakery", 100, D92="Beverages", 80)</f>
        <v>40</v>
      </c>
      <c r="G92" s="1">
        <f t="shared" si="1"/>
        <v>40</v>
      </c>
      <c r="H92" s="1" t="s">
        <v>21</v>
      </c>
      <c r="I92" s="1" t="s">
        <v>23</v>
      </c>
      <c r="J92" s="1">
        <v>5</v>
      </c>
    </row>
    <row r="93" spans="1:10" ht="15" x14ac:dyDescent="0.4">
      <c r="A93" s="1">
        <v>1092</v>
      </c>
      <c r="B93" s="2">
        <v>46117</v>
      </c>
      <c r="C93" s="1" t="s">
        <v>8</v>
      </c>
      <c r="D93" s="1" t="s">
        <v>11</v>
      </c>
      <c r="E93" s="4">
        <v>3</v>
      </c>
      <c r="F93" s="1" cm="1">
        <f t="array" ref="F93">_xlfn.IFS(D93="Tea", 40, D93="Coffee", 60, D93="Bakery", 100, D93="Beverages", 80)</f>
        <v>60</v>
      </c>
      <c r="G93" s="1">
        <f t="shared" si="1"/>
        <v>180</v>
      </c>
      <c r="H93" s="1" t="s">
        <v>24</v>
      </c>
      <c r="I93" s="1" t="s">
        <v>23</v>
      </c>
      <c r="J93" s="1">
        <v>4</v>
      </c>
    </row>
    <row r="94" spans="1:10" ht="15" x14ac:dyDescent="0.4">
      <c r="A94" s="1">
        <v>1093</v>
      </c>
      <c r="B94" s="2">
        <v>46164</v>
      </c>
      <c r="C94" s="1" t="s">
        <v>12</v>
      </c>
      <c r="D94" s="1" t="s">
        <v>14</v>
      </c>
      <c r="E94" s="4">
        <v>1</v>
      </c>
      <c r="F94" s="1" cm="1">
        <f t="array" ref="F94">_xlfn.IFS(D94="Tea", 40, D94="Coffee", 60, D94="Bakery", 100, D94="Beverages", 80)</f>
        <v>80</v>
      </c>
      <c r="G94" s="1">
        <f t="shared" si="1"/>
        <v>80</v>
      </c>
      <c r="H94" s="1" t="s">
        <v>21</v>
      </c>
      <c r="I94" s="1" t="s">
        <v>23</v>
      </c>
      <c r="J94" s="1">
        <v>3</v>
      </c>
    </row>
    <row r="95" spans="1:10" ht="15" x14ac:dyDescent="0.4">
      <c r="A95" s="1">
        <v>1094</v>
      </c>
      <c r="B95" s="2">
        <v>46063</v>
      </c>
      <c r="C95" s="1" t="s">
        <v>8</v>
      </c>
      <c r="D95" s="1" t="s">
        <v>13</v>
      </c>
      <c r="E95" s="4">
        <v>2</v>
      </c>
      <c r="F95" s="1" cm="1">
        <f t="array" ref="F95">_xlfn.IFS(D95="Tea", 40, D95="Coffee", 60, D95="Bakery", 100, D95="Beverages", 80)</f>
        <v>100</v>
      </c>
      <c r="G95" s="1">
        <f t="shared" si="1"/>
        <v>200</v>
      </c>
      <c r="H95" s="1" t="s">
        <v>24</v>
      </c>
      <c r="I95" s="1" t="s">
        <v>22</v>
      </c>
      <c r="J95" s="1">
        <v>1</v>
      </c>
    </row>
    <row r="96" spans="1:10" ht="15" x14ac:dyDescent="0.4">
      <c r="A96" s="1">
        <v>1095</v>
      </c>
      <c r="B96" s="2">
        <v>46177</v>
      </c>
      <c r="C96" s="1" t="s">
        <v>10</v>
      </c>
      <c r="D96" s="1" t="s">
        <v>14</v>
      </c>
      <c r="E96" s="4">
        <v>1</v>
      </c>
      <c r="F96" s="1" cm="1">
        <f t="array" ref="F96">_xlfn.IFS(D96="Tea", 40, D96="Coffee", 60, D96="Bakery", 100, D96="Beverages", 80)</f>
        <v>80</v>
      </c>
      <c r="G96" s="1">
        <f t="shared" si="1"/>
        <v>80</v>
      </c>
      <c r="H96" s="1" t="s">
        <v>25</v>
      </c>
      <c r="I96" s="1" t="s">
        <v>22</v>
      </c>
      <c r="J96" s="1">
        <v>4</v>
      </c>
    </row>
    <row r="97" spans="1:10" ht="15" x14ac:dyDescent="0.4">
      <c r="A97" s="1">
        <v>1096</v>
      </c>
      <c r="B97" s="2">
        <v>46126</v>
      </c>
      <c r="C97" s="1" t="s">
        <v>12</v>
      </c>
      <c r="D97" s="1" t="s">
        <v>13</v>
      </c>
      <c r="E97" s="4">
        <v>2</v>
      </c>
      <c r="F97" s="1" cm="1">
        <f t="array" ref="F97">_xlfn.IFS(D97="Tea", 40, D97="Coffee", 60, D97="Bakery", 100, D97="Beverages", 80)</f>
        <v>100</v>
      </c>
      <c r="G97" s="1">
        <f t="shared" si="1"/>
        <v>200</v>
      </c>
      <c r="H97" s="1" t="s">
        <v>21</v>
      </c>
      <c r="I97" s="1" t="s">
        <v>26</v>
      </c>
      <c r="J97" s="1">
        <v>3</v>
      </c>
    </row>
    <row r="98" spans="1:10" ht="15" x14ac:dyDescent="0.4">
      <c r="A98" s="1">
        <v>1097</v>
      </c>
      <c r="B98" s="2">
        <v>46111</v>
      </c>
      <c r="C98" s="1" t="s">
        <v>10</v>
      </c>
      <c r="D98" s="1" t="s">
        <v>9</v>
      </c>
      <c r="E98" s="4">
        <v>1</v>
      </c>
      <c r="F98" s="1" cm="1">
        <f t="array" ref="F98">_xlfn.IFS(D98="Tea", 40, D98="Coffee", 60, D98="Bakery", 100, D98="Beverages", 80)</f>
        <v>40</v>
      </c>
      <c r="G98" s="1">
        <f t="shared" si="1"/>
        <v>40</v>
      </c>
      <c r="H98" s="1" t="s">
        <v>24</v>
      </c>
      <c r="I98" s="1" t="s">
        <v>26</v>
      </c>
      <c r="J98" s="1">
        <v>2</v>
      </c>
    </row>
    <row r="99" spans="1:10" ht="15" x14ac:dyDescent="0.4">
      <c r="A99" s="1">
        <v>1098</v>
      </c>
      <c r="B99" s="2">
        <v>46115</v>
      </c>
      <c r="C99" s="1" t="s">
        <v>12</v>
      </c>
      <c r="D99" s="1" t="s">
        <v>14</v>
      </c>
      <c r="E99" s="4">
        <v>3</v>
      </c>
      <c r="F99" s="1" cm="1">
        <f t="array" ref="F99">_xlfn.IFS(D99="Tea", 40, D99="Coffee", 60, D99="Bakery", 100, D99="Beverages", 80)</f>
        <v>80</v>
      </c>
      <c r="G99" s="1">
        <f t="shared" si="1"/>
        <v>240</v>
      </c>
      <c r="H99" s="1" t="s">
        <v>25</v>
      </c>
      <c r="I99" s="1" t="s">
        <v>22</v>
      </c>
      <c r="J99" s="1">
        <v>2</v>
      </c>
    </row>
    <row r="100" spans="1:10" ht="15" x14ac:dyDescent="0.4">
      <c r="A100" s="1">
        <v>1099</v>
      </c>
      <c r="B100" s="2">
        <v>46032</v>
      </c>
      <c r="C100" s="1" t="s">
        <v>10</v>
      </c>
      <c r="D100" s="1" t="s">
        <v>9</v>
      </c>
      <c r="E100" s="4">
        <v>1</v>
      </c>
      <c r="F100" s="1" cm="1">
        <f t="array" ref="F100">_xlfn.IFS(D100="Tea", 40, D100="Coffee", 60, D100="Bakery", 100, D100="Beverages", 80)</f>
        <v>40</v>
      </c>
      <c r="G100" s="1">
        <f t="shared" si="1"/>
        <v>40</v>
      </c>
      <c r="H100" s="1" t="s">
        <v>24</v>
      </c>
      <c r="I100" s="1" t="s">
        <v>22</v>
      </c>
      <c r="J100" s="1">
        <v>5</v>
      </c>
    </row>
    <row r="101" spans="1:10" ht="15" x14ac:dyDescent="0.4">
      <c r="A101" s="1">
        <v>1100</v>
      </c>
      <c r="B101" s="2">
        <v>46123</v>
      </c>
      <c r="C101" s="1" t="s">
        <v>12</v>
      </c>
      <c r="D101" s="1" t="s">
        <v>13</v>
      </c>
      <c r="E101" s="4">
        <v>3</v>
      </c>
      <c r="F101" s="1" cm="1">
        <f t="array" ref="F101">_xlfn.IFS(D101="Tea", 40, D101="Coffee", 60, D101="Bakery", 100, D101="Beverages", 80)</f>
        <v>100</v>
      </c>
      <c r="G101" s="1">
        <f t="shared" si="1"/>
        <v>300</v>
      </c>
      <c r="H101" s="1" t="s">
        <v>21</v>
      </c>
      <c r="I101" s="1" t="s">
        <v>26</v>
      </c>
      <c r="J101" s="1">
        <v>2</v>
      </c>
    </row>
    <row r="102" spans="1:10" ht="15" x14ac:dyDescent="0.4">
      <c r="A102" s="1">
        <v>1101</v>
      </c>
      <c r="B102" s="2">
        <v>46041</v>
      </c>
      <c r="C102" s="1" t="s">
        <v>10</v>
      </c>
      <c r="D102" s="1" t="s">
        <v>9</v>
      </c>
      <c r="E102" s="4">
        <v>2</v>
      </c>
      <c r="F102" s="1" cm="1">
        <f t="array" ref="F102">_xlfn.IFS(D102="Tea", 40, D102="Coffee", 60, D102="Bakery", 100, D102="Beverages", 80)</f>
        <v>40</v>
      </c>
      <c r="G102" s="1">
        <f t="shared" si="1"/>
        <v>80</v>
      </c>
      <c r="H102" s="1" t="s">
        <v>24</v>
      </c>
      <c r="I102" s="1" t="s">
        <v>26</v>
      </c>
      <c r="J102" s="1">
        <v>1</v>
      </c>
    </row>
    <row r="103" spans="1:10" ht="15" x14ac:dyDescent="0.4">
      <c r="A103" s="1">
        <v>1102</v>
      </c>
      <c r="B103" s="2">
        <v>46055</v>
      </c>
      <c r="C103" s="1" t="s">
        <v>10</v>
      </c>
      <c r="D103" s="1" t="s">
        <v>11</v>
      </c>
      <c r="E103" s="4">
        <v>3</v>
      </c>
      <c r="F103" s="1" cm="1">
        <f t="array" ref="F103">_xlfn.IFS(D103="Tea", 40, D103="Coffee", 60, D103="Bakery", 100, D103="Beverages", 80)</f>
        <v>60</v>
      </c>
      <c r="G103" s="1">
        <f t="shared" si="1"/>
        <v>180</v>
      </c>
      <c r="H103" s="1" t="s">
        <v>21</v>
      </c>
      <c r="I103" s="1" t="s">
        <v>23</v>
      </c>
      <c r="J103" s="1">
        <v>1</v>
      </c>
    </row>
    <row r="104" spans="1:10" ht="15" x14ac:dyDescent="0.4">
      <c r="A104" s="1">
        <v>1103</v>
      </c>
      <c r="B104" s="2">
        <v>46049</v>
      </c>
      <c r="C104" s="1" t="s">
        <v>12</v>
      </c>
      <c r="D104" s="1" t="s">
        <v>14</v>
      </c>
      <c r="E104" s="4">
        <v>1</v>
      </c>
      <c r="F104" s="1" cm="1">
        <f t="array" ref="F104">_xlfn.IFS(D104="Tea", 40, D104="Coffee", 60, D104="Bakery", 100, D104="Beverages", 80)</f>
        <v>80</v>
      </c>
      <c r="G104" s="1">
        <f t="shared" si="1"/>
        <v>80</v>
      </c>
      <c r="H104" s="1" t="s">
        <v>25</v>
      </c>
      <c r="I104" s="1" t="s">
        <v>26</v>
      </c>
      <c r="J104" s="1">
        <v>3</v>
      </c>
    </row>
    <row r="105" spans="1:10" ht="15" x14ac:dyDescent="0.4">
      <c r="A105" s="1">
        <v>1104</v>
      </c>
      <c r="B105" s="2">
        <v>46057</v>
      </c>
      <c r="C105" s="1" t="s">
        <v>12</v>
      </c>
      <c r="D105" s="1" t="s">
        <v>9</v>
      </c>
      <c r="E105" s="4">
        <v>2</v>
      </c>
      <c r="F105" s="1" cm="1">
        <f t="array" ref="F105">_xlfn.IFS(D105="Tea", 40, D105="Coffee", 60, D105="Bakery", 100, D105="Beverages", 80)</f>
        <v>40</v>
      </c>
      <c r="G105" s="1">
        <f t="shared" si="1"/>
        <v>80</v>
      </c>
      <c r="H105" s="1" t="s">
        <v>24</v>
      </c>
      <c r="I105" s="1" t="s">
        <v>22</v>
      </c>
      <c r="J105" s="1">
        <v>5</v>
      </c>
    </row>
    <row r="106" spans="1:10" ht="15" x14ac:dyDescent="0.4">
      <c r="A106" s="1">
        <v>1105</v>
      </c>
      <c r="B106" s="2">
        <v>46095</v>
      </c>
      <c r="C106" s="1" t="s">
        <v>10</v>
      </c>
      <c r="D106" s="1" t="s">
        <v>14</v>
      </c>
      <c r="E106" s="4">
        <v>2</v>
      </c>
      <c r="F106" s="1" cm="1">
        <f t="array" ref="F106">_xlfn.IFS(D106="Tea", 40, D106="Coffee", 60, D106="Bakery", 100, D106="Beverages", 80)</f>
        <v>80</v>
      </c>
      <c r="G106" s="1">
        <f t="shared" si="1"/>
        <v>160</v>
      </c>
      <c r="H106" s="1" t="s">
        <v>21</v>
      </c>
      <c r="I106" s="1" t="s">
        <v>22</v>
      </c>
      <c r="J106" s="1">
        <v>3</v>
      </c>
    </row>
    <row r="107" spans="1:10" ht="15" x14ac:dyDescent="0.4">
      <c r="A107" s="1">
        <v>1106</v>
      </c>
      <c r="B107" s="2">
        <v>46169</v>
      </c>
      <c r="C107" s="1" t="s">
        <v>8</v>
      </c>
      <c r="D107" s="1" t="s">
        <v>9</v>
      </c>
      <c r="E107" s="4">
        <v>2</v>
      </c>
      <c r="F107" s="1" cm="1">
        <f t="array" ref="F107">_xlfn.IFS(D107="Tea", 40, D107="Coffee", 60, D107="Bakery", 100, D107="Beverages", 80)</f>
        <v>40</v>
      </c>
      <c r="G107" s="1">
        <f t="shared" si="1"/>
        <v>80</v>
      </c>
      <c r="H107" s="1" t="s">
        <v>24</v>
      </c>
      <c r="I107" s="1" t="s">
        <v>22</v>
      </c>
      <c r="J107" s="1">
        <v>1</v>
      </c>
    </row>
    <row r="108" spans="1:10" ht="15" x14ac:dyDescent="0.4">
      <c r="A108" s="1">
        <v>1107</v>
      </c>
      <c r="B108" s="2">
        <v>46083</v>
      </c>
      <c r="C108" s="1" t="s">
        <v>12</v>
      </c>
      <c r="D108" s="1" t="s">
        <v>14</v>
      </c>
      <c r="E108" s="4">
        <v>2</v>
      </c>
      <c r="F108" s="1" cm="1">
        <f t="array" ref="F108">_xlfn.IFS(D108="Tea", 40, D108="Coffee", 60, D108="Bakery", 100, D108="Beverages", 80)</f>
        <v>80</v>
      </c>
      <c r="G108" s="1">
        <f t="shared" si="1"/>
        <v>160</v>
      </c>
      <c r="H108" s="1" t="s">
        <v>24</v>
      </c>
      <c r="I108" s="1" t="s">
        <v>26</v>
      </c>
      <c r="J108" s="1">
        <v>2</v>
      </c>
    </row>
    <row r="109" spans="1:10" ht="15" x14ac:dyDescent="0.4">
      <c r="A109" s="1">
        <v>1108</v>
      </c>
      <c r="B109" s="2">
        <v>46188</v>
      </c>
      <c r="C109" s="1" t="s">
        <v>12</v>
      </c>
      <c r="D109" s="1" t="s">
        <v>14</v>
      </c>
      <c r="E109" s="4">
        <v>2</v>
      </c>
      <c r="F109" s="1" cm="1">
        <f t="array" ref="F109">_xlfn.IFS(D109="Tea", 40, D109="Coffee", 60, D109="Bakery", 100, D109="Beverages", 80)</f>
        <v>80</v>
      </c>
      <c r="G109" s="1">
        <f t="shared" si="1"/>
        <v>160</v>
      </c>
      <c r="H109" s="1" t="s">
        <v>21</v>
      </c>
      <c r="I109" s="1" t="s">
        <v>26</v>
      </c>
      <c r="J109" s="1">
        <v>3</v>
      </c>
    </row>
    <row r="110" spans="1:10" ht="15" x14ac:dyDescent="0.4">
      <c r="A110" s="1">
        <v>1109</v>
      </c>
      <c r="B110" s="2">
        <v>46107</v>
      </c>
      <c r="C110" s="1" t="s">
        <v>8</v>
      </c>
      <c r="D110" s="1" t="s">
        <v>13</v>
      </c>
      <c r="E110" s="4">
        <v>3</v>
      </c>
      <c r="F110" s="1" cm="1">
        <f t="array" ref="F110">_xlfn.IFS(D110="Tea", 40, D110="Coffee", 60, D110="Bakery", 100, D110="Beverages", 80)</f>
        <v>100</v>
      </c>
      <c r="G110" s="1">
        <f t="shared" si="1"/>
        <v>300</v>
      </c>
      <c r="H110" s="1" t="s">
        <v>21</v>
      </c>
      <c r="I110" s="1" t="s">
        <v>26</v>
      </c>
      <c r="J110" s="1">
        <v>3</v>
      </c>
    </row>
    <row r="111" spans="1:10" ht="15" x14ac:dyDescent="0.4">
      <c r="A111" s="1">
        <v>1110</v>
      </c>
      <c r="B111" s="2">
        <v>46149</v>
      </c>
      <c r="C111" s="1" t="s">
        <v>12</v>
      </c>
      <c r="D111" s="1" t="s">
        <v>9</v>
      </c>
      <c r="E111" s="4">
        <v>1</v>
      </c>
      <c r="F111" s="1" cm="1">
        <f t="array" ref="F111">_xlfn.IFS(D111="Tea", 40, D111="Coffee", 60, D111="Bakery", 100, D111="Beverages", 80)</f>
        <v>40</v>
      </c>
      <c r="G111" s="1">
        <f t="shared" si="1"/>
        <v>40</v>
      </c>
      <c r="H111" s="1" t="s">
        <v>24</v>
      </c>
      <c r="I111" s="1" t="s">
        <v>22</v>
      </c>
      <c r="J111" s="1">
        <v>5</v>
      </c>
    </row>
    <row r="112" spans="1:10" ht="15" x14ac:dyDescent="0.4">
      <c r="A112" s="1">
        <v>1111</v>
      </c>
      <c r="B112" s="2">
        <v>46148</v>
      </c>
      <c r="C112" s="1" t="s">
        <v>12</v>
      </c>
      <c r="D112" s="1" t="s">
        <v>11</v>
      </c>
      <c r="E112" s="4">
        <v>2</v>
      </c>
      <c r="F112" s="1" cm="1">
        <f t="array" ref="F112">_xlfn.IFS(D112="Tea", 40, D112="Coffee", 60, D112="Bakery", 100, D112="Beverages", 80)</f>
        <v>60</v>
      </c>
      <c r="G112" s="1">
        <f t="shared" si="1"/>
        <v>120</v>
      </c>
      <c r="H112" s="1" t="s">
        <v>24</v>
      </c>
      <c r="I112" s="1" t="s">
        <v>23</v>
      </c>
      <c r="J112" s="1">
        <v>1</v>
      </c>
    </row>
    <row r="113" spans="1:10" ht="15" x14ac:dyDescent="0.4">
      <c r="A113" s="1">
        <v>1112</v>
      </c>
      <c r="B113" s="2">
        <v>46178</v>
      </c>
      <c r="C113" s="1" t="s">
        <v>12</v>
      </c>
      <c r="D113" s="1" t="s">
        <v>13</v>
      </c>
      <c r="E113" s="4">
        <v>1</v>
      </c>
      <c r="F113" s="1" cm="1">
        <f t="array" ref="F113">_xlfn.IFS(D113="Tea", 40, D113="Coffee", 60, D113="Bakery", 100, D113="Beverages", 80)</f>
        <v>100</v>
      </c>
      <c r="G113" s="1">
        <f t="shared" si="1"/>
        <v>100</v>
      </c>
      <c r="H113" s="1" t="s">
        <v>21</v>
      </c>
      <c r="I113" s="1" t="s">
        <v>22</v>
      </c>
      <c r="J113" s="1">
        <v>3</v>
      </c>
    </row>
    <row r="114" spans="1:10" ht="15" x14ac:dyDescent="0.4">
      <c r="A114" s="1">
        <v>1113</v>
      </c>
      <c r="B114" s="2">
        <v>46196</v>
      </c>
      <c r="C114" s="1" t="s">
        <v>8</v>
      </c>
      <c r="D114" s="1" t="s">
        <v>9</v>
      </c>
      <c r="E114" s="4">
        <v>1</v>
      </c>
      <c r="F114" s="1" cm="1">
        <f t="array" ref="F114">_xlfn.IFS(D114="Tea", 40, D114="Coffee", 60, D114="Bakery", 100, D114="Beverages", 80)</f>
        <v>40</v>
      </c>
      <c r="G114" s="1">
        <f t="shared" si="1"/>
        <v>40</v>
      </c>
      <c r="H114" s="1" t="s">
        <v>21</v>
      </c>
      <c r="I114" s="1" t="s">
        <v>23</v>
      </c>
      <c r="J114" s="1">
        <v>5</v>
      </c>
    </row>
    <row r="115" spans="1:10" ht="15" x14ac:dyDescent="0.4">
      <c r="A115" s="1">
        <v>1114</v>
      </c>
      <c r="B115" s="2">
        <v>46122</v>
      </c>
      <c r="C115" s="1" t="s">
        <v>10</v>
      </c>
      <c r="D115" s="1" t="s">
        <v>13</v>
      </c>
      <c r="E115" s="4">
        <v>1</v>
      </c>
      <c r="F115" s="1" cm="1">
        <f t="array" ref="F115">_xlfn.IFS(D115="Tea", 40, D115="Coffee", 60, D115="Bakery", 100, D115="Beverages", 80)</f>
        <v>100</v>
      </c>
      <c r="G115" s="1">
        <f t="shared" si="1"/>
        <v>100</v>
      </c>
      <c r="H115" s="1" t="s">
        <v>24</v>
      </c>
      <c r="I115" s="1" t="s">
        <v>26</v>
      </c>
      <c r="J115" s="1">
        <v>2</v>
      </c>
    </row>
    <row r="116" spans="1:10" ht="15" x14ac:dyDescent="0.4">
      <c r="A116" s="1">
        <v>1115</v>
      </c>
      <c r="B116" s="2">
        <v>46172</v>
      </c>
      <c r="C116" s="1" t="s">
        <v>12</v>
      </c>
      <c r="D116" s="1" t="s">
        <v>11</v>
      </c>
      <c r="E116" s="4">
        <v>1</v>
      </c>
      <c r="F116" s="1" cm="1">
        <f t="array" ref="F116">_xlfn.IFS(D116="Tea", 40, D116="Coffee", 60, D116="Bakery", 100, D116="Beverages", 80)</f>
        <v>60</v>
      </c>
      <c r="G116" s="1">
        <f t="shared" si="1"/>
        <v>60</v>
      </c>
      <c r="H116" s="1" t="s">
        <v>25</v>
      </c>
      <c r="I116" s="1" t="s">
        <v>22</v>
      </c>
      <c r="J116" s="1">
        <v>5</v>
      </c>
    </row>
    <row r="117" spans="1:10" ht="15" x14ac:dyDescent="0.4">
      <c r="A117" s="1">
        <v>1116</v>
      </c>
      <c r="B117" s="2">
        <v>46161</v>
      </c>
      <c r="C117" s="1" t="s">
        <v>10</v>
      </c>
      <c r="D117" s="1" t="s">
        <v>14</v>
      </c>
      <c r="E117" s="4">
        <v>2</v>
      </c>
      <c r="F117" s="1" cm="1">
        <f t="array" ref="F117">_xlfn.IFS(D117="Tea", 40, D117="Coffee", 60, D117="Bakery", 100, D117="Beverages", 80)</f>
        <v>80</v>
      </c>
      <c r="G117" s="1">
        <f t="shared" si="1"/>
        <v>160</v>
      </c>
      <c r="H117" s="1" t="s">
        <v>25</v>
      </c>
      <c r="I117" s="1" t="s">
        <v>23</v>
      </c>
      <c r="J117" s="1">
        <v>3</v>
      </c>
    </row>
    <row r="118" spans="1:10" ht="15" x14ac:dyDescent="0.4">
      <c r="A118" s="1">
        <v>1117</v>
      </c>
      <c r="B118" s="2">
        <v>46053</v>
      </c>
      <c r="C118" s="1" t="s">
        <v>10</v>
      </c>
      <c r="D118" s="1" t="s">
        <v>11</v>
      </c>
      <c r="E118" s="4">
        <v>3</v>
      </c>
      <c r="F118" s="1" cm="1">
        <f t="array" ref="F118">_xlfn.IFS(D118="Tea", 40, D118="Coffee", 60, D118="Bakery", 100, D118="Beverages", 80)</f>
        <v>60</v>
      </c>
      <c r="G118" s="1">
        <f t="shared" si="1"/>
        <v>180</v>
      </c>
      <c r="H118" s="1" t="s">
        <v>21</v>
      </c>
      <c r="I118" s="1" t="s">
        <v>26</v>
      </c>
      <c r="J118" s="1">
        <v>2</v>
      </c>
    </row>
    <row r="119" spans="1:10" ht="15" x14ac:dyDescent="0.4">
      <c r="A119" s="1">
        <v>1118</v>
      </c>
      <c r="B119" s="2">
        <v>46110</v>
      </c>
      <c r="C119" s="1" t="s">
        <v>12</v>
      </c>
      <c r="D119" s="1" t="s">
        <v>11</v>
      </c>
      <c r="E119" s="4">
        <v>2</v>
      </c>
      <c r="F119" s="1" cm="1">
        <f t="array" ref="F119">_xlfn.IFS(D119="Tea", 40, D119="Coffee", 60, D119="Bakery", 100, D119="Beverages", 80)</f>
        <v>60</v>
      </c>
      <c r="G119" s="1">
        <f t="shared" si="1"/>
        <v>120</v>
      </c>
      <c r="H119" s="1" t="s">
        <v>25</v>
      </c>
      <c r="I119" s="1" t="s">
        <v>23</v>
      </c>
      <c r="J119" s="1">
        <v>2</v>
      </c>
    </row>
    <row r="120" spans="1:10" ht="15" x14ac:dyDescent="0.4">
      <c r="A120" s="1">
        <v>1119</v>
      </c>
      <c r="B120" s="2">
        <v>46160</v>
      </c>
      <c r="C120" s="1" t="s">
        <v>10</v>
      </c>
      <c r="D120" s="1" t="s">
        <v>9</v>
      </c>
      <c r="E120" s="4">
        <v>1</v>
      </c>
      <c r="F120" s="1" cm="1">
        <f t="array" ref="F120">_xlfn.IFS(D120="Tea", 40, D120="Coffee", 60, D120="Bakery", 100, D120="Beverages", 80)</f>
        <v>40</v>
      </c>
      <c r="G120" s="1">
        <f t="shared" si="1"/>
        <v>40</v>
      </c>
      <c r="H120" s="1" t="s">
        <v>24</v>
      </c>
      <c r="I120" s="1" t="s">
        <v>26</v>
      </c>
      <c r="J120" s="1">
        <v>5</v>
      </c>
    </row>
    <row r="121" spans="1:10" ht="15" x14ac:dyDescent="0.4">
      <c r="A121" s="1">
        <v>1120</v>
      </c>
      <c r="B121" s="2">
        <v>46123</v>
      </c>
      <c r="C121" s="1" t="s">
        <v>12</v>
      </c>
      <c r="D121" s="1" t="s">
        <v>11</v>
      </c>
      <c r="E121" s="4">
        <v>1</v>
      </c>
      <c r="F121" s="1" cm="1">
        <f t="array" ref="F121">_xlfn.IFS(D121="Tea", 40, D121="Coffee", 60, D121="Bakery", 100, D121="Beverages", 80)</f>
        <v>60</v>
      </c>
      <c r="G121" s="1">
        <f t="shared" si="1"/>
        <v>60</v>
      </c>
      <c r="H121" s="1" t="s">
        <v>21</v>
      </c>
      <c r="I121" s="1" t="s">
        <v>23</v>
      </c>
      <c r="J121" s="1">
        <v>2</v>
      </c>
    </row>
    <row r="122" spans="1:10" ht="15" x14ac:dyDescent="0.4">
      <c r="A122" s="1">
        <v>1121</v>
      </c>
      <c r="B122" s="2">
        <v>46100</v>
      </c>
      <c r="C122" s="1" t="s">
        <v>12</v>
      </c>
      <c r="D122" s="1" t="s">
        <v>9</v>
      </c>
      <c r="E122" s="4">
        <v>1</v>
      </c>
      <c r="F122" s="1" cm="1">
        <f t="array" ref="F122">_xlfn.IFS(D122="Tea", 40, D122="Coffee", 60, D122="Bakery", 100, D122="Beverages", 80)</f>
        <v>40</v>
      </c>
      <c r="G122" s="1">
        <f t="shared" si="1"/>
        <v>40</v>
      </c>
      <c r="H122" s="1" t="s">
        <v>25</v>
      </c>
      <c r="I122" s="1" t="s">
        <v>23</v>
      </c>
      <c r="J122" s="1">
        <v>4</v>
      </c>
    </row>
    <row r="123" spans="1:10" ht="15" x14ac:dyDescent="0.4">
      <c r="A123" s="1">
        <v>1122</v>
      </c>
      <c r="B123" s="2">
        <v>46193</v>
      </c>
      <c r="C123" s="1" t="s">
        <v>8</v>
      </c>
      <c r="D123" s="1" t="s">
        <v>11</v>
      </c>
      <c r="E123" s="4">
        <v>3</v>
      </c>
      <c r="F123" s="1" cm="1">
        <f t="array" ref="F123">_xlfn.IFS(D123="Tea", 40, D123="Coffee", 60, D123="Bakery", 100, D123="Beverages", 80)</f>
        <v>60</v>
      </c>
      <c r="G123" s="1">
        <f t="shared" si="1"/>
        <v>180</v>
      </c>
      <c r="H123" s="1" t="s">
        <v>24</v>
      </c>
      <c r="I123" s="1" t="s">
        <v>26</v>
      </c>
      <c r="J123" s="1">
        <v>5</v>
      </c>
    </row>
    <row r="124" spans="1:10" ht="15" x14ac:dyDescent="0.4">
      <c r="A124" s="1">
        <v>1123</v>
      </c>
      <c r="B124" s="2">
        <v>46090</v>
      </c>
      <c r="C124" s="1" t="s">
        <v>8</v>
      </c>
      <c r="D124" s="1" t="s">
        <v>13</v>
      </c>
      <c r="E124" s="4">
        <v>3</v>
      </c>
      <c r="F124" s="1" cm="1">
        <f t="array" ref="F124">_xlfn.IFS(D124="Tea", 40, D124="Coffee", 60, D124="Bakery", 100, D124="Beverages", 80)</f>
        <v>100</v>
      </c>
      <c r="G124" s="1">
        <f t="shared" si="1"/>
        <v>300</v>
      </c>
      <c r="H124" s="1" t="s">
        <v>21</v>
      </c>
      <c r="I124" s="1" t="s">
        <v>23</v>
      </c>
      <c r="J124" s="1">
        <v>3</v>
      </c>
    </row>
    <row r="125" spans="1:10" ht="15" x14ac:dyDescent="0.4">
      <c r="A125" s="1">
        <v>1124</v>
      </c>
      <c r="B125" s="2">
        <v>46145</v>
      </c>
      <c r="C125" s="1" t="s">
        <v>10</v>
      </c>
      <c r="D125" s="1" t="s">
        <v>13</v>
      </c>
      <c r="E125" s="4">
        <v>1</v>
      </c>
      <c r="F125" s="1" cm="1">
        <f t="array" ref="F125">_xlfn.IFS(D125="Tea", 40, D125="Coffee", 60, D125="Bakery", 100, D125="Beverages", 80)</f>
        <v>100</v>
      </c>
      <c r="G125" s="1">
        <f t="shared" si="1"/>
        <v>100</v>
      </c>
      <c r="H125" s="1" t="s">
        <v>21</v>
      </c>
      <c r="I125" s="1" t="s">
        <v>22</v>
      </c>
      <c r="J125" s="1">
        <v>3</v>
      </c>
    </row>
    <row r="126" spans="1:10" ht="15" x14ac:dyDescent="0.4">
      <c r="A126" s="1">
        <v>1125</v>
      </c>
      <c r="B126" s="2">
        <v>46075</v>
      </c>
      <c r="C126" s="1" t="s">
        <v>8</v>
      </c>
      <c r="D126" s="1" t="s">
        <v>11</v>
      </c>
      <c r="E126" s="4">
        <v>3</v>
      </c>
      <c r="F126" s="1" cm="1">
        <f t="array" ref="F126">_xlfn.IFS(D126="Tea", 40, D126="Coffee", 60, D126="Bakery", 100, D126="Beverages", 80)</f>
        <v>60</v>
      </c>
      <c r="G126" s="1">
        <f t="shared" si="1"/>
        <v>180</v>
      </c>
      <c r="H126" s="1" t="s">
        <v>21</v>
      </c>
      <c r="I126" s="1" t="s">
        <v>23</v>
      </c>
      <c r="J126" s="1">
        <v>1</v>
      </c>
    </row>
    <row r="127" spans="1:10" ht="15" x14ac:dyDescent="0.4">
      <c r="A127" s="1">
        <v>1126</v>
      </c>
      <c r="B127" s="2">
        <v>46184</v>
      </c>
      <c r="C127" s="1" t="s">
        <v>10</v>
      </c>
      <c r="D127" s="1" t="s">
        <v>13</v>
      </c>
      <c r="E127" s="4">
        <v>2</v>
      </c>
      <c r="F127" s="1" cm="1">
        <f t="array" ref="F127">_xlfn.IFS(D127="Tea", 40, D127="Coffee", 60, D127="Bakery", 100, D127="Beverages", 80)</f>
        <v>100</v>
      </c>
      <c r="G127" s="1">
        <f t="shared" si="1"/>
        <v>200</v>
      </c>
      <c r="H127" s="1" t="s">
        <v>24</v>
      </c>
      <c r="I127" s="1" t="s">
        <v>23</v>
      </c>
      <c r="J127" s="1">
        <v>3</v>
      </c>
    </row>
    <row r="128" spans="1:10" ht="15" x14ac:dyDescent="0.4">
      <c r="A128" s="1">
        <v>1127</v>
      </c>
      <c r="B128" s="2">
        <v>46143</v>
      </c>
      <c r="C128" s="1" t="s">
        <v>8</v>
      </c>
      <c r="D128" s="1" t="s">
        <v>9</v>
      </c>
      <c r="E128" s="4">
        <v>2</v>
      </c>
      <c r="F128" s="1" cm="1">
        <f t="array" ref="F128">_xlfn.IFS(D128="Tea", 40, D128="Coffee", 60, D128="Bakery", 100, D128="Beverages", 80)</f>
        <v>40</v>
      </c>
      <c r="G128" s="1">
        <f t="shared" si="1"/>
        <v>80</v>
      </c>
      <c r="H128" s="1" t="s">
        <v>21</v>
      </c>
      <c r="I128" s="1" t="s">
        <v>26</v>
      </c>
      <c r="J128" s="1">
        <v>3</v>
      </c>
    </row>
    <row r="129" spans="1:10" ht="15" x14ac:dyDescent="0.4">
      <c r="A129" s="1">
        <v>1128</v>
      </c>
      <c r="B129" s="2">
        <v>46105</v>
      </c>
      <c r="C129" s="1" t="s">
        <v>10</v>
      </c>
      <c r="D129" s="1" t="s">
        <v>13</v>
      </c>
      <c r="E129" s="4">
        <v>1</v>
      </c>
      <c r="F129" s="1" cm="1">
        <f t="array" ref="F129">_xlfn.IFS(D129="Tea", 40, D129="Coffee", 60, D129="Bakery", 100, D129="Beverages", 80)</f>
        <v>100</v>
      </c>
      <c r="G129" s="1">
        <f t="shared" si="1"/>
        <v>100</v>
      </c>
      <c r="H129" s="1" t="s">
        <v>21</v>
      </c>
      <c r="I129" s="1" t="s">
        <v>22</v>
      </c>
      <c r="J129" s="1">
        <v>2</v>
      </c>
    </row>
    <row r="130" spans="1:10" ht="15" x14ac:dyDescent="0.4">
      <c r="A130" s="1">
        <v>1129</v>
      </c>
      <c r="B130" s="2">
        <v>46159</v>
      </c>
      <c r="C130" s="1" t="s">
        <v>8</v>
      </c>
      <c r="D130" s="1" t="s">
        <v>11</v>
      </c>
      <c r="E130" s="4">
        <v>3</v>
      </c>
      <c r="F130" s="1" cm="1">
        <f t="array" ref="F130">_xlfn.IFS(D130="Tea", 40, D130="Coffee", 60, D130="Bakery", 100, D130="Beverages", 80)</f>
        <v>60</v>
      </c>
      <c r="G130" s="1">
        <f t="shared" si="1"/>
        <v>180</v>
      </c>
      <c r="H130" s="1" t="s">
        <v>24</v>
      </c>
      <c r="I130" s="1" t="s">
        <v>22</v>
      </c>
      <c r="J130" s="1">
        <v>5</v>
      </c>
    </row>
    <row r="131" spans="1:10" ht="15" x14ac:dyDescent="0.4">
      <c r="A131" s="1">
        <v>1130</v>
      </c>
      <c r="B131" s="2">
        <v>46090</v>
      </c>
      <c r="C131" s="1" t="s">
        <v>8</v>
      </c>
      <c r="D131" s="1" t="s">
        <v>9</v>
      </c>
      <c r="E131" s="4">
        <v>2</v>
      </c>
      <c r="F131" s="1" cm="1">
        <f t="array" ref="F131">_xlfn.IFS(D131="Tea", 40, D131="Coffee", 60, D131="Bakery", 100, D131="Beverages", 80)</f>
        <v>40</v>
      </c>
      <c r="G131" s="1">
        <f t="shared" ref="G131:G194" si="2">E131*F131</f>
        <v>80</v>
      </c>
      <c r="H131" s="1" t="s">
        <v>21</v>
      </c>
      <c r="I131" s="1" t="s">
        <v>22</v>
      </c>
      <c r="J131" s="1">
        <v>2</v>
      </c>
    </row>
    <row r="132" spans="1:10" ht="15" x14ac:dyDescent="0.4">
      <c r="A132" s="1">
        <v>1131</v>
      </c>
      <c r="B132" s="2">
        <v>46163</v>
      </c>
      <c r="C132" s="1" t="s">
        <v>8</v>
      </c>
      <c r="D132" s="1" t="s">
        <v>14</v>
      </c>
      <c r="E132" s="4">
        <v>2</v>
      </c>
      <c r="F132" s="1" cm="1">
        <f t="array" ref="F132">_xlfn.IFS(D132="Tea", 40, D132="Coffee", 60, D132="Bakery", 100, D132="Beverages", 80)</f>
        <v>80</v>
      </c>
      <c r="G132" s="1">
        <f t="shared" si="2"/>
        <v>160</v>
      </c>
      <c r="H132" s="1" t="s">
        <v>25</v>
      </c>
      <c r="I132" s="1" t="s">
        <v>22</v>
      </c>
      <c r="J132" s="1">
        <v>4</v>
      </c>
    </row>
    <row r="133" spans="1:10" ht="15" x14ac:dyDescent="0.4">
      <c r="A133" s="1">
        <v>1132</v>
      </c>
      <c r="B133" s="2">
        <v>46122</v>
      </c>
      <c r="C133" s="1" t="s">
        <v>8</v>
      </c>
      <c r="D133" s="1" t="s">
        <v>9</v>
      </c>
      <c r="E133" s="4">
        <v>3</v>
      </c>
      <c r="F133" s="1" cm="1">
        <f t="array" ref="F133">_xlfn.IFS(D133="Tea", 40, D133="Coffee", 60, D133="Bakery", 100, D133="Beverages", 80)</f>
        <v>40</v>
      </c>
      <c r="G133" s="1">
        <f t="shared" si="2"/>
        <v>120</v>
      </c>
      <c r="H133" s="1" t="s">
        <v>25</v>
      </c>
      <c r="I133" s="1" t="s">
        <v>23</v>
      </c>
      <c r="J133" s="1">
        <v>1</v>
      </c>
    </row>
    <row r="134" spans="1:10" ht="15" x14ac:dyDescent="0.4">
      <c r="A134" s="1">
        <v>1133</v>
      </c>
      <c r="B134" s="2">
        <v>46128</v>
      </c>
      <c r="C134" s="1" t="s">
        <v>10</v>
      </c>
      <c r="D134" s="1" t="s">
        <v>9</v>
      </c>
      <c r="E134" s="4">
        <v>1</v>
      </c>
      <c r="F134" s="1" cm="1">
        <f t="array" ref="F134">_xlfn.IFS(D134="Tea", 40, D134="Coffee", 60, D134="Bakery", 100, D134="Beverages", 80)</f>
        <v>40</v>
      </c>
      <c r="G134" s="1">
        <f t="shared" si="2"/>
        <v>40</v>
      </c>
      <c r="H134" s="1" t="s">
        <v>24</v>
      </c>
      <c r="I134" s="1" t="s">
        <v>23</v>
      </c>
      <c r="J134" s="1">
        <v>2</v>
      </c>
    </row>
    <row r="135" spans="1:10" ht="15" x14ac:dyDescent="0.4">
      <c r="A135" s="1">
        <v>1134</v>
      </c>
      <c r="B135" s="2">
        <v>46126</v>
      </c>
      <c r="C135" s="1" t="s">
        <v>12</v>
      </c>
      <c r="D135" s="1" t="s">
        <v>9</v>
      </c>
      <c r="E135" s="4">
        <v>2</v>
      </c>
      <c r="F135" s="1" cm="1">
        <f t="array" ref="F135">_xlfn.IFS(D135="Tea", 40, D135="Coffee", 60, D135="Bakery", 100, D135="Beverages", 80)</f>
        <v>40</v>
      </c>
      <c r="G135" s="1">
        <f t="shared" si="2"/>
        <v>80</v>
      </c>
      <c r="H135" s="1" t="s">
        <v>21</v>
      </c>
      <c r="I135" s="1" t="s">
        <v>26</v>
      </c>
      <c r="J135" s="1">
        <v>4</v>
      </c>
    </row>
    <row r="136" spans="1:10" ht="15" x14ac:dyDescent="0.4">
      <c r="A136" s="1">
        <v>1135</v>
      </c>
      <c r="B136" s="2">
        <v>46106</v>
      </c>
      <c r="C136" s="1" t="s">
        <v>10</v>
      </c>
      <c r="D136" s="1" t="s">
        <v>14</v>
      </c>
      <c r="E136" s="4">
        <v>1</v>
      </c>
      <c r="F136" s="1" cm="1">
        <f t="array" ref="F136">_xlfn.IFS(D136="Tea", 40, D136="Coffee", 60, D136="Bakery", 100, D136="Beverages", 80)</f>
        <v>80</v>
      </c>
      <c r="G136" s="1">
        <f t="shared" si="2"/>
        <v>80</v>
      </c>
      <c r="H136" s="1" t="s">
        <v>24</v>
      </c>
      <c r="I136" s="1" t="s">
        <v>22</v>
      </c>
      <c r="J136" s="1">
        <v>3</v>
      </c>
    </row>
    <row r="137" spans="1:10" ht="15" x14ac:dyDescent="0.4">
      <c r="A137" s="1">
        <v>1136</v>
      </c>
      <c r="B137" s="2">
        <v>46031</v>
      </c>
      <c r="C137" s="1" t="s">
        <v>10</v>
      </c>
      <c r="D137" s="1" t="s">
        <v>9</v>
      </c>
      <c r="E137" s="4">
        <v>2</v>
      </c>
      <c r="F137" s="1" cm="1">
        <f t="array" ref="F137">_xlfn.IFS(D137="Tea", 40, D137="Coffee", 60, D137="Bakery", 100, D137="Beverages", 80)</f>
        <v>40</v>
      </c>
      <c r="G137" s="1">
        <f t="shared" si="2"/>
        <v>80</v>
      </c>
      <c r="H137" s="1" t="s">
        <v>25</v>
      </c>
      <c r="I137" s="1" t="s">
        <v>22</v>
      </c>
      <c r="J137" s="1">
        <v>3</v>
      </c>
    </row>
    <row r="138" spans="1:10" ht="15" x14ac:dyDescent="0.4">
      <c r="A138" s="1">
        <v>1137</v>
      </c>
      <c r="B138" s="2">
        <v>46135</v>
      </c>
      <c r="C138" s="1" t="s">
        <v>8</v>
      </c>
      <c r="D138" s="1" t="s">
        <v>14</v>
      </c>
      <c r="E138" s="4">
        <v>3</v>
      </c>
      <c r="F138" s="1" cm="1">
        <f t="array" ref="F138">_xlfn.IFS(D138="Tea", 40, D138="Coffee", 60, D138="Bakery", 100, D138="Beverages", 80)</f>
        <v>80</v>
      </c>
      <c r="G138" s="1">
        <f t="shared" si="2"/>
        <v>240</v>
      </c>
      <c r="H138" s="1" t="s">
        <v>21</v>
      </c>
      <c r="I138" s="1" t="s">
        <v>22</v>
      </c>
      <c r="J138" s="1">
        <v>2</v>
      </c>
    </row>
    <row r="139" spans="1:10" ht="15" x14ac:dyDescent="0.4">
      <c r="A139" s="1">
        <v>1138</v>
      </c>
      <c r="B139" s="2">
        <v>46131</v>
      </c>
      <c r="C139" s="1" t="s">
        <v>10</v>
      </c>
      <c r="D139" s="1" t="s">
        <v>14</v>
      </c>
      <c r="E139" s="4">
        <v>1</v>
      </c>
      <c r="F139" s="1" cm="1">
        <f t="array" ref="F139">_xlfn.IFS(D139="Tea", 40, D139="Coffee", 60, D139="Bakery", 100, D139="Beverages", 80)</f>
        <v>80</v>
      </c>
      <c r="G139" s="1">
        <f t="shared" si="2"/>
        <v>80</v>
      </c>
      <c r="H139" s="1" t="s">
        <v>24</v>
      </c>
      <c r="I139" s="1" t="s">
        <v>23</v>
      </c>
      <c r="J139" s="1">
        <v>3</v>
      </c>
    </row>
    <row r="140" spans="1:10" ht="15" x14ac:dyDescent="0.4">
      <c r="A140" s="1">
        <v>1139</v>
      </c>
      <c r="B140" s="2">
        <v>46049</v>
      </c>
      <c r="C140" s="1" t="s">
        <v>8</v>
      </c>
      <c r="D140" s="1" t="s">
        <v>14</v>
      </c>
      <c r="E140" s="4">
        <v>3</v>
      </c>
      <c r="F140" s="1" cm="1">
        <f t="array" ref="F140">_xlfn.IFS(D140="Tea", 40, D140="Coffee", 60, D140="Bakery", 100, D140="Beverages", 80)</f>
        <v>80</v>
      </c>
      <c r="G140" s="1">
        <f t="shared" si="2"/>
        <v>240</v>
      </c>
      <c r="H140" s="1" t="s">
        <v>25</v>
      </c>
      <c r="I140" s="1" t="s">
        <v>26</v>
      </c>
      <c r="J140" s="1">
        <v>2</v>
      </c>
    </row>
    <row r="141" spans="1:10" ht="15" x14ac:dyDescent="0.4">
      <c r="A141" s="1">
        <v>1140</v>
      </c>
      <c r="B141" s="2">
        <v>46048</v>
      </c>
      <c r="C141" s="1" t="s">
        <v>8</v>
      </c>
      <c r="D141" s="1" t="s">
        <v>11</v>
      </c>
      <c r="E141" s="4">
        <v>2</v>
      </c>
      <c r="F141" s="1" cm="1">
        <f t="array" ref="F141">_xlfn.IFS(D141="Tea", 40, D141="Coffee", 60, D141="Bakery", 100, D141="Beverages", 80)</f>
        <v>60</v>
      </c>
      <c r="G141" s="1">
        <f t="shared" si="2"/>
        <v>120</v>
      </c>
      <c r="H141" s="1" t="s">
        <v>24</v>
      </c>
      <c r="I141" s="1" t="s">
        <v>26</v>
      </c>
      <c r="J141" s="1">
        <v>5</v>
      </c>
    </row>
    <row r="142" spans="1:10" ht="15" x14ac:dyDescent="0.4">
      <c r="A142" s="1">
        <v>1141</v>
      </c>
      <c r="B142" s="2">
        <v>46113</v>
      </c>
      <c r="C142" s="1" t="s">
        <v>12</v>
      </c>
      <c r="D142" s="1" t="s">
        <v>13</v>
      </c>
      <c r="E142" s="4">
        <v>2</v>
      </c>
      <c r="F142" s="1" cm="1">
        <f t="array" ref="F142">_xlfn.IFS(D142="Tea", 40, D142="Coffee", 60, D142="Bakery", 100, D142="Beverages", 80)</f>
        <v>100</v>
      </c>
      <c r="G142" s="1">
        <f t="shared" si="2"/>
        <v>200</v>
      </c>
      <c r="H142" s="1" t="s">
        <v>21</v>
      </c>
      <c r="I142" s="1" t="s">
        <v>22</v>
      </c>
      <c r="J142" s="1">
        <v>5</v>
      </c>
    </row>
    <row r="143" spans="1:10" ht="15" x14ac:dyDescent="0.4">
      <c r="A143" s="1">
        <v>1142</v>
      </c>
      <c r="B143" s="2">
        <v>46152</v>
      </c>
      <c r="C143" s="1" t="s">
        <v>10</v>
      </c>
      <c r="D143" s="1" t="s">
        <v>11</v>
      </c>
      <c r="E143" s="4">
        <v>2</v>
      </c>
      <c r="F143" s="1" cm="1">
        <f t="array" ref="F143">_xlfn.IFS(D143="Tea", 40, D143="Coffee", 60, D143="Bakery", 100, D143="Beverages", 80)</f>
        <v>60</v>
      </c>
      <c r="G143" s="1">
        <f t="shared" si="2"/>
        <v>120</v>
      </c>
      <c r="H143" s="1" t="s">
        <v>21</v>
      </c>
      <c r="I143" s="1" t="s">
        <v>22</v>
      </c>
      <c r="J143" s="1">
        <v>3</v>
      </c>
    </row>
    <row r="144" spans="1:10" ht="15" x14ac:dyDescent="0.4">
      <c r="A144" s="1">
        <v>1143</v>
      </c>
      <c r="B144" s="2">
        <v>46177</v>
      </c>
      <c r="C144" s="1" t="s">
        <v>8</v>
      </c>
      <c r="D144" s="1" t="s">
        <v>11</v>
      </c>
      <c r="E144" s="4">
        <v>2</v>
      </c>
      <c r="F144" s="1" cm="1">
        <f t="array" ref="F144">_xlfn.IFS(D144="Tea", 40, D144="Coffee", 60, D144="Bakery", 100, D144="Beverages", 80)</f>
        <v>60</v>
      </c>
      <c r="G144" s="1">
        <f t="shared" si="2"/>
        <v>120</v>
      </c>
      <c r="H144" s="1" t="s">
        <v>25</v>
      </c>
      <c r="I144" s="1" t="s">
        <v>23</v>
      </c>
      <c r="J144" s="1">
        <v>2</v>
      </c>
    </row>
    <row r="145" spans="1:10" ht="15" x14ac:dyDescent="0.4">
      <c r="A145" s="1">
        <v>1144</v>
      </c>
      <c r="B145" s="2">
        <v>46136</v>
      </c>
      <c r="C145" s="1" t="s">
        <v>12</v>
      </c>
      <c r="D145" s="1" t="s">
        <v>11</v>
      </c>
      <c r="E145" s="4">
        <v>2</v>
      </c>
      <c r="F145" s="1" cm="1">
        <f t="array" ref="F145">_xlfn.IFS(D145="Tea", 40, D145="Coffee", 60, D145="Bakery", 100, D145="Beverages", 80)</f>
        <v>60</v>
      </c>
      <c r="G145" s="1">
        <f t="shared" si="2"/>
        <v>120</v>
      </c>
      <c r="H145" s="1" t="s">
        <v>24</v>
      </c>
      <c r="I145" s="1" t="s">
        <v>23</v>
      </c>
      <c r="J145" s="1">
        <v>1</v>
      </c>
    </row>
    <row r="146" spans="1:10" ht="15" x14ac:dyDescent="0.4">
      <c r="A146" s="1">
        <v>1145</v>
      </c>
      <c r="B146" s="2">
        <v>46121</v>
      </c>
      <c r="C146" s="1" t="s">
        <v>10</v>
      </c>
      <c r="D146" s="1" t="s">
        <v>13</v>
      </c>
      <c r="E146" s="4">
        <v>3</v>
      </c>
      <c r="F146" s="1" cm="1">
        <f t="array" ref="F146">_xlfn.IFS(D146="Tea", 40, D146="Coffee", 60, D146="Bakery", 100, D146="Beverages", 80)</f>
        <v>100</v>
      </c>
      <c r="G146" s="1">
        <f t="shared" si="2"/>
        <v>300</v>
      </c>
      <c r="H146" s="1" t="s">
        <v>25</v>
      </c>
      <c r="I146" s="1" t="s">
        <v>23</v>
      </c>
      <c r="J146" s="1">
        <v>3</v>
      </c>
    </row>
    <row r="147" spans="1:10" ht="15" x14ac:dyDescent="0.4">
      <c r="A147" s="1">
        <v>1146</v>
      </c>
      <c r="B147" s="2">
        <v>46136</v>
      </c>
      <c r="C147" s="1" t="s">
        <v>12</v>
      </c>
      <c r="D147" s="1" t="s">
        <v>14</v>
      </c>
      <c r="E147" s="4">
        <v>3</v>
      </c>
      <c r="F147" s="1" cm="1">
        <f t="array" ref="F147">_xlfn.IFS(D147="Tea", 40, D147="Coffee", 60, D147="Bakery", 100, D147="Beverages", 80)</f>
        <v>80</v>
      </c>
      <c r="G147" s="1">
        <f t="shared" si="2"/>
        <v>240</v>
      </c>
      <c r="H147" s="1" t="s">
        <v>24</v>
      </c>
      <c r="I147" s="1" t="s">
        <v>26</v>
      </c>
      <c r="J147" s="1">
        <v>5</v>
      </c>
    </row>
    <row r="148" spans="1:10" ht="15" x14ac:dyDescent="0.4">
      <c r="A148" s="1">
        <v>1147</v>
      </c>
      <c r="B148" s="2">
        <v>46161</v>
      </c>
      <c r="C148" s="1" t="s">
        <v>10</v>
      </c>
      <c r="D148" s="1" t="s">
        <v>11</v>
      </c>
      <c r="E148" s="4">
        <v>2</v>
      </c>
      <c r="F148" s="1" cm="1">
        <f t="array" ref="F148">_xlfn.IFS(D148="Tea", 40, D148="Coffee", 60, D148="Bakery", 100, D148="Beverages", 80)</f>
        <v>60</v>
      </c>
      <c r="G148" s="1">
        <f t="shared" si="2"/>
        <v>120</v>
      </c>
      <c r="H148" s="1" t="s">
        <v>24</v>
      </c>
      <c r="I148" s="1" t="s">
        <v>23</v>
      </c>
      <c r="J148" s="1">
        <v>2</v>
      </c>
    </row>
    <row r="149" spans="1:10" ht="15" x14ac:dyDescent="0.4">
      <c r="A149" s="1">
        <v>1148</v>
      </c>
      <c r="B149" s="2">
        <v>46153</v>
      </c>
      <c r="C149" s="1" t="s">
        <v>8</v>
      </c>
      <c r="D149" s="1" t="s">
        <v>9</v>
      </c>
      <c r="E149" s="4">
        <v>2</v>
      </c>
      <c r="F149" s="1" cm="1">
        <f t="array" ref="F149">_xlfn.IFS(D149="Tea", 40, D149="Coffee", 60, D149="Bakery", 100, D149="Beverages", 80)</f>
        <v>40</v>
      </c>
      <c r="G149" s="1">
        <f t="shared" si="2"/>
        <v>80</v>
      </c>
      <c r="H149" s="1" t="s">
        <v>24</v>
      </c>
      <c r="I149" s="1" t="s">
        <v>23</v>
      </c>
      <c r="J149" s="1">
        <v>3</v>
      </c>
    </row>
    <row r="150" spans="1:10" ht="15" x14ac:dyDescent="0.4">
      <c r="A150" s="1">
        <v>1149</v>
      </c>
      <c r="B150" s="2">
        <v>46077</v>
      </c>
      <c r="C150" s="1" t="s">
        <v>8</v>
      </c>
      <c r="D150" s="1" t="s">
        <v>14</v>
      </c>
      <c r="E150" s="4">
        <v>3</v>
      </c>
      <c r="F150" s="1" cm="1">
        <f t="array" ref="F150">_xlfn.IFS(D150="Tea", 40, D150="Coffee", 60, D150="Bakery", 100, D150="Beverages", 80)</f>
        <v>80</v>
      </c>
      <c r="G150" s="1">
        <f t="shared" si="2"/>
        <v>240</v>
      </c>
      <c r="H150" s="1" t="s">
        <v>24</v>
      </c>
      <c r="I150" s="1" t="s">
        <v>22</v>
      </c>
      <c r="J150" s="1">
        <v>5</v>
      </c>
    </row>
    <row r="151" spans="1:10" ht="15" x14ac:dyDescent="0.4">
      <c r="A151" s="1">
        <v>1150</v>
      </c>
      <c r="B151" s="2">
        <v>46086</v>
      </c>
      <c r="C151" s="1" t="s">
        <v>12</v>
      </c>
      <c r="D151" s="1" t="s">
        <v>9</v>
      </c>
      <c r="E151" s="4">
        <v>1</v>
      </c>
      <c r="F151" s="1" cm="1">
        <f t="array" ref="F151">_xlfn.IFS(D151="Tea", 40, D151="Coffee", 60, D151="Bakery", 100, D151="Beverages", 80)</f>
        <v>40</v>
      </c>
      <c r="G151" s="1">
        <f t="shared" si="2"/>
        <v>40</v>
      </c>
      <c r="H151" s="1" t="s">
        <v>25</v>
      </c>
      <c r="I151" s="1" t="s">
        <v>26</v>
      </c>
      <c r="J151" s="1">
        <v>5</v>
      </c>
    </row>
    <row r="152" spans="1:10" ht="15" x14ac:dyDescent="0.4">
      <c r="A152" s="1">
        <v>1151</v>
      </c>
      <c r="B152" s="2">
        <v>46122</v>
      </c>
      <c r="C152" s="1" t="s">
        <v>8</v>
      </c>
      <c r="D152" s="1" t="s">
        <v>14</v>
      </c>
      <c r="E152" s="4">
        <v>3</v>
      </c>
      <c r="F152" s="1" cm="1">
        <f t="array" ref="F152">_xlfn.IFS(D152="Tea", 40, D152="Coffee", 60, D152="Bakery", 100, D152="Beverages", 80)</f>
        <v>80</v>
      </c>
      <c r="G152" s="1">
        <f t="shared" si="2"/>
        <v>240</v>
      </c>
      <c r="H152" s="1" t="s">
        <v>21</v>
      </c>
      <c r="I152" s="1" t="s">
        <v>22</v>
      </c>
      <c r="J152" s="1">
        <v>2</v>
      </c>
    </row>
    <row r="153" spans="1:10" ht="15" x14ac:dyDescent="0.4">
      <c r="A153" s="1">
        <v>1152</v>
      </c>
      <c r="B153" s="2">
        <v>46060</v>
      </c>
      <c r="C153" s="1" t="s">
        <v>8</v>
      </c>
      <c r="D153" s="1" t="s">
        <v>11</v>
      </c>
      <c r="E153" s="4">
        <v>1</v>
      </c>
      <c r="F153" s="1" cm="1">
        <f t="array" ref="F153">_xlfn.IFS(D153="Tea", 40, D153="Coffee", 60, D153="Bakery", 100, D153="Beverages", 80)</f>
        <v>60</v>
      </c>
      <c r="G153" s="1">
        <f t="shared" si="2"/>
        <v>60</v>
      </c>
      <c r="H153" s="1" t="s">
        <v>25</v>
      </c>
      <c r="I153" s="1" t="s">
        <v>23</v>
      </c>
      <c r="J153" s="1">
        <v>3</v>
      </c>
    </row>
    <row r="154" spans="1:10" ht="15" x14ac:dyDescent="0.4">
      <c r="A154" s="1">
        <v>1153</v>
      </c>
      <c r="B154" s="2">
        <v>46182</v>
      </c>
      <c r="C154" s="1" t="s">
        <v>12</v>
      </c>
      <c r="D154" s="1" t="s">
        <v>11</v>
      </c>
      <c r="E154" s="4">
        <v>1</v>
      </c>
      <c r="F154" s="1" cm="1">
        <f t="array" ref="F154">_xlfn.IFS(D154="Tea", 40, D154="Coffee", 60, D154="Bakery", 100, D154="Beverages", 80)</f>
        <v>60</v>
      </c>
      <c r="G154" s="1">
        <f t="shared" si="2"/>
        <v>60</v>
      </c>
      <c r="H154" s="1" t="s">
        <v>24</v>
      </c>
      <c r="I154" s="1" t="s">
        <v>23</v>
      </c>
      <c r="J154" s="1">
        <v>1</v>
      </c>
    </row>
    <row r="155" spans="1:10" ht="15" x14ac:dyDescent="0.4">
      <c r="A155" s="1">
        <v>1154</v>
      </c>
      <c r="B155" s="2">
        <v>46114</v>
      </c>
      <c r="C155" s="1" t="s">
        <v>12</v>
      </c>
      <c r="D155" s="1" t="s">
        <v>11</v>
      </c>
      <c r="E155" s="4">
        <v>3</v>
      </c>
      <c r="F155" s="1" cm="1">
        <f t="array" ref="F155">_xlfn.IFS(D155="Tea", 40, D155="Coffee", 60, D155="Bakery", 100, D155="Beverages", 80)</f>
        <v>60</v>
      </c>
      <c r="G155" s="1">
        <f t="shared" si="2"/>
        <v>180</v>
      </c>
      <c r="H155" s="1" t="s">
        <v>25</v>
      </c>
      <c r="I155" s="1" t="s">
        <v>22</v>
      </c>
      <c r="J155" s="1">
        <v>3</v>
      </c>
    </row>
    <row r="156" spans="1:10" ht="15" x14ac:dyDescent="0.4">
      <c r="A156" s="1">
        <v>1155</v>
      </c>
      <c r="B156" s="2">
        <v>46132</v>
      </c>
      <c r="C156" s="1" t="s">
        <v>12</v>
      </c>
      <c r="D156" s="1" t="s">
        <v>14</v>
      </c>
      <c r="E156" s="4">
        <v>1</v>
      </c>
      <c r="F156" s="1" cm="1">
        <f t="array" ref="F156">_xlfn.IFS(D156="Tea", 40, D156="Coffee", 60, D156="Bakery", 100, D156="Beverages", 80)</f>
        <v>80</v>
      </c>
      <c r="G156" s="1">
        <f t="shared" si="2"/>
        <v>80</v>
      </c>
      <c r="H156" s="1" t="s">
        <v>25</v>
      </c>
      <c r="I156" s="1" t="s">
        <v>22</v>
      </c>
      <c r="J156" s="1">
        <v>5</v>
      </c>
    </row>
    <row r="157" spans="1:10" ht="15" x14ac:dyDescent="0.4">
      <c r="A157" s="1">
        <v>1156</v>
      </c>
      <c r="B157" s="2">
        <v>46153</v>
      </c>
      <c r="C157" s="1" t="s">
        <v>10</v>
      </c>
      <c r="D157" s="1" t="s">
        <v>9</v>
      </c>
      <c r="E157" s="4">
        <v>2</v>
      </c>
      <c r="F157" s="1" cm="1">
        <f t="array" ref="F157">_xlfn.IFS(D157="Tea", 40, D157="Coffee", 60, D157="Bakery", 100, D157="Beverages", 80)</f>
        <v>40</v>
      </c>
      <c r="G157" s="1">
        <f t="shared" si="2"/>
        <v>80</v>
      </c>
      <c r="H157" s="1" t="s">
        <v>21</v>
      </c>
      <c r="I157" s="1" t="s">
        <v>26</v>
      </c>
      <c r="J157" s="1">
        <v>4</v>
      </c>
    </row>
    <row r="158" spans="1:10" ht="15" x14ac:dyDescent="0.4">
      <c r="A158" s="1">
        <v>1157</v>
      </c>
      <c r="B158" s="2">
        <v>46194</v>
      </c>
      <c r="C158" s="1" t="s">
        <v>12</v>
      </c>
      <c r="D158" s="1" t="s">
        <v>14</v>
      </c>
      <c r="E158" s="4">
        <v>2</v>
      </c>
      <c r="F158" s="1" cm="1">
        <f t="array" ref="F158">_xlfn.IFS(D158="Tea", 40, D158="Coffee", 60, D158="Bakery", 100, D158="Beverages", 80)</f>
        <v>80</v>
      </c>
      <c r="G158" s="1">
        <f t="shared" si="2"/>
        <v>160</v>
      </c>
      <c r="H158" s="1" t="s">
        <v>24</v>
      </c>
      <c r="I158" s="1" t="s">
        <v>26</v>
      </c>
      <c r="J158" s="1">
        <v>1</v>
      </c>
    </row>
    <row r="159" spans="1:10" ht="15" x14ac:dyDescent="0.4">
      <c r="A159" s="1">
        <v>1158</v>
      </c>
      <c r="B159" s="2">
        <v>46201</v>
      </c>
      <c r="C159" s="1" t="s">
        <v>8</v>
      </c>
      <c r="D159" s="1" t="s">
        <v>13</v>
      </c>
      <c r="E159" s="4">
        <v>3</v>
      </c>
      <c r="F159" s="1" cm="1">
        <f t="array" ref="F159">_xlfn.IFS(D159="Tea", 40, D159="Coffee", 60, D159="Bakery", 100, D159="Beverages", 80)</f>
        <v>100</v>
      </c>
      <c r="G159" s="1">
        <f t="shared" si="2"/>
        <v>300</v>
      </c>
      <c r="H159" s="1" t="s">
        <v>24</v>
      </c>
      <c r="I159" s="1" t="s">
        <v>22</v>
      </c>
      <c r="J159" s="1">
        <v>2</v>
      </c>
    </row>
    <row r="160" spans="1:10" ht="15" x14ac:dyDescent="0.4">
      <c r="A160" s="1">
        <v>1159</v>
      </c>
      <c r="B160" s="2">
        <v>46031</v>
      </c>
      <c r="C160" s="1" t="s">
        <v>8</v>
      </c>
      <c r="D160" s="1" t="s">
        <v>14</v>
      </c>
      <c r="E160" s="4">
        <v>3</v>
      </c>
      <c r="F160" s="1" cm="1">
        <f t="array" ref="F160">_xlfn.IFS(D160="Tea", 40, D160="Coffee", 60, D160="Bakery", 100, D160="Beverages", 80)</f>
        <v>80</v>
      </c>
      <c r="G160" s="1">
        <f t="shared" si="2"/>
        <v>240</v>
      </c>
      <c r="H160" s="1" t="s">
        <v>24</v>
      </c>
      <c r="I160" s="1" t="s">
        <v>23</v>
      </c>
      <c r="J160" s="1">
        <v>2</v>
      </c>
    </row>
    <row r="161" spans="1:10" ht="15" x14ac:dyDescent="0.4">
      <c r="A161" s="1">
        <v>1160</v>
      </c>
      <c r="B161" s="2">
        <v>46134</v>
      </c>
      <c r="C161" s="1" t="s">
        <v>10</v>
      </c>
      <c r="D161" s="1" t="s">
        <v>13</v>
      </c>
      <c r="E161" s="4">
        <v>2</v>
      </c>
      <c r="F161" s="1" cm="1">
        <f t="array" ref="F161">_xlfn.IFS(D161="Tea", 40, D161="Coffee", 60, D161="Bakery", 100, D161="Beverages", 80)</f>
        <v>100</v>
      </c>
      <c r="G161" s="1">
        <f t="shared" si="2"/>
        <v>200</v>
      </c>
      <c r="H161" s="1" t="s">
        <v>21</v>
      </c>
      <c r="I161" s="1" t="s">
        <v>23</v>
      </c>
      <c r="J161" s="1">
        <v>4</v>
      </c>
    </row>
    <row r="162" spans="1:10" ht="15" x14ac:dyDescent="0.4">
      <c r="A162" s="1">
        <v>1161</v>
      </c>
      <c r="B162" s="2">
        <v>46030</v>
      </c>
      <c r="C162" s="1" t="s">
        <v>8</v>
      </c>
      <c r="D162" s="1" t="s">
        <v>14</v>
      </c>
      <c r="E162" s="4">
        <v>2</v>
      </c>
      <c r="F162" s="1" cm="1">
        <f t="array" ref="F162">_xlfn.IFS(D162="Tea", 40, D162="Coffee", 60, D162="Bakery", 100, D162="Beverages", 80)</f>
        <v>80</v>
      </c>
      <c r="G162" s="1">
        <f t="shared" si="2"/>
        <v>160</v>
      </c>
      <c r="H162" s="1" t="s">
        <v>25</v>
      </c>
      <c r="I162" s="1" t="s">
        <v>26</v>
      </c>
      <c r="J162" s="1">
        <v>3</v>
      </c>
    </row>
    <row r="163" spans="1:10" ht="15" x14ac:dyDescent="0.4">
      <c r="A163" s="1">
        <v>1162</v>
      </c>
      <c r="B163" s="2">
        <v>46147</v>
      </c>
      <c r="C163" s="1" t="s">
        <v>12</v>
      </c>
      <c r="D163" s="1" t="s">
        <v>11</v>
      </c>
      <c r="E163" s="4">
        <v>3</v>
      </c>
      <c r="F163" s="1" cm="1">
        <f t="array" ref="F163">_xlfn.IFS(D163="Tea", 40, D163="Coffee", 60, D163="Bakery", 100, D163="Beverages", 80)</f>
        <v>60</v>
      </c>
      <c r="G163" s="1">
        <f t="shared" si="2"/>
        <v>180</v>
      </c>
      <c r="H163" s="1" t="s">
        <v>25</v>
      </c>
      <c r="I163" s="1" t="s">
        <v>26</v>
      </c>
      <c r="J163" s="1">
        <v>2</v>
      </c>
    </row>
    <row r="164" spans="1:10" ht="15" x14ac:dyDescent="0.4">
      <c r="A164" s="1">
        <v>1163</v>
      </c>
      <c r="B164" s="2">
        <v>46063</v>
      </c>
      <c r="C164" s="1" t="s">
        <v>10</v>
      </c>
      <c r="D164" s="1" t="s">
        <v>13</v>
      </c>
      <c r="E164" s="4">
        <v>1</v>
      </c>
      <c r="F164" s="1" cm="1">
        <f t="array" ref="F164">_xlfn.IFS(D164="Tea", 40, D164="Coffee", 60, D164="Bakery", 100, D164="Beverages", 80)</f>
        <v>100</v>
      </c>
      <c r="G164" s="1">
        <f t="shared" si="2"/>
        <v>100</v>
      </c>
      <c r="H164" s="1" t="s">
        <v>21</v>
      </c>
      <c r="I164" s="1" t="s">
        <v>22</v>
      </c>
      <c r="J164" s="1">
        <v>2</v>
      </c>
    </row>
    <row r="165" spans="1:10" ht="15" x14ac:dyDescent="0.4">
      <c r="A165" s="1">
        <v>1164</v>
      </c>
      <c r="B165" s="2">
        <v>46183</v>
      </c>
      <c r="C165" s="1" t="s">
        <v>10</v>
      </c>
      <c r="D165" s="1" t="s">
        <v>9</v>
      </c>
      <c r="E165" s="4">
        <v>3</v>
      </c>
      <c r="F165" s="1" cm="1">
        <f t="array" ref="F165">_xlfn.IFS(D165="Tea", 40, D165="Coffee", 60, D165="Bakery", 100, D165="Beverages", 80)</f>
        <v>40</v>
      </c>
      <c r="G165" s="1">
        <f t="shared" si="2"/>
        <v>120</v>
      </c>
      <c r="H165" s="1" t="s">
        <v>21</v>
      </c>
      <c r="I165" s="1" t="s">
        <v>23</v>
      </c>
      <c r="J165" s="1">
        <v>4</v>
      </c>
    </row>
    <row r="166" spans="1:10" ht="15" x14ac:dyDescent="0.4">
      <c r="A166" s="1">
        <v>1165</v>
      </c>
      <c r="B166" s="2">
        <v>46161</v>
      </c>
      <c r="C166" s="1" t="s">
        <v>8</v>
      </c>
      <c r="D166" s="1" t="s">
        <v>9</v>
      </c>
      <c r="E166" s="4">
        <v>3</v>
      </c>
      <c r="F166" s="1" cm="1">
        <f t="array" ref="F166">_xlfn.IFS(D166="Tea", 40, D166="Coffee", 60, D166="Bakery", 100, D166="Beverages", 80)</f>
        <v>40</v>
      </c>
      <c r="G166" s="1">
        <f t="shared" si="2"/>
        <v>120</v>
      </c>
      <c r="H166" s="1" t="s">
        <v>25</v>
      </c>
      <c r="I166" s="1" t="s">
        <v>26</v>
      </c>
      <c r="J166" s="1">
        <v>4</v>
      </c>
    </row>
    <row r="167" spans="1:10" ht="15" x14ac:dyDescent="0.4">
      <c r="A167" s="1">
        <v>1166</v>
      </c>
      <c r="B167" s="2">
        <v>46139</v>
      </c>
      <c r="C167" s="1" t="s">
        <v>8</v>
      </c>
      <c r="D167" s="1" t="s">
        <v>14</v>
      </c>
      <c r="E167" s="4">
        <v>1</v>
      </c>
      <c r="F167" s="1" cm="1">
        <f t="array" ref="F167">_xlfn.IFS(D167="Tea", 40, D167="Coffee", 60, D167="Bakery", 100, D167="Beverages", 80)</f>
        <v>80</v>
      </c>
      <c r="G167" s="1">
        <f t="shared" si="2"/>
        <v>80</v>
      </c>
      <c r="H167" s="1" t="s">
        <v>21</v>
      </c>
      <c r="I167" s="1" t="s">
        <v>22</v>
      </c>
      <c r="J167" s="1">
        <v>5</v>
      </c>
    </row>
    <row r="168" spans="1:10" ht="15" x14ac:dyDescent="0.4">
      <c r="A168" s="1">
        <v>1167</v>
      </c>
      <c r="B168" s="2">
        <v>46085</v>
      </c>
      <c r="C168" s="1" t="s">
        <v>8</v>
      </c>
      <c r="D168" s="1" t="s">
        <v>13</v>
      </c>
      <c r="E168" s="4">
        <v>2</v>
      </c>
      <c r="F168" s="1" cm="1">
        <f t="array" ref="F168">_xlfn.IFS(D168="Tea", 40, D168="Coffee", 60, D168="Bakery", 100, D168="Beverages", 80)</f>
        <v>100</v>
      </c>
      <c r="G168" s="1">
        <f t="shared" si="2"/>
        <v>200</v>
      </c>
      <c r="H168" s="1" t="s">
        <v>24</v>
      </c>
      <c r="I168" s="1" t="s">
        <v>23</v>
      </c>
      <c r="J168" s="1">
        <v>5</v>
      </c>
    </row>
    <row r="169" spans="1:10" ht="15" x14ac:dyDescent="0.4">
      <c r="A169" s="1">
        <v>1168</v>
      </c>
      <c r="B169" s="2">
        <v>46100</v>
      </c>
      <c r="C169" s="1" t="s">
        <v>12</v>
      </c>
      <c r="D169" s="1" t="s">
        <v>11</v>
      </c>
      <c r="E169" s="4">
        <v>1</v>
      </c>
      <c r="F169" s="1" cm="1">
        <f t="array" ref="F169">_xlfn.IFS(D169="Tea", 40, D169="Coffee", 60, D169="Bakery", 100, D169="Beverages", 80)</f>
        <v>60</v>
      </c>
      <c r="G169" s="1">
        <f t="shared" si="2"/>
        <v>60</v>
      </c>
      <c r="H169" s="1" t="s">
        <v>25</v>
      </c>
      <c r="I169" s="1" t="s">
        <v>22</v>
      </c>
      <c r="J169" s="1">
        <v>4</v>
      </c>
    </row>
    <row r="170" spans="1:10" ht="15" x14ac:dyDescent="0.4">
      <c r="A170" s="1">
        <v>1169</v>
      </c>
      <c r="B170" s="2">
        <v>46193</v>
      </c>
      <c r="C170" s="1" t="s">
        <v>8</v>
      </c>
      <c r="D170" s="1" t="s">
        <v>9</v>
      </c>
      <c r="E170" s="4">
        <v>2</v>
      </c>
      <c r="F170" s="1" cm="1">
        <f t="array" ref="F170">_xlfn.IFS(D170="Tea", 40, D170="Coffee", 60, D170="Bakery", 100, D170="Beverages", 80)</f>
        <v>40</v>
      </c>
      <c r="G170" s="1">
        <f t="shared" si="2"/>
        <v>80</v>
      </c>
      <c r="H170" s="1" t="s">
        <v>21</v>
      </c>
      <c r="I170" s="1" t="s">
        <v>23</v>
      </c>
      <c r="J170" s="1">
        <v>4</v>
      </c>
    </row>
    <row r="171" spans="1:10" ht="15" x14ac:dyDescent="0.4">
      <c r="A171" s="1">
        <v>1170</v>
      </c>
      <c r="B171" s="2">
        <v>46042</v>
      </c>
      <c r="C171" s="1" t="s">
        <v>8</v>
      </c>
      <c r="D171" s="1" t="s">
        <v>14</v>
      </c>
      <c r="E171" s="4">
        <v>1</v>
      </c>
      <c r="F171" s="1" cm="1">
        <f t="array" ref="F171">_xlfn.IFS(D171="Tea", 40, D171="Coffee", 60, D171="Bakery", 100, D171="Beverages", 80)</f>
        <v>80</v>
      </c>
      <c r="G171" s="1">
        <f t="shared" si="2"/>
        <v>80</v>
      </c>
      <c r="H171" s="1" t="s">
        <v>24</v>
      </c>
      <c r="I171" s="1" t="s">
        <v>23</v>
      </c>
      <c r="J171" s="1">
        <v>2</v>
      </c>
    </row>
    <row r="172" spans="1:10" ht="15" x14ac:dyDescent="0.4">
      <c r="A172" s="1">
        <v>1171</v>
      </c>
      <c r="B172" s="2">
        <v>46094</v>
      </c>
      <c r="C172" s="1" t="s">
        <v>12</v>
      </c>
      <c r="D172" s="1" t="s">
        <v>13</v>
      </c>
      <c r="E172" s="4">
        <v>1</v>
      </c>
      <c r="F172" s="1" cm="1">
        <f t="array" ref="F172">_xlfn.IFS(D172="Tea", 40, D172="Coffee", 60, D172="Bakery", 100, D172="Beverages", 80)</f>
        <v>100</v>
      </c>
      <c r="G172" s="1">
        <f t="shared" si="2"/>
        <v>100</v>
      </c>
      <c r="H172" s="1" t="s">
        <v>25</v>
      </c>
      <c r="I172" s="1" t="s">
        <v>22</v>
      </c>
      <c r="J172" s="1">
        <v>2</v>
      </c>
    </row>
    <row r="173" spans="1:10" ht="15" x14ac:dyDescent="0.4">
      <c r="A173" s="1">
        <v>1172</v>
      </c>
      <c r="B173" s="2">
        <v>46150</v>
      </c>
      <c r="C173" s="1" t="s">
        <v>12</v>
      </c>
      <c r="D173" s="1" t="s">
        <v>14</v>
      </c>
      <c r="E173" s="4">
        <v>3</v>
      </c>
      <c r="F173" s="1" cm="1">
        <f t="array" ref="F173">_xlfn.IFS(D173="Tea", 40, D173="Coffee", 60, D173="Bakery", 100, D173="Beverages", 80)</f>
        <v>80</v>
      </c>
      <c r="G173" s="1">
        <f t="shared" si="2"/>
        <v>240</v>
      </c>
      <c r="H173" s="1" t="s">
        <v>25</v>
      </c>
      <c r="I173" s="1" t="s">
        <v>23</v>
      </c>
      <c r="J173" s="1">
        <v>2</v>
      </c>
    </row>
    <row r="174" spans="1:10" ht="15" x14ac:dyDescent="0.4">
      <c r="A174" s="1">
        <v>1173</v>
      </c>
      <c r="B174" s="2">
        <v>46101</v>
      </c>
      <c r="C174" s="1" t="s">
        <v>12</v>
      </c>
      <c r="D174" s="1" t="s">
        <v>9</v>
      </c>
      <c r="E174" s="4">
        <v>1</v>
      </c>
      <c r="F174" s="1" cm="1">
        <f t="array" ref="F174">_xlfn.IFS(D174="Tea", 40, D174="Coffee", 60, D174="Bakery", 100, D174="Beverages", 80)</f>
        <v>40</v>
      </c>
      <c r="G174" s="1">
        <f t="shared" si="2"/>
        <v>40</v>
      </c>
      <c r="H174" s="1" t="s">
        <v>24</v>
      </c>
      <c r="I174" s="1" t="s">
        <v>22</v>
      </c>
      <c r="J174" s="1">
        <v>2</v>
      </c>
    </row>
    <row r="175" spans="1:10" ht="15" x14ac:dyDescent="0.4">
      <c r="A175" s="1">
        <v>1174</v>
      </c>
      <c r="B175" s="2">
        <v>46084</v>
      </c>
      <c r="C175" s="1" t="s">
        <v>8</v>
      </c>
      <c r="D175" s="1" t="s">
        <v>11</v>
      </c>
      <c r="E175" s="4">
        <v>3</v>
      </c>
      <c r="F175" s="1" cm="1">
        <f t="array" ref="F175">_xlfn.IFS(D175="Tea", 40, D175="Coffee", 60, D175="Bakery", 100, D175="Beverages", 80)</f>
        <v>60</v>
      </c>
      <c r="G175" s="1">
        <f t="shared" si="2"/>
        <v>180</v>
      </c>
      <c r="H175" s="1" t="s">
        <v>24</v>
      </c>
      <c r="I175" s="1" t="s">
        <v>26</v>
      </c>
      <c r="J175" s="1">
        <v>5</v>
      </c>
    </row>
    <row r="176" spans="1:10" ht="15" x14ac:dyDescent="0.4">
      <c r="A176" s="1">
        <v>1175</v>
      </c>
      <c r="B176" s="2">
        <v>46138</v>
      </c>
      <c r="C176" s="1" t="s">
        <v>10</v>
      </c>
      <c r="D176" s="1" t="s">
        <v>9</v>
      </c>
      <c r="E176" s="4">
        <v>3</v>
      </c>
      <c r="F176" s="1" cm="1">
        <f t="array" ref="F176">_xlfn.IFS(D176="Tea", 40, D176="Coffee", 60, D176="Bakery", 100, D176="Beverages", 80)</f>
        <v>40</v>
      </c>
      <c r="G176" s="1">
        <f t="shared" si="2"/>
        <v>120</v>
      </c>
      <c r="H176" s="1" t="s">
        <v>25</v>
      </c>
      <c r="I176" s="1" t="s">
        <v>22</v>
      </c>
      <c r="J176" s="1">
        <v>5</v>
      </c>
    </row>
    <row r="177" spans="1:10" ht="15" x14ac:dyDescent="0.4">
      <c r="A177" s="1">
        <v>1176</v>
      </c>
      <c r="B177" s="2">
        <v>46035</v>
      </c>
      <c r="C177" s="1" t="s">
        <v>8</v>
      </c>
      <c r="D177" s="1" t="s">
        <v>11</v>
      </c>
      <c r="E177" s="4">
        <v>3</v>
      </c>
      <c r="F177" s="1" cm="1">
        <f t="array" ref="F177">_xlfn.IFS(D177="Tea", 40, D177="Coffee", 60, D177="Bakery", 100, D177="Beverages", 80)</f>
        <v>60</v>
      </c>
      <c r="G177" s="1">
        <f t="shared" si="2"/>
        <v>180</v>
      </c>
      <c r="H177" s="1" t="s">
        <v>24</v>
      </c>
      <c r="I177" s="1" t="s">
        <v>22</v>
      </c>
      <c r="J177" s="1">
        <v>4</v>
      </c>
    </row>
    <row r="178" spans="1:10" ht="15" x14ac:dyDescent="0.4">
      <c r="A178" s="1">
        <v>1177</v>
      </c>
      <c r="B178" s="2">
        <v>46145</v>
      </c>
      <c r="C178" s="1" t="s">
        <v>8</v>
      </c>
      <c r="D178" s="1" t="s">
        <v>13</v>
      </c>
      <c r="E178" s="4">
        <v>2</v>
      </c>
      <c r="F178" s="1" cm="1">
        <f t="array" ref="F178">_xlfn.IFS(D178="Tea", 40, D178="Coffee", 60, D178="Bakery", 100, D178="Beverages", 80)</f>
        <v>100</v>
      </c>
      <c r="G178" s="1">
        <f t="shared" si="2"/>
        <v>200</v>
      </c>
      <c r="H178" s="1" t="s">
        <v>25</v>
      </c>
      <c r="I178" s="1" t="s">
        <v>22</v>
      </c>
      <c r="J178" s="1">
        <v>2</v>
      </c>
    </row>
    <row r="179" spans="1:10" ht="15" x14ac:dyDescent="0.4">
      <c r="A179" s="1">
        <v>1178</v>
      </c>
      <c r="B179" s="2">
        <v>46188</v>
      </c>
      <c r="C179" s="1" t="s">
        <v>10</v>
      </c>
      <c r="D179" s="1" t="s">
        <v>11</v>
      </c>
      <c r="E179" s="4">
        <v>3</v>
      </c>
      <c r="F179" s="1" cm="1">
        <f t="array" ref="F179">_xlfn.IFS(D179="Tea", 40, D179="Coffee", 60, D179="Bakery", 100, D179="Beverages", 80)</f>
        <v>60</v>
      </c>
      <c r="G179" s="1">
        <f t="shared" si="2"/>
        <v>180</v>
      </c>
      <c r="H179" s="1" t="s">
        <v>25</v>
      </c>
      <c r="I179" s="1" t="s">
        <v>22</v>
      </c>
      <c r="J179" s="1">
        <v>2</v>
      </c>
    </row>
    <row r="180" spans="1:10" ht="15" x14ac:dyDescent="0.4">
      <c r="A180" s="1">
        <v>1179</v>
      </c>
      <c r="B180" s="2">
        <v>46137</v>
      </c>
      <c r="C180" s="1" t="s">
        <v>10</v>
      </c>
      <c r="D180" s="1" t="s">
        <v>13</v>
      </c>
      <c r="E180" s="4">
        <v>2</v>
      </c>
      <c r="F180" s="1" cm="1">
        <f t="array" ref="F180">_xlfn.IFS(D180="Tea", 40, D180="Coffee", 60, D180="Bakery", 100, D180="Beverages", 80)</f>
        <v>100</v>
      </c>
      <c r="G180" s="1">
        <f t="shared" si="2"/>
        <v>200</v>
      </c>
      <c r="H180" s="1" t="s">
        <v>24</v>
      </c>
      <c r="I180" s="1" t="s">
        <v>23</v>
      </c>
      <c r="J180" s="1">
        <v>3</v>
      </c>
    </row>
    <row r="181" spans="1:10" ht="15" x14ac:dyDescent="0.4">
      <c r="A181" s="1">
        <v>1180</v>
      </c>
      <c r="B181" s="2">
        <v>46101</v>
      </c>
      <c r="C181" s="1" t="s">
        <v>12</v>
      </c>
      <c r="D181" s="1" t="s">
        <v>11</v>
      </c>
      <c r="E181" s="4">
        <v>2</v>
      </c>
      <c r="F181" s="1" cm="1">
        <f t="array" ref="F181">_xlfn.IFS(D181="Tea", 40, D181="Coffee", 60, D181="Bakery", 100, D181="Beverages", 80)</f>
        <v>60</v>
      </c>
      <c r="G181" s="1">
        <f t="shared" si="2"/>
        <v>120</v>
      </c>
      <c r="H181" s="1" t="s">
        <v>21</v>
      </c>
      <c r="I181" s="1" t="s">
        <v>22</v>
      </c>
      <c r="J181" s="1">
        <v>2</v>
      </c>
    </row>
    <row r="182" spans="1:10" ht="15" x14ac:dyDescent="0.4">
      <c r="A182" s="1">
        <v>1181</v>
      </c>
      <c r="B182" s="2">
        <v>46066</v>
      </c>
      <c r="C182" s="1" t="s">
        <v>8</v>
      </c>
      <c r="D182" s="1" t="s">
        <v>9</v>
      </c>
      <c r="E182" s="4">
        <v>3</v>
      </c>
      <c r="F182" s="1" cm="1">
        <f t="array" ref="F182">_xlfn.IFS(D182="Tea", 40, D182="Coffee", 60, D182="Bakery", 100, D182="Beverages", 80)</f>
        <v>40</v>
      </c>
      <c r="G182" s="1">
        <f t="shared" si="2"/>
        <v>120</v>
      </c>
      <c r="H182" s="1" t="s">
        <v>21</v>
      </c>
      <c r="I182" s="1" t="s">
        <v>22</v>
      </c>
      <c r="J182" s="1">
        <v>3</v>
      </c>
    </row>
    <row r="183" spans="1:10" ht="15" x14ac:dyDescent="0.4">
      <c r="A183" s="1">
        <v>1182</v>
      </c>
      <c r="B183" s="2">
        <v>46100</v>
      </c>
      <c r="C183" s="1" t="s">
        <v>10</v>
      </c>
      <c r="D183" s="1" t="s">
        <v>11</v>
      </c>
      <c r="E183" s="4">
        <v>2</v>
      </c>
      <c r="F183" s="1" cm="1">
        <f t="array" ref="F183">_xlfn.IFS(D183="Tea", 40, D183="Coffee", 60, D183="Bakery", 100, D183="Beverages", 80)</f>
        <v>60</v>
      </c>
      <c r="G183" s="1">
        <f t="shared" si="2"/>
        <v>120</v>
      </c>
      <c r="H183" s="1" t="s">
        <v>21</v>
      </c>
      <c r="I183" s="1" t="s">
        <v>23</v>
      </c>
      <c r="J183" s="1">
        <v>3</v>
      </c>
    </row>
    <row r="184" spans="1:10" ht="15" x14ac:dyDescent="0.4">
      <c r="A184" s="1">
        <v>1183</v>
      </c>
      <c r="B184" s="2">
        <v>46190</v>
      </c>
      <c r="C184" s="1" t="s">
        <v>8</v>
      </c>
      <c r="D184" s="1" t="s">
        <v>14</v>
      </c>
      <c r="E184" s="4">
        <v>2</v>
      </c>
      <c r="F184" s="1" cm="1">
        <f t="array" ref="F184">_xlfn.IFS(D184="Tea", 40, D184="Coffee", 60, D184="Bakery", 100, D184="Beverages", 80)</f>
        <v>80</v>
      </c>
      <c r="G184" s="1">
        <f t="shared" si="2"/>
        <v>160</v>
      </c>
      <c r="H184" s="1" t="s">
        <v>24</v>
      </c>
      <c r="I184" s="1" t="s">
        <v>22</v>
      </c>
      <c r="J184" s="1">
        <v>5</v>
      </c>
    </row>
    <row r="185" spans="1:10" ht="15" x14ac:dyDescent="0.4">
      <c r="A185" s="1">
        <v>1184</v>
      </c>
      <c r="B185" s="2">
        <v>46081</v>
      </c>
      <c r="C185" s="1" t="s">
        <v>12</v>
      </c>
      <c r="D185" s="1" t="s">
        <v>14</v>
      </c>
      <c r="E185" s="4">
        <v>2</v>
      </c>
      <c r="F185" s="1" cm="1">
        <f t="array" ref="F185">_xlfn.IFS(D185="Tea", 40, D185="Coffee", 60, D185="Bakery", 100, D185="Beverages", 80)</f>
        <v>80</v>
      </c>
      <c r="G185" s="1">
        <f t="shared" si="2"/>
        <v>160</v>
      </c>
      <c r="H185" s="1" t="s">
        <v>21</v>
      </c>
      <c r="I185" s="1" t="s">
        <v>26</v>
      </c>
      <c r="J185" s="1">
        <v>2</v>
      </c>
    </row>
    <row r="186" spans="1:10" ht="15" x14ac:dyDescent="0.4">
      <c r="A186" s="1">
        <v>1185</v>
      </c>
      <c r="B186" s="2">
        <v>46111</v>
      </c>
      <c r="C186" s="1" t="s">
        <v>10</v>
      </c>
      <c r="D186" s="1" t="s">
        <v>14</v>
      </c>
      <c r="E186" s="4">
        <v>2</v>
      </c>
      <c r="F186" s="1" cm="1">
        <f t="array" ref="F186">_xlfn.IFS(D186="Tea", 40, D186="Coffee", 60, D186="Bakery", 100, D186="Beverages", 80)</f>
        <v>80</v>
      </c>
      <c r="G186" s="1">
        <f t="shared" si="2"/>
        <v>160</v>
      </c>
      <c r="H186" s="1" t="s">
        <v>25</v>
      </c>
      <c r="I186" s="1" t="s">
        <v>23</v>
      </c>
      <c r="J186" s="1">
        <v>3</v>
      </c>
    </row>
    <row r="187" spans="1:10" ht="15" x14ac:dyDescent="0.4">
      <c r="A187" s="1">
        <v>1186</v>
      </c>
      <c r="B187" s="2">
        <v>46041</v>
      </c>
      <c r="C187" s="1" t="s">
        <v>12</v>
      </c>
      <c r="D187" s="1" t="s">
        <v>11</v>
      </c>
      <c r="E187" s="4">
        <v>2</v>
      </c>
      <c r="F187" s="1" cm="1">
        <f t="array" ref="F187">_xlfn.IFS(D187="Tea", 40, D187="Coffee", 60, D187="Bakery", 100, D187="Beverages", 80)</f>
        <v>60</v>
      </c>
      <c r="G187" s="1">
        <f t="shared" si="2"/>
        <v>120</v>
      </c>
      <c r="H187" s="1" t="s">
        <v>24</v>
      </c>
      <c r="I187" s="1" t="s">
        <v>26</v>
      </c>
      <c r="J187" s="1">
        <v>3</v>
      </c>
    </row>
    <row r="188" spans="1:10" ht="15" x14ac:dyDescent="0.4">
      <c r="A188" s="1">
        <v>1187</v>
      </c>
      <c r="B188" s="2">
        <v>46134</v>
      </c>
      <c r="C188" s="1" t="s">
        <v>8</v>
      </c>
      <c r="D188" s="1" t="s">
        <v>14</v>
      </c>
      <c r="E188" s="4">
        <v>3</v>
      </c>
      <c r="F188" s="1" cm="1">
        <f t="array" ref="F188">_xlfn.IFS(D188="Tea", 40, D188="Coffee", 60, D188="Bakery", 100, D188="Beverages", 80)</f>
        <v>80</v>
      </c>
      <c r="G188" s="1">
        <f t="shared" si="2"/>
        <v>240</v>
      </c>
      <c r="H188" s="1" t="s">
        <v>24</v>
      </c>
      <c r="I188" s="1" t="s">
        <v>26</v>
      </c>
      <c r="J188" s="1">
        <v>5</v>
      </c>
    </row>
    <row r="189" spans="1:10" ht="15" x14ac:dyDescent="0.4">
      <c r="A189" s="1">
        <v>1188</v>
      </c>
      <c r="B189" s="2">
        <v>46030</v>
      </c>
      <c r="C189" s="1" t="s">
        <v>10</v>
      </c>
      <c r="D189" s="1" t="s">
        <v>13</v>
      </c>
      <c r="E189" s="4">
        <v>3</v>
      </c>
      <c r="F189" s="1" cm="1">
        <f t="array" ref="F189">_xlfn.IFS(D189="Tea", 40, D189="Coffee", 60, D189="Bakery", 100, D189="Beverages", 80)</f>
        <v>100</v>
      </c>
      <c r="G189" s="1">
        <f t="shared" si="2"/>
        <v>300</v>
      </c>
      <c r="H189" s="1" t="s">
        <v>21</v>
      </c>
      <c r="I189" s="1" t="s">
        <v>22</v>
      </c>
      <c r="J189" s="1">
        <v>4</v>
      </c>
    </row>
    <row r="190" spans="1:10" ht="15" x14ac:dyDescent="0.4">
      <c r="A190" s="1">
        <v>1189</v>
      </c>
      <c r="B190" s="2">
        <v>46144</v>
      </c>
      <c r="C190" s="1" t="s">
        <v>12</v>
      </c>
      <c r="D190" s="1" t="s">
        <v>13</v>
      </c>
      <c r="E190" s="4">
        <v>1</v>
      </c>
      <c r="F190" s="1" cm="1">
        <f t="array" ref="F190">_xlfn.IFS(D190="Tea", 40, D190="Coffee", 60, D190="Bakery", 100, D190="Beverages", 80)</f>
        <v>100</v>
      </c>
      <c r="G190" s="1">
        <f t="shared" si="2"/>
        <v>100</v>
      </c>
      <c r="H190" s="1" t="s">
        <v>24</v>
      </c>
      <c r="I190" s="1" t="s">
        <v>23</v>
      </c>
      <c r="J190" s="1">
        <v>3</v>
      </c>
    </row>
    <row r="191" spans="1:10" ht="15" x14ac:dyDescent="0.4">
      <c r="A191" s="1">
        <v>1190</v>
      </c>
      <c r="B191" s="2">
        <v>46077</v>
      </c>
      <c r="C191" s="1" t="s">
        <v>12</v>
      </c>
      <c r="D191" s="1" t="s">
        <v>14</v>
      </c>
      <c r="E191" s="4">
        <v>1</v>
      </c>
      <c r="F191" s="1" cm="1">
        <f t="array" ref="F191">_xlfn.IFS(D191="Tea", 40, D191="Coffee", 60, D191="Bakery", 100, D191="Beverages", 80)</f>
        <v>80</v>
      </c>
      <c r="G191" s="1">
        <f t="shared" si="2"/>
        <v>80</v>
      </c>
      <c r="H191" s="1" t="s">
        <v>21</v>
      </c>
      <c r="I191" s="1" t="s">
        <v>22</v>
      </c>
      <c r="J191" s="1">
        <v>4</v>
      </c>
    </row>
    <row r="192" spans="1:10" ht="15" x14ac:dyDescent="0.4">
      <c r="A192" s="1">
        <v>1191</v>
      </c>
      <c r="B192" s="2">
        <v>46061</v>
      </c>
      <c r="C192" s="1" t="s">
        <v>8</v>
      </c>
      <c r="D192" s="1" t="s">
        <v>13</v>
      </c>
      <c r="E192" s="4">
        <v>2</v>
      </c>
      <c r="F192" s="1" cm="1">
        <f t="array" ref="F192">_xlfn.IFS(D192="Tea", 40, D192="Coffee", 60, D192="Bakery", 100, D192="Beverages", 80)</f>
        <v>100</v>
      </c>
      <c r="G192" s="1">
        <f t="shared" si="2"/>
        <v>200</v>
      </c>
      <c r="H192" s="1" t="s">
        <v>24</v>
      </c>
      <c r="I192" s="1" t="s">
        <v>26</v>
      </c>
      <c r="J192" s="1">
        <v>4</v>
      </c>
    </row>
    <row r="193" spans="1:10" ht="15" x14ac:dyDescent="0.4">
      <c r="A193" s="1">
        <v>1192</v>
      </c>
      <c r="B193" s="2">
        <v>46146</v>
      </c>
      <c r="C193" s="1" t="s">
        <v>12</v>
      </c>
      <c r="D193" s="1" t="s">
        <v>9</v>
      </c>
      <c r="E193" s="4">
        <v>1</v>
      </c>
      <c r="F193" s="1" cm="1">
        <f t="array" ref="F193">_xlfn.IFS(D193="Tea", 40, D193="Coffee", 60, D193="Bakery", 100, D193="Beverages", 80)</f>
        <v>40</v>
      </c>
      <c r="G193" s="1">
        <f t="shared" si="2"/>
        <v>40</v>
      </c>
      <c r="H193" s="1" t="s">
        <v>24</v>
      </c>
      <c r="I193" s="1" t="s">
        <v>22</v>
      </c>
      <c r="J193" s="1">
        <v>3</v>
      </c>
    </row>
    <row r="194" spans="1:10" ht="15" x14ac:dyDescent="0.4">
      <c r="A194" s="1">
        <v>1193</v>
      </c>
      <c r="B194" s="2">
        <v>46039</v>
      </c>
      <c r="C194" s="1" t="s">
        <v>12</v>
      </c>
      <c r="D194" s="1" t="s">
        <v>11</v>
      </c>
      <c r="E194" s="4">
        <v>1</v>
      </c>
      <c r="F194" s="1" cm="1">
        <f t="array" ref="F194">_xlfn.IFS(D194="Tea", 40, D194="Coffee", 60, D194="Bakery", 100, D194="Beverages", 80)</f>
        <v>60</v>
      </c>
      <c r="G194" s="1">
        <f t="shared" si="2"/>
        <v>60</v>
      </c>
      <c r="H194" s="1" t="s">
        <v>25</v>
      </c>
      <c r="I194" s="1" t="s">
        <v>26</v>
      </c>
      <c r="J194" s="1">
        <v>4</v>
      </c>
    </row>
    <row r="195" spans="1:10" ht="15" x14ac:dyDescent="0.4">
      <c r="A195" s="1">
        <v>1194</v>
      </c>
      <c r="B195" s="2">
        <v>46072</v>
      </c>
      <c r="C195" s="1" t="s">
        <v>10</v>
      </c>
      <c r="D195" s="1" t="s">
        <v>14</v>
      </c>
      <c r="E195" s="4">
        <v>2</v>
      </c>
      <c r="F195" s="1" cm="1">
        <f t="array" ref="F195">_xlfn.IFS(D195="Tea", 40, D195="Coffee", 60, D195="Bakery", 100, D195="Beverages", 80)</f>
        <v>80</v>
      </c>
      <c r="G195" s="1">
        <f t="shared" ref="G195:G258" si="3">E195*F195</f>
        <v>160</v>
      </c>
      <c r="H195" s="1" t="s">
        <v>25</v>
      </c>
      <c r="I195" s="1" t="s">
        <v>26</v>
      </c>
      <c r="J195" s="1">
        <v>2</v>
      </c>
    </row>
    <row r="196" spans="1:10" ht="15" x14ac:dyDescent="0.4">
      <c r="A196" s="1">
        <v>1195</v>
      </c>
      <c r="B196" s="2">
        <v>46042</v>
      </c>
      <c r="C196" s="1" t="s">
        <v>8</v>
      </c>
      <c r="D196" s="1" t="s">
        <v>14</v>
      </c>
      <c r="E196" s="4">
        <v>2</v>
      </c>
      <c r="F196" s="1" cm="1">
        <f t="array" ref="F196">_xlfn.IFS(D196="Tea", 40, D196="Coffee", 60, D196="Bakery", 100, D196="Beverages", 80)</f>
        <v>80</v>
      </c>
      <c r="G196" s="1">
        <f t="shared" si="3"/>
        <v>160</v>
      </c>
      <c r="H196" s="1" t="s">
        <v>21</v>
      </c>
      <c r="I196" s="1" t="s">
        <v>26</v>
      </c>
      <c r="J196" s="1">
        <v>4</v>
      </c>
    </row>
    <row r="197" spans="1:10" ht="15" x14ac:dyDescent="0.4">
      <c r="A197" s="1">
        <v>1196</v>
      </c>
      <c r="B197" s="2">
        <v>46094</v>
      </c>
      <c r="C197" s="1" t="s">
        <v>8</v>
      </c>
      <c r="D197" s="1" t="s">
        <v>11</v>
      </c>
      <c r="E197" s="4">
        <v>2</v>
      </c>
      <c r="F197" s="1" cm="1">
        <f t="array" ref="F197">_xlfn.IFS(D197="Tea", 40, D197="Coffee", 60, D197="Bakery", 100, D197="Beverages", 80)</f>
        <v>60</v>
      </c>
      <c r="G197" s="1">
        <f t="shared" si="3"/>
        <v>120</v>
      </c>
      <c r="H197" s="1" t="s">
        <v>24</v>
      </c>
      <c r="I197" s="1" t="s">
        <v>26</v>
      </c>
      <c r="J197" s="1">
        <v>3</v>
      </c>
    </row>
    <row r="198" spans="1:10" ht="15" x14ac:dyDescent="0.4">
      <c r="A198" s="1">
        <v>1197</v>
      </c>
      <c r="B198" s="2">
        <v>46141</v>
      </c>
      <c r="C198" s="1" t="s">
        <v>8</v>
      </c>
      <c r="D198" s="1" t="s">
        <v>14</v>
      </c>
      <c r="E198" s="4">
        <v>2</v>
      </c>
      <c r="F198" s="1" cm="1">
        <f t="array" ref="F198">_xlfn.IFS(D198="Tea", 40, D198="Coffee", 60, D198="Bakery", 100, D198="Beverages", 80)</f>
        <v>80</v>
      </c>
      <c r="G198" s="1">
        <f t="shared" si="3"/>
        <v>160</v>
      </c>
      <c r="H198" s="1" t="s">
        <v>25</v>
      </c>
      <c r="I198" s="1" t="s">
        <v>22</v>
      </c>
      <c r="J198" s="1">
        <v>5</v>
      </c>
    </row>
    <row r="199" spans="1:10" ht="15" x14ac:dyDescent="0.4">
      <c r="A199" s="1">
        <v>1198</v>
      </c>
      <c r="B199" s="2">
        <v>46175</v>
      </c>
      <c r="C199" s="1" t="s">
        <v>12</v>
      </c>
      <c r="D199" s="1" t="s">
        <v>13</v>
      </c>
      <c r="E199" s="4">
        <v>2</v>
      </c>
      <c r="F199" s="1" cm="1">
        <f t="array" ref="F199">_xlfn.IFS(D199="Tea", 40, D199="Coffee", 60, D199="Bakery", 100, D199="Beverages", 80)</f>
        <v>100</v>
      </c>
      <c r="G199" s="1">
        <f t="shared" si="3"/>
        <v>200</v>
      </c>
      <c r="H199" s="1" t="s">
        <v>21</v>
      </c>
      <c r="I199" s="1" t="s">
        <v>22</v>
      </c>
      <c r="J199" s="1">
        <v>1</v>
      </c>
    </row>
    <row r="200" spans="1:10" ht="15" x14ac:dyDescent="0.4">
      <c r="A200" s="1">
        <v>1199</v>
      </c>
      <c r="B200" s="2">
        <v>46163</v>
      </c>
      <c r="C200" s="1" t="s">
        <v>12</v>
      </c>
      <c r="D200" s="1" t="s">
        <v>9</v>
      </c>
      <c r="E200" s="4">
        <v>1</v>
      </c>
      <c r="F200" s="1" cm="1">
        <f t="array" ref="F200">_xlfn.IFS(D200="Tea", 40, D200="Coffee", 60, D200="Bakery", 100, D200="Beverages", 80)</f>
        <v>40</v>
      </c>
      <c r="G200" s="1">
        <f t="shared" si="3"/>
        <v>40</v>
      </c>
      <c r="H200" s="1" t="s">
        <v>21</v>
      </c>
      <c r="I200" s="1" t="s">
        <v>23</v>
      </c>
      <c r="J200" s="1">
        <v>5</v>
      </c>
    </row>
    <row r="201" spans="1:10" ht="15" x14ac:dyDescent="0.4">
      <c r="A201" s="1">
        <v>1200</v>
      </c>
      <c r="B201" s="2">
        <v>46115</v>
      </c>
      <c r="C201" s="1" t="s">
        <v>8</v>
      </c>
      <c r="D201" s="1" t="s">
        <v>9</v>
      </c>
      <c r="E201" s="4">
        <v>1</v>
      </c>
      <c r="F201" s="1" cm="1">
        <f t="array" ref="F201">_xlfn.IFS(D201="Tea", 40, D201="Coffee", 60, D201="Bakery", 100, D201="Beverages", 80)</f>
        <v>40</v>
      </c>
      <c r="G201" s="1">
        <f t="shared" si="3"/>
        <v>40</v>
      </c>
      <c r="H201" s="1" t="s">
        <v>24</v>
      </c>
      <c r="I201" s="1" t="s">
        <v>22</v>
      </c>
      <c r="J201" s="1">
        <v>4</v>
      </c>
    </row>
    <row r="202" spans="1:10" ht="15" x14ac:dyDescent="0.4">
      <c r="A202" s="1">
        <v>1201</v>
      </c>
      <c r="B202" s="2">
        <v>46133</v>
      </c>
      <c r="C202" s="1" t="s">
        <v>12</v>
      </c>
      <c r="D202" s="1" t="s">
        <v>14</v>
      </c>
      <c r="E202" s="4">
        <v>1</v>
      </c>
      <c r="F202" s="1" cm="1">
        <f t="array" ref="F202">_xlfn.IFS(D202="Tea", 40, D202="Coffee", 60, D202="Bakery", 100, D202="Beverages", 80)</f>
        <v>80</v>
      </c>
      <c r="G202" s="1">
        <f t="shared" si="3"/>
        <v>80</v>
      </c>
      <c r="H202" s="1" t="s">
        <v>25</v>
      </c>
      <c r="I202" s="1" t="s">
        <v>22</v>
      </c>
      <c r="J202" s="1">
        <v>2</v>
      </c>
    </row>
    <row r="203" spans="1:10" ht="15" x14ac:dyDescent="0.4">
      <c r="A203" s="1">
        <v>1202</v>
      </c>
      <c r="B203" s="2">
        <v>46189</v>
      </c>
      <c r="C203" s="1" t="s">
        <v>8</v>
      </c>
      <c r="D203" s="1" t="s">
        <v>13</v>
      </c>
      <c r="E203" s="4">
        <v>2</v>
      </c>
      <c r="F203" s="1" cm="1">
        <f t="array" ref="F203">_xlfn.IFS(D203="Tea", 40, D203="Coffee", 60, D203="Bakery", 100, D203="Beverages", 80)</f>
        <v>100</v>
      </c>
      <c r="G203" s="1">
        <f t="shared" si="3"/>
        <v>200</v>
      </c>
      <c r="H203" s="1" t="s">
        <v>24</v>
      </c>
      <c r="I203" s="1" t="s">
        <v>26</v>
      </c>
      <c r="J203" s="1">
        <v>3</v>
      </c>
    </row>
    <row r="204" spans="1:10" ht="15" x14ac:dyDescent="0.4">
      <c r="A204" s="1">
        <v>1203</v>
      </c>
      <c r="B204" s="2">
        <v>46061</v>
      </c>
      <c r="C204" s="1" t="s">
        <v>8</v>
      </c>
      <c r="D204" s="1" t="s">
        <v>9</v>
      </c>
      <c r="E204" s="4">
        <v>1</v>
      </c>
      <c r="F204" s="1" cm="1">
        <f t="array" ref="F204">_xlfn.IFS(D204="Tea", 40, D204="Coffee", 60, D204="Bakery", 100, D204="Beverages", 80)</f>
        <v>40</v>
      </c>
      <c r="G204" s="1">
        <f t="shared" si="3"/>
        <v>40</v>
      </c>
      <c r="H204" s="1" t="s">
        <v>21</v>
      </c>
      <c r="I204" s="1" t="s">
        <v>22</v>
      </c>
      <c r="J204" s="1">
        <v>1</v>
      </c>
    </row>
    <row r="205" spans="1:10" ht="15" x14ac:dyDescent="0.4">
      <c r="A205" s="1">
        <v>1204</v>
      </c>
      <c r="B205" s="2">
        <v>46144</v>
      </c>
      <c r="C205" s="1" t="s">
        <v>8</v>
      </c>
      <c r="D205" s="1" t="s">
        <v>9</v>
      </c>
      <c r="E205" s="4">
        <v>1</v>
      </c>
      <c r="F205" s="1" cm="1">
        <f t="array" ref="F205">_xlfn.IFS(D205="Tea", 40, D205="Coffee", 60, D205="Bakery", 100, D205="Beverages", 80)</f>
        <v>40</v>
      </c>
      <c r="G205" s="1">
        <f t="shared" si="3"/>
        <v>40</v>
      </c>
      <c r="H205" s="1" t="s">
        <v>25</v>
      </c>
      <c r="I205" s="1" t="s">
        <v>26</v>
      </c>
      <c r="J205" s="1">
        <v>3</v>
      </c>
    </row>
    <row r="206" spans="1:10" ht="15" x14ac:dyDescent="0.4">
      <c r="A206" s="1">
        <v>1205</v>
      </c>
      <c r="B206" s="2">
        <v>46164</v>
      </c>
      <c r="C206" s="1" t="s">
        <v>8</v>
      </c>
      <c r="D206" s="1" t="s">
        <v>13</v>
      </c>
      <c r="E206" s="4">
        <v>1</v>
      </c>
      <c r="F206" s="1" cm="1">
        <f t="array" ref="F206">_xlfn.IFS(D206="Tea", 40, D206="Coffee", 60, D206="Bakery", 100, D206="Beverages", 80)</f>
        <v>100</v>
      </c>
      <c r="G206" s="1">
        <f t="shared" si="3"/>
        <v>100</v>
      </c>
      <c r="H206" s="1" t="s">
        <v>24</v>
      </c>
      <c r="I206" s="1" t="s">
        <v>23</v>
      </c>
      <c r="J206" s="1">
        <v>4</v>
      </c>
    </row>
    <row r="207" spans="1:10" ht="15" x14ac:dyDescent="0.4">
      <c r="A207" s="1">
        <v>1206</v>
      </c>
      <c r="B207" s="2">
        <v>46029</v>
      </c>
      <c r="C207" s="1" t="s">
        <v>8</v>
      </c>
      <c r="D207" s="1" t="s">
        <v>14</v>
      </c>
      <c r="E207" s="4">
        <v>1</v>
      </c>
      <c r="F207" s="1" cm="1">
        <f t="array" ref="F207">_xlfn.IFS(D207="Tea", 40, D207="Coffee", 60, D207="Bakery", 100, D207="Beverages", 80)</f>
        <v>80</v>
      </c>
      <c r="G207" s="1">
        <f t="shared" si="3"/>
        <v>80</v>
      </c>
      <c r="H207" s="1" t="s">
        <v>25</v>
      </c>
      <c r="I207" s="1" t="s">
        <v>22</v>
      </c>
      <c r="J207" s="1">
        <v>1</v>
      </c>
    </row>
    <row r="208" spans="1:10" ht="15" x14ac:dyDescent="0.4">
      <c r="A208" s="1">
        <v>1207</v>
      </c>
      <c r="B208" s="2">
        <v>46071</v>
      </c>
      <c r="C208" s="1" t="s">
        <v>12</v>
      </c>
      <c r="D208" s="1" t="s">
        <v>13</v>
      </c>
      <c r="E208" s="4">
        <v>2</v>
      </c>
      <c r="F208" s="1" cm="1">
        <f t="array" ref="F208">_xlfn.IFS(D208="Tea", 40, D208="Coffee", 60, D208="Bakery", 100, D208="Beverages", 80)</f>
        <v>100</v>
      </c>
      <c r="G208" s="1">
        <f t="shared" si="3"/>
        <v>200</v>
      </c>
      <c r="H208" s="1" t="s">
        <v>21</v>
      </c>
      <c r="I208" s="1" t="s">
        <v>26</v>
      </c>
      <c r="J208" s="1">
        <v>3</v>
      </c>
    </row>
    <row r="209" spans="1:10" ht="15" x14ac:dyDescent="0.4">
      <c r="A209" s="1">
        <v>1208</v>
      </c>
      <c r="B209" s="2">
        <v>46194</v>
      </c>
      <c r="C209" s="1" t="s">
        <v>10</v>
      </c>
      <c r="D209" s="1" t="s">
        <v>13</v>
      </c>
      <c r="E209" s="4">
        <v>2</v>
      </c>
      <c r="F209" s="1" cm="1">
        <f t="array" ref="F209">_xlfn.IFS(D209="Tea", 40, D209="Coffee", 60, D209="Bakery", 100, D209="Beverages", 80)</f>
        <v>100</v>
      </c>
      <c r="G209" s="1">
        <f t="shared" si="3"/>
        <v>200</v>
      </c>
      <c r="H209" s="1" t="s">
        <v>25</v>
      </c>
      <c r="I209" s="1" t="s">
        <v>23</v>
      </c>
      <c r="J209" s="1">
        <v>5</v>
      </c>
    </row>
    <row r="210" spans="1:10" ht="15" x14ac:dyDescent="0.4">
      <c r="A210" s="1">
        <v>1209</v>
      </c>
      <c r="B210" s="2">
        <v>46157</v>
      </c>
      <c r="C210" s="1" t="s">
        <v>12</v>
      </c>
      <c r="D210" s="1" t="s">
        <v>9</v>
      </c>
      <c r="E210" s="4">
        <v>2</v>
      </c>
      <c r="F210" s="1" cm="1">
        <f t="array" ref="F210">_xlfn.IFS(D210="Tea", 40, D210="Coffee", 60, D210="Bakery", 100, D210="Beverages", 80)</f>
        <v>40</v>
      </c>
      <c r="G210" s="1">
        <f t="shared" si="3"/>
        <v>80</v>
      </c>
      <c r="H210" s="1" t="s">
        <v>21</v>
      </c>
      <c r="I210" s="1" t="s">
        <v>26</v>
      </c>
      <c r="J210" s="1">
        <v>3</v>
      </c>
    </row>
    <row r="211" spans="1:10" ht="15" x14ac:dyDescent="0.4">
      <c r="A211" s="1">
        <v>1210</v>
      </c>
      <c r="B211" s="2">
        <v>46047</v>
      </c>
      <c r="C211" s="1" t="s">
        <v>8</v>
      </c>
      <c r="D211" s="1" t="s">
        <v>11</v>
      </c>
      <c r="E211" s="4">
        <v>1</v>
      </c>
      <c r="F211" s="1" cm="1">
        <f t="array" ref="F211">_xlfn.IFS(D211="Tea", 40, D211="Coffee", 60, D211="Bakery", 100, D211="Beverages", 80)</f>
        <v>60</v>
      </c>
      <c r="G211" s="1">
        <f t="shared" si="3"/>
        <v>60</v>
      </c>
      <c r="H211" s="1" t="s">
        <v>21</v>
      </c>
      <c r="I211" s="1" t="s">
        <v>26</v>
      </c>
      <c r="J211" s="1">
        <v>1</v>
      </c>
    </row>
    <row r="212" spans="1:10" ht="15" x14ac:dyDescent="0.4">
      <c r="A212" s="1">
        <v>1211</v>
      </c>
      <c r="B212" s="2">
        <v>46129</v>
      </c>
      <c r="C212" s="1" t="s">
        <v>10</v>
      </c>
      <c r="D212" s="1" t="s">
        <v>14</v>
      </c>
      <c r="E212" s="4">
        <v>3</v>
      </c>
      <c r="F212" s="1" cm="1">
        <f t="array" ref="F212">_xlfn.IFS(D212="Tea", 40, D212="Coffee", 60, D212="Bakery", 100, D212="Beverages", 80)</f>
        <v>80</v>
      </c>
      <c r="G212" s="1">
        <f t="shared" si="3"/>
        <v>240</v>
      </c>
      <c r="H212" s="1" t="s">
        <v>24</v>
      </c>
      <c r="I212" s="1" t="s">
        <v>22</v>
      </c>
      <c r="J212" s="1">
        <v>3</v>
      </c>
    </row>
    <row r="213" spans="1:10" ht="15" x14ac:dyDescent="0.4">
      <c r="A213" s="1">
        <v>1212</v>
      </c>
      <c r="B213" s="2">
        <v>46088</v>
      </c>
      <c r="C213" s="1" t="s">
        <v>12</v>
      </c>
      <c r="D213" s="1" t="s">
        <v>13</v>
      </c>
      <c r="E213" s="4">
        <v>2</v>
      </c>
      <c r="F213" s="1" cm="1">
        <f t="array" ref="F213">_xlfn.IFS(D213="Tea", 40, D213="Coffee", 60, D213="Bakery", 100, D213="Beverages", 80)</f>
        <v>100</v>
      </c>
      <c r="G213" s="1">
        <f t="shared" si="3"/>
        <v>200</v>
      </c>
      <c r="H213" s="1" t="s">
        <v>24</v>
      </c>
      <c r="I213" s="1" t="s">
        <v>22</v>
      </c>
      <c r="J213" s="1">
        <v>5</v>
      </c>
    </row>
    <row r="214" spans="1:10" ht="15" x14ac:dyDescent="0.4">
      <c r="A214" s="1">
        <v>1213</v>
      </c>
      <c r="B214" s="2">
        <v>46168</v>
      </c>
      <c r="C214" s="1" t="s">
        <v>8</v>
      </c>
      <c r="D214" s="1" t="s">
        <v>9</v>
      </c>
      <c r="E214" s="4">
        <v>2</v>
      </c>
      <c r="F214" s="1" cm="1">
        <f t="array" ref="F214">_xlfn.IFS(D214="Tea", 40, D214="Coffee", 60, D214="Bakery", 100, D214="Beverages", 80)</f>
        <v>40</v>
      </c>
      <c r="G214" s="1">
        <f t="shared" si="3"/>
        <v>80</v>
      </c>
      <c r="H214" s="1" t="s">
        <v>24</v>
      </c>
      <c r="I214" s="1" t="s">
        <v>26</v>
      </c>
      <c r="J214" s="1">
        <v>5</v>
      </c>
    </row>
    <row r="215" spans="1:10" ht="15" x14ac:dyDescent="0.4">
      <c r="A215" s="1">
        <v>1214</v>
      </c>
      <c r="B215" s="2">
        <v>46077</v>
      </c>
      <c r="C215" s="1" t="s">
        <v>12</v>
      </c>
      <c r="D215" s="1" t="s">
        <v>9</v>
      </c>
      <c r="E215" s="4">
        <v>3</v>
      </c>
      <c r="F215" s="1" cm="1">
        <f t="array" ref="F215">_xlfn.IFS(D215="Tea", 40, D215="Coffee", 60, D215="Bakery", 100, D215="Beverages", 80)</f>
        <v>40</v>
      </c>
      <c r="G215" s="1">
        <f t="shared" si="3"/>
        <v>120</v>
      </c>
      <c r="H215" s="1" t="s">
        <v>25</v>
      </c>
      <c r="I215" s="1" t="s">
        <v>26</v>
      </c>
      <c r="J215" s="1">
        <v>4</v>
      </c>
    </row>
    <row r="216" spans="1:10" ht="15" x14ac:dyDescent="0.4">
      <c r="A216" s="1">
        <v>1215</v>
      </c>
      <c r="B216" s="2">
        <v>46114</v>
      </c>
      <c r="C216" s="1" t="s">
        <v>12</v>
      </c>
      <c r="D216" s="1" t="s">
        <v>13</v>
      </c>
      <c r="E216" s="4">
        <v>1</v>
      </c>
      <c r="F216" s="1" cm="1">
        <f t="array" ref="F216">_xlfn.IFS(D216="Tea", 40, D216="Coffee", 60, D216="Bakery", 100, D216="Beverages", 80)</f>
        <v>100</v>
      </c>
      <c r="G216" s="1">
        <f t="shared" si="3"/>
        <v>100</v>
      </c>
      <c r="H216" s="1" t="s">
        <v>21</v>
      </c>
      <c r="I216" s="1" t="s">
        <v>26</v>
      </c>
      <c r="J216" s="1">
        <v>3</v>
      </c>
    </row>
    <row r="217" spans="1:10" ht="15" x14ac:dyDescent="0.4">
      <c r="A217" s="1">
        <v>1216</v>
      </c>
      <c r="B217" s="2">
        <v>46143</v>
      </c>
      <c r="C217" s="1" t="s">
        <v>12</v>
      </c>
      <c r="D217" s="1" t="s">
        <v>13</v>
      </c>
      <c r="E217" s="4">
        <v>2</v>
      </c>
      <c r="F217" s="1" cm="1">
        <f t="array" ref="F217">_xlfn.IFS(D217="Tea", 40, D217="Coffee", 60, D217="Bakery", 100, D217="Beverages", 80)</f>
        <v>100</v>
      </c>
      <c r="G217" s="1">
        <f t="shared" si="3"/>
        <v>200</v>
      </c>
      <c r="H217" s="1" t="s">
        <v>21</v>
      </c>
      <c r="I217" s="1" t="s">
        <v>23</v>
      </c>
      <c r="J217" s="1">
        <v>2</v>
      </c>
    </row>
    <row r="218" spans="1:10" ht="15" x14ac:dyDescent="0.4">
      <c r="A218" s="1">
        <v>1217</v>
      </c>
      <c r="B218" s="2">
        <v>46038</v>
      </c>
      <c r="C218" s="1" t="s">
        <v>10</v>
      </c>
      <c r="D218" s="1" t="s">
        <v>13</v>
      </c>
      <c r="E218" s="4">
        <v>3</v>
      </c>
      <c r="F218" s="1" cm="1">
        <f t="array" ref="F218">_xlfn.IFS(D218="Tea", 40, D218="Coffee", 60, D218="Bakery", 100, D218="Beverages", 80)</f>
        <v>100</v>
      </c>
      <c r="G218" s="1">
        <f t="shared" si="3"/>
        <v>300</v>
      </c>
      <c r="H218" s="1" t="s">
        <v>25</v>
      </c>
      <c r="I218" s="1" t="s">
        <v>26</v>
      </c>
      <c r="J218" s="1">
        <v>5</v>
      </c>
    </row>
    <row r="219" spans="1:10" ht="15" x14ac:dyDescent="0.4">
      <c r="A219" s="1">
        <v>1218</v>
      </c>
      <c r="B219" s="2">
        <v>46182</v>
      </c>
      <c r="C219" s="1" t="s">
        <v>12</v>
      </c>
      <c r="D219" s="1" t="s">
        <v>9</v>
      </c>
      <c r="E219" s="4">
        <v>3</v>
      </c>
      <c r="F219" s="1" cm="1">
        <f t="array" ref="F219">_xlfn.IFS(D219="Tea", 40, D219="Coffee", 60, D219="Bakery", 100, D219="Beverages", 80)</f>
        <v>40</v>
      </c>
      <c r="G219" s="1">
        <f t="shared" si="3"/>
        <v>120</v>
      </c>
      <c r="H219" s="1" t="s">
        <v>24</v>
      </c>
      <c r="I219" s="1" t="s">
        <v>22</v>
      </c>
      <c r="J219" s="1">
        <v>2</v>
      </c>
    </row>
    <row r="220" spans="1:10" ht="15" x14ac:dyDescent="0.4">
      <c r="A220" s="1">
        <v>1219</v>
      </c>
      <c r="B220" s="2">
        <v>46124</v>
      </c>
      <c r="C220" s="1" t="s">
        <v>10</v>
      </c>
      <c r="D220" s="1" t="s">
        <v>14</v>
      </c>
      <c r="E220" s="4">
        <v>2</v>
      </c>
      <c r="F220" s="1" cm="1">
        <f t="array" ref="F220">_xlfn.IFS(D220="Tea", 40, D220="Coffee", 60, D220="Bakery", 100, D220="Beverages", 80)</f>
        <v>80</v>
      </c>
      <c r="G220" s="1">
        <f t="shared" si="3"/>
        <v>160</v>
      </c>
      <c r="H220" s="1" t="s">
        <v>25</v>
      </c>
      <c r="I220" s="1" t="s">
        <v>22</v>
      </c>
      <c r="J220" s="1">
        <v>2</v>
      </c>
    </row>
    <row r="221" spans="1:10" ht="15" x14ac:dyDescent="0.4">
      <c r="A221" s="1">
        <v>1220</v>
      </c>
      <c r="B221" s="2">
        <v>46128</v>
      </c>
      <c r="C221" s="1" t="s">
        <v>8</v>
      </c>
      <c r="D221" s="1" t="s">
        <v>13</v>
      </c>
      <c r="E221" s="4">
        <v>1</v>
      </c>
      <c r="F221" s="1" cm="1">
        <f t="array" ref="F221">_xlfn.IFS(D221="Tea", 40, D221="Coffee", 60, D221="Bakery", 100, D221="Beverages", 80)</f>
        <v>100</v>
      </c>
      <c r="G221" s="1">
        <f t="shared" si="3"/>
        <v>100</v>
      </c>
      <c r="H221" s="1" t="s">
        <v>21</v>
      </c>
      <c r="I221" s="1" t="s">
        <v>26</v>
      </c>
      <c r="J221" s="1">
        <v>4</v>
      </c>
    </row>
    <row r="222" spans="1:10" ht="15" x14ac:dyDescent="0.4">
      <c r="A222" s="1">
        <v>1221</v>
      </c>
      <c r="B222" s="2">
        <v>46102</v>
      </c>
      <c r="C222" s="1" t="s">
        <v>8</v>
      </c>
      <c r="D222" s="1" t="s">
        <v>9</v>
      </c>
      <c r="E222" s="4">
        <v>3</v>
      </c>
      <c r="F222" s="1" cm="1">
        <f t="array" ref="F222">_xlfn.IFS(D222="Tea", 40, D222="Coffee", 60, D222="Bakery", 100, D222="Beverages", 80)</f>
        <v>40</v>
      </c>
      <c r="G222" s="1">
        <f t="shared" si="3"/>
        <v>120</v>
      </c>
      <c r="H222" s="1" t="s">
        <v>24</v>
      </c>
      <c r="I222" s="1" t="s">
        <v>26</v>
      </c>
      <c r="J222" s="1">
        <v>5</v>
      </c>
    </row>
    <row r="223" spans="1:10" ht="15" x14ac:dyDescent="0.4">
      <c r="A223" s="1">
        <v>1222</v>
      </c>
      <c r="B223" s="2">
        <v>46175</v>
      </c>
      <c r="C223" s="1" t="s">
        <v>12</v>
      </c>
      <c r="D223" s="1" t="s">
        <v>11</v>
      </c>
      <c r="E223" s="4">
        <v>1</v>
      </c>
      <c r="F223" s="1" cm="1">
        <f t="array" ref="F223">_xlfn.IFS(D223="Tea", 40, D223="Coffee", 60, D223="Bakery", 100, D223="Beverages", 80)</f>
        <v>60</v>
      </c>
      <c r="G223" s="1">
        <f t="shared" si="3"/>
        <v>60</v>
      </c>
      <c r="H223" s="1" t="s">
        <v>21</v>
      </c>
      <c r="I223" s="1" t="s">
        <v>26</v>
      </c>
      <c r="J223" s="1">
        <v>4</v>
      </c>
    </row>
    <row r="224" spans="1:10" ht="15" x14ac:dyDescent="0.4">
      <c r="A224" s="1">
        <v>1223</v>
      </c>
      <c r="B224" s="2">
        <v>46105</v>
      </c>
      <c r="C224" s="1" t="s">
        <v>8</v>
      </c>
      <c r="D224" s="1" t="s">
        <v>13</v>
      </c>
      <c r="E224" s="4">
        <v>1</v>
      </c>
      <c r="F224" s="1" cm="1">
        <f t="array" ref="F224">_xlfn.IFS(D224="Tea", 40, D224="Coffee", 60, D224="Bakery", 100, D224="Beverages", 80)</f>
        <v>100</v>
      </c>
      <c r="G224" s="1">
        <f t="shared" si="3"/>
        <v>100</v>
      </c>
      <c r="H224" s="1" t="s">
        <v>25</v>
      </c>
      <c r="I224" s="1" t="s">
        <v>22</v>
      </c>
      <c r="J224" s="1">
        <v>1</v>
      </c>
    </row>
    <row r="225" spans="1:10" ht="15" x14ac:dyDescent="0.4">
      <c r="A225" s="1">
        <v>1224</v>
      </c>
      <c r="B225" s="2">
        <v>46121</v>
      </c>
      <c r="C225" s="1" t="s">
        <v>12</v>
      </c>
      <c r="D225" s="1" t="s">
        <v>9</v>
      </c>
      <c r="E225" s="4">
        <v>3</v>
      </c>
      <c r="F225" s="1" cm="1">
        <f t="array" ref="F225">_xlfn.IFS(D225="Tea", 40, D225="Coffee", 60, D225="Bakery", 100, D225="Beverages", 80)</f>
        <v>40</v>
      </c>
      <c r="G225" s="1">
        <f t="shared" si="3"/>
        <v>120</v>
      </c>
      <c r="H225" s="1" t="s">
        <v>21</v>
      </c>
      <c r="I225" s="1" t="s">
        <v>23</v>
      </c>
      <c r="J225" s="1">
        <v>3</v>
      </c>
    </row>
    <row r="226" spans="1:10" ht="15" x14ac:dyDescent="0.4">
      <c r="A226" s="1">
        <v>1225</v>
      </c>
      <c r="B226" s="2">
        <v>46171</v>
      </c>
      <c r="C226" s="1" t="s">
        <v>10</v>
      </c>
      <c r="D226" s="1" t="s">
        <v>11</v>
      </c>
      <c r="E226" s="4">
        <v>3</v>
      </c>
      <c r="F226" s="1" cm="1">
        <f t="array" ref="F226">_xlfn.IFS(D226="Tea", 40, D226="Coffee", 60, D226="Bakery", 100, D226="Beverages", 80)</f>
        <v>60</v>
      </c>
      <c r="G226" s="1">
        <f t="shared" si="3"/>
        <v>180</v>
      </c>
      <c r="H226" s="1" t="s">
        <v>25</v>
      </c>
      <c r="I226" s="1" t="s">
        <v>22</v>
      </c>
      <c r="J226" s="1">
        <v>3</v>
      </c>
    </row>
    <row r="227" spans="1:10" ht="15" x14ac:dyDescent="0.4">
      <c r="A227" s="1">
        <v>1226</v>
      </c>
      <c r="B227" s="2">
        <v>46127</v>
      </c>
      <c r="C227" s="1" t="s">
        <v>12</v>
      </c>
      <c r="D227" s="1" t="s">
        <v>13</v>
      </c>
      <c r="E227" s="4">
        <v>2</v>
      </c>
      <c r="F227" s="1" cm="1">
        <f t="array" ref="F227">_xlfn.IFS(D227="Tea", 40, D227="Coffee", 60, D227="Bakery", 100, D227="Beverages", 80)</f>
        <v>100</v>
      </c>
      <c r="G227" s="1">
        <f t="shared" si="3"/>
        <v>200</v>
      </c>
      <c r="H227" s="1" t="s">
        <v>24</v>
      </c>
      <c r="I227" s="1" t="s">
        <v>26</v>
      </c>
      <c r="J227" s="1">
        <v>1</v>
      </c>
    </row>
    <row r="228" spans="1:10" ht="15" x14ac:dyDescent="0.4">
      <c r="A228" s="1">
        <v>1227</v>
      </c>
      <c r="B228" s="2">
        <v>46179</v>
      </c>
      <c r="C228" s="1" t="s">
        <v>8</v>
      </c>
      <c r="D228" s="1" t="s">
        <v>14</v>
      </c>
      <c r="E228" s="4">
        <v>1</v>
      </c>
      <c r="F228" s="1" cm="1">
        <f t="array" ref="F228">_xlfn.IFS(D228="Tea", 40, D228="Coffee", 60, D228="Bakery", 100, D228="Beverages", 80)</f>
        <v>80</v>
      </c>
      <c r="G228" s="1">
        <f t="shared" si="3"/>
        <v>80</v>
      </c>
      <c r="H228" s="1" t="s">
        <v>24</v>
      </c>
      <c r="I228" s="1" t="s">
        <v>22</v>
      </c>
      <c r="J228" s="1">
        <v>4</v>
      </c>
    </row>
    <row r="229" spans="1:10" ht="15" x14ac:dyDescent="0.4">
      <c r="A229" s="1">
        <v>1228</v>
      </c>
      <c r="B229" s="2">
        <v>46044</v>
      </c>
      <c r="C229" s="1" t="s">
        <v>12</v>
      </c>
      <c r="D229" s="1" t="s">
        <v>11</v>
      </c>
      <c r="E229" s="4">
        <v>2</v>
      </c>
      <c r="F229" s="1" cm="1">
        <f t="array" ref="F229">_xlfn.IFS(D229="Tea", 40, D229="Coffee", 60, D229="Bakery", 100, D229="Beverages", 80)</f>
        <v>60</v>
      </c>
      <c r="G229" s="1">
        <f t="shared" si="3"/>
        <v>120</v>
      </c>
      <c r="H229" s="1" t="s">
        <v>24</v>
      </c>
      <c r="I229" s="1" t="s">
        <v>23</v>
      </c>
      <c r="J229" s="1">
        <v>1</v>
      </c>
    </row>
    <row r="230" spans="1:10" ht="15" x14ac:dyDescent="0.4">
      <c r="A230" s="1">
        <v>1229</v>
      </c>
      <c r="B230" s="2">
        <v>46203</v>
      </c>
      <c r="C230" s="1" t="s">
        <v>8</v>
      </c>
      <c r="D230" s="1" t="s">
        <v>13</v>
      </c>
      <c r="E230" s="4">
        <v>3</v>
      </c>
      <c r="F230" s="1" cm="1">
        <f t="array" ref="F230">_xlfn.IFS(D230="Tea", 40, D230="Coffee", 60, D230="Bakery", 100, D230="Beverages", 80)</f>
        <v>100</v>
      </c>
      <c r="G230" s="1">
        <f t="shared" si="3"/>
        <v>300</v>
      </c>
      <c r="H230" s="1" t="s">
        <v>21</v>
      </c>
      <c r="I230" s="1" t="s">
        <v>26</v>
      </c>
      <c r="J230" s="1">
        <v>1</v>
      </c>
    </row>
    <row r="231" spans="1:10" ht="15" x14ac:dyDescent="0.4">
      <c r="A231" s="1">
        <v>1230</v>
      </c>
      <c r="B231" s="2">
        <v>46061</v>
      </c>
      <c r="C231" s="1" t="s">
        <v>10</v>
      </c>
      <c r="D231" s="1" t="s">
        <v>13</v>
      </c>
      <c r="E231" s="4">
        <v>1</v>
      </c>
      <c r="F231" s="1" cm="1">
        <f t="array" ref="F231">_xlfn.IFS(D231="Tea", 40, D231="Coffee", 60, D231="Bakery", 100, D231="Beverages", 80)</f>
        <v>100</v>
      </c>
      <c r="G231" s="1">
        <f t="shared" si="3"/>
        <v>100</v>
      </c>
      <c r="H231" s="1" t="s">
        <v>21</v>
      </c>
      <c r="I231" s="1" t="s">
        <v>26</v>
      </c>
      <c r="J231" s="1">
        <v>5</v>
      </c>
    </row>
    <row r="232" spans="1:10" ht="15" x14ac:dyDescent="0.4">
      <c r="A232" s="1">
        <v>1231</v>
      </c>
      <c r="B232" s="2">
        <v>46063</v>
      </c>
      <c r="C232" s="1" t="s">
        <v>10</v>
      </c>
      <c r="D232" s="1" t="s">
        <v>9</v>
      </c>
      <c r="E232" s="4">
        <v>2</v>
      </c>
      <c r="F232" s="1" cm="1">
        <f t="array" ref="F232">_xlfn.IFS(D232="Tea", 40, D232="Coffee", 60, D232="Bakery", 100, D232="Beverages", 80)</f>
        <v>40</v>
      </c>
      <c r="G232" s="1">
        <f t="shared" si="3"/>
        <v>80</v>
      </c>
      <c r="H232" s="1" t="s">
        <v>25</v>
      </c>
      <c r="I232" s="1" t="s">
        <v>26</v>
      </c>
      <c r="J232" s="1">
        <v>3</v>
      </c>
    </row>
    <row r="233" spans="1:10" ht="15" x14ac:dyDescent="0.4">
      <c r="A233" s="1">
        <v>1232</v>
      </c>
      <c r="B233" s="2">
        <v>46060</v>
      </c>
      <c r="C233" s="1" t="s">
        <v>8</v>
      </c>
      <c r="D233" s="1" t="s">
        <v>14</v>
      </c>
      <c r="E233" s="4">
        <v>2</v>
      </c>
      <c r="F233" s="1" cm="1">
        <f t="array" ref="F233">_xlfn.IFS(D233="Tea", 40, D233="Coffee", 60, D233="Bakery", 100, D233="Beverages", 80)</f>
        <v>80</v>
      </c>
      <c r="G233" s="1">
        <f t="shared" si="3"/>
        <v>160</v>
      </c>
      <c r="H233" s="1" t="s">
        <v>25</v>
      </c>
      <c r="I233" s="1" t="s">
        <v>23</v>
      </c>
      <c r="J233" s="1">
        <v>5</v>
      </c>
    </row>
    <row r="234" spans="1:10" ht="15" x14ac:dyDescent="0.4">
      <c r="A234" s="1">
        <v>1233</v>
      </c>
      <c r="B234" s="2">
        <v>46177</v>
      </c>
      <c r="C234" s="1" t="s">
        <v>10</v>
      </c>
      <c r="D234" s="1" t="s">
        <v>9</v>
      </c>
      <c r="E234" s="4">
        <v>3</v>
      </c>
      <c r="F234" s="1" cm="1">
        <f t="array" ref="F234">_xlfn.IFS(D234="Tea", 40, D234="Coffee", 60, D234="Bakery", 100, D234="Beverages", 80)</f>
        <v>40</v>
      </c>
      <c r="G234" s="1">
        <f t="shared" si="3"/>
        <v>120</v>
      </c>
      <c r="H234" s="1" t="s">
        <v>24</v>
      </c>
      <c r="I234" s="1" t="s">
        <v>23</v>
      </c>
      <c r="J234" s="1">
        <v>2</v>
      </c>
    </row>
    <row r="235" spans="1:10" ht="15" x14ac:dyDescent="0.4">
      <c r="A235" s="1">
        <v>1234</v>
      </c>
      <c r="B235" s="2">
        <v>46182</v>
      </c>
      <c r="C235" s="1" t="s">
        <v>10</v>
      </c>
      <c r="D235" s="1" t="s">
        <v>13</v>
      </c>
      <c r="E235" s="4">
        <v>2</v>
      </c>
      <c r="F235" s="1" cm="1">
        <f t="array" ref="F235">_xlfn.IFS(D235="Tea", 40, D235="Coffee", 60, D235="Bakery", 100, D235="Beverages", 80)</f>
        <v>100</v>
      </c>
      <c r="G235" s="1">
        <f t="shared" si="3"/>
        <v>200</v>
      </c>
      <c r="H235" s="1" t="s">
        <v>25</v>
      </c>
      <c r="I235" s="1" t="s">
        <v>26</v>
      </c>
      <c r="J235" s="1">
        <v>2</v>
      </c>
    </row>
    <row r="236" spans="1:10" ht="15" x14ac:dyDescent="0.4">
      <c r="A236" s="1">
        <v>1235</v>
      </c>
      <c r="B236" s="2">
        <v>46063</v>
      </c>
      <c r="C236" s="1" t="s">
        <v>12</v>
      </c>
      <c r="D236" s="1" t="s">
        <v>13</v>
      </c>
      <c r="E236" s="4">
        <v>2</v>
      </c>
      <c r="F236" s="1" cm="1">
        <f t="array" ref="F236">_xlfn.IFS(D236="Tea", 40, D236="Coffee", 60, D236="Bakery", 100, D236="Beverages", 80)</f>
        <v>100</v>
      </c>
      <c r="G236" s="1">
        <f t="shared" si="3"/>
        <v>200</v>
      </c>
      <c r="H236" s="1" t="s">
        <v>25</v>
      </c>
      <c r="I236" s="1" t="s">
        <v>26</v>
      </c>
      <c r="J236" s="1">
        <v>1</v>
      </c>
    </row>
    <row r="237" spans="1:10" ht="15" x14ac:dyDescent="0.4">
      <c r="A237" s="1">
        <v>1236</v>
      </c>
      <c r="B237" s="2">
        <v>46059</v>
      </c>
      <c r="C237" s="1" t="s">
        <v>8</v>
      </c>
      <c r="D237" s="1" t="s">
        <v>9</v>
      </c>
      <c r="E237" s="4">
        <v>1</v>
      </c>
      <c r="F237" s="1" cm="1">
        <f t="array" ref="F237">_xlfn.IFS(D237="Tea", 40, D237="Coffee", 60, D237="Bakery", 100, D237="Beverages", 80)</f>
        <v>40</v>
      </c>
      <c r="G237" s="1">
        <f t="shared" si="3"/>
        <v>40</v>
      </c>
      <c r="H237" s="1" t="s">
        <v>24</v>
      </c>
      <c r="I237" s="1" t="s">
        <v>26</v>
      </c>
      <c r="J237" s="1">
        <v>3</v>
      </c>
    </row>
    <row r="238" spans="1:10" ht="15" x14ac:dyDescent="0.4">
      <c r="A238" s="1">
        <v>1237</v>
      </c>
      <c r="B238" s="2">
        <v>46133</v>
      </c>
      <c r="C238" s="1" t="s">
        <v>10</v>
      </c>
      <c r="D238" s="1" t="s">
        <v>11</v>
      </c>
      <c r="E238" s="4">
        <v>1</v>
      </c>
      <c r="F238" s="1" cm="1">
        <f t="array" ref="F238">_xlfn.IFS(D238="Tea", 40, D238="Coffee", 60, D238="Bakery", 100, D238="Beverages", 80)</f>
        <v>60</v>
      </c>
      <c r="G238" s="1">
        <f t="shared" si="3"/>
        <v>60</v>
      </c>
      <c r="H238" s="1" t="s">
        <v>21</v>
      </c>
      <c r="I238" s="1" t="s">
        <v>22</v>
      </c>
      <c r="J238" s="1">
        <v>1</v>
      </c>
    </row>
    <row r="239" spans="1:10" ht="15" x14ac:dyDescent="0.4">
      <c r="A239" s="1">
        <v>1238</v>
      </c>
      <c r="B239" s="2">
        <v>46094</v>
      </c>
      <c r="C239" s="1" t="s">
        <v>8</v>
      </c>
      <c r="D239" s="1" t="s">
        <v>14</v>
      </c>
      <c r="E239" s="4">
        <v>1</v>
      </c>
      <c r="F239" s="1" cm="1">
        <f t="array" ref="F239">_xlfn.IFS(D239="Tea", 40, D239="Coffee", 60, D239="Bakery", 100, D239="Beverages", 80)</f>
        <v>80</v>
      </c>
      <c r="G239" s="1">
        <f t="shared" si="3"/>
        <v>80</v>
      </c>
      <c r="H239" s="1" t="s">
        <v>21</v>
      </c>
      <c r="I239" s="1" t="s">
        <v>26</v>
      </c>
      <c r="J239" s="1">
        <v>2</v>
      </c>
    </row>
    <row r="240" spans="1:10" ht="15" x14ac:dyDescent="0.4">
      <c r="A240" s="1">
        <v>1239</v>
      </c>
      <c r="B240" s="2">
        <v>46172</v>
      </c>
      <c r="C240" s="1" t="s">
        <v>10</v>
      </c>
      <c r="D240" s="1" t="s">
        <v>9</v>
      </c>
      <c r="E240" s="4">
        <v>3</v>
      </c>
      <c r="F240" s="1" cm="1">
        <f t="array" ref="F240">_xlfn.IFS(D240="Tea", 40, D240="Coffee", 60, D240="Bakery", 100, D240="Beverages", 80)</f>
        <v>40</v>
      </c>
      <c r="G240" s="1">
        <f t="shared" si="3"/>
        <v>120</v>
      </c>
      <c r="H240" s="1" t="s">
        <v>24</v>
      </c>
      <c r="I240" s="1" t="s">
        <v>23</v>
      </c>
      <c r="J240" s="1">
        <v>5</v>
      </c>
    </row>
    <row r="241" spans="1:10" ht="15" x14ac:dyDescent="0.4">
      <c r="A241" s="1">
        <v>1240</v>
      </c>
      <c r="B241" s="2">
        <v>46184</v>
      </c>
      <c r="C241" s="1" t="s">
        <v>12</v>
      </c>
      <c r="D241" s="1" t="s">
        <v>9</v>
      </c>
      <c r="E241" s="4">
        <v>2</v>
      </c>
      <c r="F241" s="1" cm="1">
        <f t="array" ref="F241">_xlfn.IFS(D241="Tea", 40, D241="Coffee", 60, D241="Bakery", 100, D241="Beverages", 80)</f>
        <v>40</v>
      </c>
      <c r="G241" s="1">
        <f t="shared" si="3"/>
        <v>80</v>
      </c>
      <c r="H241" s="1" t="s">
        <v>24</v>
      </c>
      <c r="I241" s="1" t="s">
        <v>22</v>
      </c>
      <c r="J241" s="1">
        <v>5</v>
      </c>
    </row>
    <row r="242" spans="1:10" ht="15" x14ac:dyDescent="0.4">
      <c r="A242" s="1">
        <v>1241</v>
      </c>
      <c r="B242" s="2">
        <v>46121</v>
      </c>
      <c r="C242" s="1" t="s">
        <v>8</v>
      </c>
      <c r="D242" s="1" t="s">
        <v>13</v>
      </c>
      <c r="E242" s="4">
        <v>3</v>
      </c>
      <c r="F242" s="1" cm="1">
        <f t="array" ref="F242">_xlfn.IFS(D242="Tea", 40, D242="Coffee", 60, D242="Bakery", 100, D242="Beverages", 80)</f>
        <v>100</v>
      </c>
      <c r="G242" s="1">
        <f t="shared" si="3"/>
        <v>300</v>
      </c>
      <c r="H242" s="1" t="s">
        <v>24</v>
      </c>
      <c r="I242" s="1" t="s">
        <v>26</v>
      </c>
      <c r="J242" s="1">
        <v>3</v>
      </c>
    </row>
    <row r="243" spans="1:10" ht="15" x14ac:dyDescent="0.4">
      <c r="A243" s="1">
        <v>1242</v>
      </c>
      <c r="B243" s="2">
        <v>46054</v>
      </c>
      <c r="C243" s="1" t="s">
        <v>12</v>
      </c>
      <c r="D243" s="1" t="s">
        <v>14</v>
      </c>
      <c r="E243" s="4">
        <v>3</v>
      </c>
      <c r="F243" s="1" cm="1">
        <f t="array" ref="F243">_xlfn.IFS(D243="Tea", 40, D243="Coffee", 60, D243="Bakery", 100, D243="Beverages", 80)</f>
        <v>80</v>
      </c>
      <c r="G243" s="1">
        <f t="shared" si="3"/>
        <v>240</v>
      </c>
      <c r="H243" s="1" t="s">
        <v>24</v>
      </c>
      <c r="I243" s="1" t="s">
        <v>26</v>
      </c>
      <c r="J243" s="1">
        <v>2</v>
      </c>
    </row>
    <row r="244" spans="1:10" ht="15" x14ac:dyDescent="0.4">
      <c r="A244" s="1">
        <v>1243</v>
      </c>
      <c r="B244" s="2">
        <v>46131</v>
      </c>
      <c r="C244" s="1" t="s">
        <v>12</v>
      </c>
      <c r="D244" s="1" t="s">
        <v>13</v>
      </c>
      <c r="E244" s="4">
        <v>1</v>
      </c>
      <c r="F244" s="1" cm="1">
        <f t="array" ref="F244">_xlfn.IFS(D244="Tea", 40, D244="Coffee", 60, D244="Bakery", 100, D244="Beverages", 80)</f>
        <v>100</v>
      </c>
      <c r="G244" s="1">
        <f t="shared" si="3"/>
        <v>100</v>
      </c>
      <c r="H244" s="1" t="s">
        <v>24</v>
      </c>
      <c r="I244" s="1" t="s">
        <v>23</v>
      </c>
      <c r="J244" s="1">
        <v>1</v>
      </c>
    </row>
    <row r="245" spans="1:10" ht="15" x14ac:dyDescent="0.4">
      <c r="A245" s="1">
        <v>1244</v>
      </c>
      <c r="B245" s="2">
        <v>46178</v>
      </c>
      <c r="C245" s="1" t="s">
        <v>10</v>
      </c>
      <c r="D245" s="1" t="s">
        <v>13</v>
      </c>
      <c r="E245" s="4">
        <v>2</v>
      </c>
      <c r="F245" s="1" cm="1">
        <f t="array" ref="F245">_xlfn.IFS(D245="Tea", 40, D245="Coffee", 60, D245="Bakery", 100, D245="Beverages", 80)</f>
        <v>100</v>
      </c>
      <c r="G245" s="1">
        <f t="shared" si="3"/>
        <v>200</v>
      </c>
      <c r="H245" s="1" t="s">
        <v>25</v>
      </c>
      <c r="I245" s="1" t="s">
        <v>22</v>
      </c>
      <c r="J245" s="1">
        <v>4</v>
      </c>
    </row>
    <row r="246" spans="1:10" ht="15" x14ac:dyDescent="0.4">
      <c r="A246" s="1">
        <v>1245</v>
      </c>
      <c r="B246" s="2">
        <v>46113</v>
      </c>
      <c r="C246" s="1" t="s">
        <v>10</v>
      </c>
      <c r="D246" s="1" t="s">
        <v>9</v>
      </c>
      <c r="E246" s="4">
        <v>2</v>
      </c>
      <c r="F246" s="1" cm="1">
        <f t="array" ref="F246">_xlfn.IFS(D246="Tea", 40, D246="Coffee", 60, D246="Bakery", 100, D246="Beverages", 80)</f>
        <v>40</v>
      </c>
      <c r="G246" s="1">
        <f t="shared" si="3"/>
        <v>80</v>
      </c>
      <c r="H246" s="1" t="s">
        <v>21</v>
      </c>
      <c r="I246" s="1" t="s">
        <v>22</v>
      </c>
      <c r="J246" s="1">
        <v>3</v>
      </c>
    </row>
    <row r="247" spans="1:10" ht="15" x14ac:dyDescent="0.4">
      <c r="A247" s="1">
        <v>1246</v>
      </c>
      <c r="B247" s="2">
        <v>46123</v>
      </c>
      <c r="C247" s="1" t="s">
        <v>12</v>
      </c>
      <c r="D247" s="1" t="s">
        <v>14</v>
      </c>
      <c r="E247" s="4">
        <v>2</v>
      </c>
      <c r="F247" s="1" cm="1">
        <f t="array" ref="F247">_xlfn.IFS(D247="Tea", 40, D247="Coffee", 60, D247="Bakery", 100, D247="Beverages", 80)</f>
        <v>80</v>
      </c>
      <c r="G247" s="1">
        <f t="shared" si="3"/>
        <v>160</v>
      </c>
      <c r="H247" s="1" t="s">
        <v>21</v>
      </c>
      <c r="I247" s="1" t="s">
        <v>22</v>
      </c>
      <c r="J247" s="1">
        <v>1</v>
      </c>
    </row>
    <row r="248" spans="1:10" ht="15" x14ac:dyDescent="0.4">
      <c r="A248" s="1">
        <v>1247</v>
      </c>
      <c r="B248" s="2">
        <v>46160</v>
      </c>
      <c r="C248" s="1" t="s">
        <v>10</v>
      </c>
      <c r="D248" s="1" t="s">
        <v>9</v>
      </c>
      <c r="E248" s="4">
        <v>3</v>
      </c>
      <c r="F248" s="1" cm="1">
        <f t="array" ref="F248">_xlfn.IFS(D248="Tea", 40, D248="Coffee", 60, D248="Bakery", 100, D248="Beverages", 80)</f>
        <v>40</v>
      </c>
      <c r="G248" s="1">
        <f t="shared" si="3"/>
        <v>120</v>
      </c>
      <c r="H248" s="1" t="s">
        <v>24</v>
      </c>
      <c r="I248" s="1" t="s">
        <v>23</v>
      </c>
      <c r="J248" s="1">
        <v>4</v>
      </c>
    </row>
    <row r="249" spans="1:10" ht="15" x14ac:dyDescent="0.4">
      <c r="A249" s="1">
        <v>1248</v>
      </c>
      <c r="B249" s="2">
        <v>46089</v>
      </c>
      <c r="C249" s="1" t="s">
        <v>10</v>
      </c>
      <c r="D249" s="1" t="s">
        <v>13</v>
      </c>
      <c r="E249" s="4">
        <v>3</v>
      </c>
      <c r="F249" s="1" cm="1">
        <f t="array" ref="F249">_xlfn.IFS(D249="Tea", 40, D249="Coffee", 60, D249="Bakery", 100, D249="Beverages", 80)</f>
        <v>100</v>
      </c>
      <c r="G249" s="1">
        <f t="shared" si="3"/>
        <v>300</v>
      </c>
      <c r="H249" s="1" t="s">
        <v>21</v>
      </c>
      <c r="I249" s="1" t="s">
        <v>23</v>
      </c>
      <c r="J249" s="1">
        <v>5</v>
      </c>
    </row>
    <row r="250" spans="1:10" ht="15" x14ac:dyDescent="0.4">
      <c r="A250" s="1">
        <v>1249</v>
      </c>
      <c r="B250" s="2">
        <v>46100</v>
      </c>
      <c r="C250" s="1" t="s">
        <v>12</v>
      </c>
      <c r="D250" s="1" t="s">
        <v>13</v>
      </c>
      <c r="E250" s="4">
        <v>3</v>
      </c>
      <c r="F250" s="1" cm="1">
        <f t="array" ref="F250">_xlfn.IFS(D250="Tea", 40, D250="Coffee", 60, D250="Bakery", 100, D250="Beverages", 80)</f>
        <v>100</v>
      </c>
      <c r="G250" s="1">
        <f t="shared" si="3"/>
        <v>300</v>
      </c>
      <c r="H250" s="1" t="s">
        <v>21</v>
      </c>
      <c r="I250" s="1" t="s">
        <v>22</v>
      </c>
      <c r="J250" s="1">
        <v>3</v>
      </c>
    </row>
    <row r="251" spans="1:10" ht="15" x14ac:dyDescent="0.4">
      <c r="A251" s="1">
        <v>1250</v>
      </c>
      <c r="B251" s="2">
        <v>46133</v>
      </c>
      <c r="C251" s="1" t="s">
        <v>8</v>
      </c>
      <c r="D251" s="1" t="s">
        <v>11</v>
      </c>
      <c r="E251" s="4">
        <v>1</v>
      </c>
      <c r="F251" s="1" cm="1">
        <f t="array" ref="F251">_xlfn.IFS(D251="Tea", 40, D251="Coffee", 60, D251="Bakery", 100, D251="Beverages", 80)</f>
        <v>60</v>
      </c>
      <c r="G251" s="1">
        <f t="shared" si="3"/>
        <v>60</v>
      </c>
      <c r="H251" s="1" t="s">
        <v>24</v>
      </c>
      <c r="I251" s="1" t="s">
        <v>22</v>
      </c>
      <c r="J251" s="1">
        <v>1</v>
      </c>
    </row>
    <row r="252" spans="1:10" ht="15" x14ac:dyDescent="0.4">
      <c r="A252" s="1">
        <v>1251</v>
      </c>
      <c r="B252" s="2">
        <v>46056</v>
      </c>
      <c r="C252" s="1" t="s">
        <v>12</v>
      </c>
      <c r="D252" s="1" t="s">
        <v>13</v>
      </c>
      <c r="E252" s="4">
        <v>2</v>
      </c>
      <c r="F252" s="1" cm="1">
        <f t="array" ref="F252">_xlfn.IFS(D252="Tea", 40, D252="Coffee", 60, D252="Bakery", 100, D252="Beverages", 80)</f>
        <v>100</v>
      </c>
      <c r="G252" s="1">
        <f t="shared" si="3"/>
        <v>200</v>
      </c>
      <c r="H252" s="1" t="s">
        <v>25</v>
      </c>
      <c r="I252" s="1" t="s">
        <v>22</v>
      </c>
      <c r="J252" s="1">
        <v>2</v>
      </c>
    </row>
    <row r="253" spans="1:10" ht="15" x14ac:dyDescent="0.4">
      <c r="A253" s="1">
        <v>1252</v>
      </c>
      <c r="B253" s="2">
        <v>46049</v>
      </c>
      <c r="C253" s="1" t="s">
        <v>10</v>
      </c>
      <c r="D253" s="1" t="s">
        <v>13</v>
      </c>
      <c r="E253" s="4">
        <v>2</v>
      </c>
      <c r="F253" s="1" cm="1">
        <f t="array" ref="F253">_xlfn.IFS(D253="Tea", 40, D253="Coffee", 60, D253="Bakery", 100, D253="Beverages", 80)</f>
        <v>100</v>
      </c>
      <c r="G253" s="1">
        <f t="shared" si="3"/>
        <v>200</v>
      </c>
      <c r="H253" s="1" t="s">
        <v>21</v>
      </c>
      <c r="I253" s="1" t="s">
        <v>22</v>
      </c>
      <c r="J253" s="1">
        <v>5</v>
      </c>
    </row>
    <row r="254" spans="1:10" ht="15" x14ac:dyDescent="0.4">
      <c r="A254" s="1">
        <v>1253</v>
      </c>
      <c r="B254" s="2">
        <v>46185</v>
      </c>
      <c r="C254" s="1" t="s">
        <v>12</v>
      </c>
      <c r="D254" s="1" t="s">
        <v>14</v>
      </c>
      <c r="E254" s="4">
        <v>3</v>
      </c>
      <c r="F254" s="1" cm="1">
        <f t="array" ref="F254">_xlfn.IFS(D254="Tea", 40, D254="Coffee", 60, D254="Bakery", 100, D254="Beverages", 80)</f>
        <v>80</v>
      </c>
      <c r="G254" s="1">
        <f t="shared" si="3"/>
        <v>240</v>
      </c>
      <c r="H254" s="1" t="s">
        <v>24</v>
      </c>
      <c r="I254" s="1" t="s">
        <v>22</v>
      </c>
      <c r="J254" s="1">
        <v>3</v>
      </c>
    </row>
    <row r="255" spans="1:10" ht="15" x14ac:dyDescent="0.4">
      <c r="A255" s="1">
        <v>1254</v>
      </c>
      <c r="B255" s="2">
        <v>46108</v>
      </c>
      <c r="C255" s="1" t="s">
        <v>10</v>
      </c>
      <c r="D255" s="1" t="s">
        <v>13</v>
      </c>
      <c r="E255" s="4">
        <v>1</v>
      </c>
      <c r="F255" s="1" cm="1">
        <f t="array" ref="F255">_xlfn.IFS(D255="Tea", 40, D255="Coffee", 60, D255="Bakery", 100, D255="Beverages", 80)</f>
        <v>100</v>
      </c>
      <c r="G255" s="1">
        <f t="shared" si="3"/>
        <v>100</v>
      </c>
      <c r="H255" s="1" t="s">
        <v>21</v>
      </c>
      <c r="I255" s="1" t="s">
        <v>23</v>
      </c>
      <c r="J255" s="1">
        <v>1</v>
      </c>
    </row>
    <row r="256" spans="1:10" ht="15" x14ac:dyDescent="0.4">
      <c r="A256" s="1">
        <v>1255</v>
      </c>
      <c r="B256" s="2">
        <v>46043</v>
      </c>
      <c r="C256" s="1" t="s">
        <v>8</v>
      </c>
      <c r="D256" s="1" t="s">
        <v>14</v>
      </c>
      <c r="E256" s="4">
        <v>2</v>
      </c>
      <c r="F256" s="1" cm="1">
        <f t="array" ref="F256">_xlfn.IFS(D256="Tea", 40, D256="Coffee", 60, D256="Bakery", 100, D256="Beverages", 80)</f>
        <v>80</v>
      </c>
      <c r="G256" s="1">
        <f t="shared" si="3"/>
        <v>160</v>
      </c>
      <c r="H256" s="1" t="s">
        <v>21</v>
      </c>
      <c r="I256" s="1" t="s">
        <v>26</v>
      </c>
      <c r="J256" s="1">
        <v>1</v>
      </c>
    </row>
    <row r="257" spans="1:10" ht="15" x14ac:dyDescent="0.4">
      <c r="A257" s="1">
        <v>1256</v>
      </c>
      <c r="B257" s="2">
        <v>46046</v>
      </c>
      <c r="C257" s="1" t="s">
        <v>8</v>
      </c>
      <c r="D257" s="1" t="s">
        <v>9</v>
      </c>
      <c r="E257" s="4">
        <v>3</v>
      </c>
      <c r="F257" s="1" cm="1">
        <f t="array" ref="F257">_xlfn.IFS(D257="Tea", 40, D257="Coffee", 60, D257="Bakery", 100, D257="Beverages", 80)</f>
        <v>40</v>
      </c>
      <c r="G257" s="1">
        <f t="shared" si="3"/>
        <v>120</v>
      </c>
      <c r="H257" s="1" t="s">
        <v>24</v>
      </c>
      <c r="I257" s="1" t="s">
        <v>26</v>
      </c>
      <c r="J257" s="1">
        <v>1</v>
      </c>
    </row>
    <row r="258" spans="1:10" ht="15" x14ac:dyDescent="0.4">
      <c r="A258" s="1">
        <v>1257</v>
      </c>
      <c r="B258" s="2">
        <v>46075</v>
      </c>
      <c r="C258" s="1" t="s">
        <v>12</v>
      </c>
      <c r="D258" s="1" t="s">
        <v>9</v>
      </c>
      <c r="E258" s="4">
        <v>2</v>
      </c>
      <c r="F258" s="1" cm="1">
        <f t="array" ref="F258">_xlfn.IFS(D258="Tea", 40, D258="Coffee", 60, D258="Bakery", 100, D258="Beverages", 80)</f>
        <v>40</v>
      </c>
      <c r="G258" s="1">
        <f t="shared" si="3"/>
        <v>80</v>
      </c>
      <c r="H258" s="1" t="s">
        <v>21</v>
      </c>
      <c r="I258" s="1" t="s">
        <v>26</v>
      </c>
      <c r="J258" s="1">
        <v>3</v>
      </c>
    </row>
    <row r="259" spans="1:10" ht="15" x14ac:dyDescent="0.4">
      <c r="A259" s="1">
        <v>1258</v>
      </c>
      <c r="B259" s="2">
        <v>46077</v>
      </c>
      <c r="C259" s="1" t="s">
        <v>8</v>
      </c>
      <c r="D259" s="1" t="s">
        <v>11</v>
      </c>
      <c r="E259" s="4">
        <v>2</v>
      </c>
      <c r="F259" s="1" cm="1">
        <f t="array" ref="F259">_xlfn.IFS(D259="Tea", 40, D259="Coffee", 60, D259="Bakery", 100, D259="Beverages", 80)</f>
        <v>60</v>
      </c>
      <c r="G259" s="1">
        <f t="shared" ref="G259:G322" si="4">E259*F259</f>
        <v>120</v>
      </c>
      <c r="H259" s="1" t="s">
        <v>25</v>
      </c>
      <c r="I259" s="1" t="s">
        <v>23</v>
      </c>
      <c r="J259" s="1">
        <v>1</v>
      </c>
    </row>
    <row r="260" spans="1:10" ht="15" x14ac:dyDescent="0.4">
      <c r="A260" s="1">
        <v>1259</v>
      </c>
      <c r="B260" s="2">
        <v>46099</v>
      </c>
      <c r="C260" s="1" t="s">
        <v>12</v>
      </c>
      <c r="D260" s="1" t="s">
        <v>9</v>
      </c>
      <c r="E260" s="4">
        <v>1</v>
      </c>
      <c r="F260" s="1" cm="1">
        <f t="array" ref="F260">_xlfn.IFS(D260="Tea", 40, D260="Coffee", 60, D260="Bakery", 100, D260="Beverages", 80)</f>
        <v>40</v>
      </c>
      <c r="G260" s="1">
        <f t="shared" si="4"/>
        <v>40</v>
      </c>
      <c r="H260" s="1" t="s">
        <v>24</v>
      </c>
      <c r="I260" s="1" t="s">
        <v>26</v>
      </c>
      <c r="J260" s="1">
        <v>4</v>
      </c>
    </row>
    <row r="261" spans="1:10" ht="15" x14ac:dyDescent="0.4">
      <c r="A261" s="1">
        <v>1260</v>
      </c>
      <c r="B261" s="2">
        <v>46051</v>
      </c>
      <c r="C261" s="1" t="s">
        <v>8</v>
      </c>
      <c r="D261" s="1" t="s">
        <v>11</v>
      </c>
      <c r="E261" s="4">
        <v>1</v>
      </c>
      <c r="F261" s="1" cm="1">
        <f t="array" ref="F261">_xlfn.IFS(D261="Tea", 40, D261="Coffee", 60, D261="Bakery", 100, D261="Beverages", 80)</f>
        <v>60</v>
      </c>
      <c r="G261" s="1">
        <f t="shared" si="4"/>
        <v>60</v>
      </c>
      <c r="H261" s="1" t="s">
        <v>24</v>
      </c>
      <c r="I261" s="1" t="s">
        <v>26</v>
      </c>
      <c r="J261" s="1">
        <v>3</v>
      </c>
    </row>
    <row r="262" spans="1:10" ht="15" x14ac:dyDescent="0.4">
      <c r="A262" s="1">
        <v>1261</v>
      </c>
      <c r="B262" s="2">
        <v>46055</v>
      </c>
      <c r="C262" s="1" t="s">
        <v>8</v>
      </c>
      <c r="D262" s="1" t="s">
        <v>9</v>
      </c>
      <c r="E262" s="4">
        <v>3</v>
      </c>
      <c r="F262" s="1" cm="1">
        <f t="array" ref="F262">_xlfn.IFS(D262="Tea", 40, D262="Coffee", 60, D262="Bakery", 100, D262="Beverages", 80)</f>
        <v>40</v>
      </c>
      <c r="G262" s="1">
        <f t="shared" si="4"/>
        <v>120</v>
      </c>
      <c r="H262" s="1" t="s">
        <v>21</v>
      </c>
      <c r="I262" s="1" t="s">
        <v>22</v>
      </c>
      <c r="J262" s="1">
        <v>3</v>
      </c>
    </row>
    <row r="263" spans="1:10" ht="15" x14ac:dyDescent="0.4">
      <c r="A263" s="1">
        <v>1262</v>
      </c>
      <c r="B263" s="2">
        <v>46065</v>
      </c>
      <c r="C263" s="1" t="s">
        <v>12</v>
      </c>
      <c r="D263" s="1" t="s">
        <v>13</v>
      </c>
      <c r="E263" s="4">
        <v>2</v>
      </c>
      <c r="F263" s="1" cm="1">
        <f t="array" ref="F263">_xlfn.IFS(D263="Tea", 40, D263="Coffee", 60, D263="Bakery", 100, D263="Beverages", 80)</f>
        <v>100</v>
      </c>
      <c r="G263" s="1">
        <f t="shared" si="4"/>
        <v>200</v>
      </c>
      <c r="H263" s="1" t="s">
        <v>24</v>
      </c>
      <c r="I263" s="1" t="s">
        <v>23</v>
      </c>
      <c r="J263" s="1">
        <v>3</v>
      </c>
    </row>
    <row r="264" spans="1:10" ht="15" x14ac:dyDescent="0.4">
      <c r="A264" s="1">
        <v>1263</v>
      </c>
      <c r="B264" s="2">
        <v>46055</v>
      </c>
      <c r="C264" s="1" t="s">
        <v>8</v>
      </c>
      <c r="D264" s="1" t="s">
        <v>9</v>
      </c>
      <c r="E264" s="4">
        <v>2</v>
      </c>
      <c r="F264" s="1" cm="1">
        <f t="array" ref="F264">_xlfn.IFS(D264="Tea", 40, D264="Coffee", 60, D264="Bakery", 100, D264="Beverages", 80)</f>
        <v>40</v>
      </c>
      <c r="G264" s="1">
        <f t="shared" si="4"/>
        <v>80</v>
      </c>
      <c r="H264" s="1" t="s">
        <v>25</v>
      </c>
      <c r="I264" s="1" t="s">
        <v>22</v>
      </c>
      <c r="J264" s="1">
        <v>3</v>
      </c>
    </row>
    <row r="265" spans="1:10" ht="15" x14ac:dyDescent="0.4">
      <c r="A265" s="1">
        <v>1264</v>
      </c>
      <c r="B265" s="2">
        <v>46125</v>
      </c>
      <c r="C265" s="1" t="s">
        <v>8</v>
      </c>
      <c r="D265" s="1" t="s">
        <v>14</v>
      </c>
      <c r="E265" s="4">
        <v>3</v>
      </c>
      <c r="F265" s="1" cm="1">
        <f t="array" ref="F265">_xlfn.IFS(D265="Tea", 40, D265="Coffee", 60, D265="Bakery", 100, D265="Beverages", 80)</f>
        <v>80</v>
      </c>
      <c r="G265" s="1">
        <f t="shared" si="4"/>
        <v>240</v>
      </c>
      <c r="H265" s="1" t="s">
        <v>21</v>
      </c>
      <c r="I265" s="1" t="s">
        <v>23</v>
      </c>
      <c r="J265" s="1">
        <v>1</v>
      </c>
    </row>
    <row r="266" spans="1:10" ht="15" x14ac:dyDescent="0.4">
      <c r="A266" s="1">
        <v>1265</v>
      </c>
      <c r="B266" s="2">
        <v>46088</v>
      </c>
      <c r="C266" s="1" t="s">
        <v>10</v>
      </c>
      <c r="D266" s="1" t="s">
        <v>13</v>
      </c>
      <c r="E266" s="4">
        <v>2</v>
      </c>
      <c r="F266" s="1" cm="1">
        <f t="array" ref="F266">_xlfn.IFS(D266="Tea", 40, D266="Coffee", 60, D266="Bakery", 100, D266="Beverages", 80)</f>
        <v>100</v>
      </c>
      <c r="G266" s="1">
        <f t="shared" si="4"/>
        <v>200</v>
      </c>
      <c r="H266" s="1" t="s">
        <v>21</v>
      </c>
      <c r="I266" s="1" t="s">
        <v>22</v>
      </c>
      <c r="J266" s="1">
        <v>4</v>
      </c>
    </row>
    <row r="267" spans="1:10" ht="15" x14ac:dyDescent="0.4">
      <c r="A267" s="1">
        <v>1266</v>
      </c>
      <c r="B267" s="2">
        <v>46126</v>
      </c>
      <c r="C267" s="1" t="s">
        <v>8</v>
      </c>
      <c r="D267" s="1" t="s">
        <v>13</v>
      </c>
      <c r="E267" s="4">
        <v>2</v>
      </c>
      <c r="F267" s="1" cm="1">
        <f t="array" ref="F267">_xlfn.IFS(D267="Tea", 40, D267="Coffee", 60, D267="Bakery", 100, D267="Beverages", 80)</f>
        <v>100</v>
      </c>
      <c r="G267" s="1">
        <f t="shared" si="4"/>
        <v>200</v>
      </c>
      <c r="H267" s="1" t="s">
        <v>24</v>
      </c>
      <c r="I267" s="1" t="s">
        <v>22</v>
      </c>
      <c r="J267" s="1">
        <v>1</v>
      </c>
    </row>
    <row r="268" spans="1:10" ht="15" x14ac:dyDescent="0.4">
      <c r="A268" s="1">
        <v>1267</v>
      </c>
      <c r="B268" s="2">
        <v>46095</v>
      </c>
      <c r="C268" s="1" t="s">
        <v>12</v>
      </c>
      <c r="D268" s="1" t="s">
        <v>9</v>
      </c>
      <c r="E268" s="4">
        <v>3</v>
      </c>
      <c r="F268" s="1" cm="1">
        <f t="array" ref="F268">_xlfn.IFS(D268="Tea", 40, D268="Coffee", 60, D268="Bakery", 100, D268="Beverages", 80)</f>
        <v>40</v>
      </c>
      <c r="G268" s="1">
        <f t="shared" si="4"/>
        <v>120</v>
      </c>
      <c r="H268" s="1" t="s">
        <v>21</v>
      </c>
      <c r="I268" s="1" t="s">
        <v>22</v>
      </c>
      <c r="J268" s="1">
        <v>2</v>
      </c>
    </row>
    <row r="269" spans="1:10" ht="15" x14ac:dyDescent="0.4">
      <c r="A269" s="1">
        <v>1268</v>
      </c>
      <c r="B269" s="2">
        <v>46170</v>
      </c>
      <c r="C269" s="1" t="s">
        <v>8</v>
      </c>
      <c r="D269" s="1" t="s">
        <v>13</v>
      </c>
      <c r="E269" s="4">
        <v>2</v>
      </c>
      <c r="F269" s="1" cm="1">
        <f t="array" ref="F269">_xlfn.IFS(D269="Tea", 40, D269="Coffee", 60, D269="Bakery", 100, D269="Beverages", 80)</f>
        <v>100</v>
      </c>
      <c r="G269" s="1">
        <f t="shared" si="4"/>
        <v>200</v>
      </c>
      <c r="H269" s="1" t="s">
        <v>21</v>
      </c>
      <c r="I269" s="1" t="s">
        <v>22</v>
      </c>
      <c r="J269" s="1">
        <v>3</v>
      </c>
    </row>
    <row r="270" spans="1:10" ht="15" x14ac:dyDescent="0.4">
      <c r="A270" s="1">
        <v>1269</v>
      </c>
      <c r="B270" s="2">
        <v>46041</v>
      </c>
      <c r="C270" s="1" t="s">
        <v>12</v>
      </c>
      <c r="D270" s="1" t="s">
        <v>11</v>
      </c>
      <c r="E270" s="4">
        <v>2</v>
      </c>
      <c r="F270" s="1" cm="1">
        <f t="array" ref="F270">_xlfn.IFS(D270="Tea", 40, D270="Coffee", 60, D270="Bakery", 100, D270="Beverages", 80)</f>
        <v>60</v>
      </c>
      <c r="G270" s="1">
        <f t="shared" si="4"/>
        <v>120</v>
      </c>
      <c r="H270" s="1" t="s">
        <v>25</v>
      </c>
      <c r="I270" s="1" t="s">
        <v>23</v>
      </c>
      <c r="J270" s="1">
        <v>1</v>
      </c>
    </row>
    <row r="271" spans="1:10" ht="15" x14ac:dyDescent="0.4">
      <c r="A271" s="1">
        <v>1270</v>
      </c>
      <c r="B271" s="2">
        <v>46085</v>
      </c>
      <c r="C271" s="1" t="s">
        <v>12</v>
      </c>
      <c r="D271" s="1" t="s">
        <v>14</v>
      </c>
      <c r="E271" s="4">
        <v>3</v>
      </c>
      <c r="F271" s="1" cm="1">
        <f t="array" ref="F271">_xlfn.IFS(D271="Tea", 40, D271="Coffee", 60, D271="Bakery", 100, D271="Beverages", 80)</f>
        <v>80</v>
      </c>
      <c r="G271" s="1">
        <f t="shared" si="4"/>
        <v>240</v>
      </c>
      <c r="H271" s="1" t="s">
        <v>21</v>
      </c>
      <c r="I271" s="1" t="s">
        <v>23</v>
      </c>
      <c r="J271" s="1">
        <v>1</v>
      </c>
    </row>
    <row r="272" spans="1:10" ht="15" x14ac:dyDescent="0.4">
      <c r="A272" s="1">
        <v>1271</v>
      </c>
      <c r="B272" s="2">
        <v>46139</v>
      </c>
      <c r="C272" s="1" t="s">
        <v>12</v>
      </c>
      <c r="D272" s="1" t="s">
        <v>14</v>
      </c>
      <c r="E272" s="4">
        <v>3</v>
      </c>
      <c r="F272" s="1" cm="1">
        <f t="array" ref="F272">_xlfn.IFS(D272="Tea", 40, D272="Coffee", 60, D272="Bakery", 100, D272="Beverages", 80)</f>
        <v>80</v>
      </c>
      <c r="G272" s="1">
        <f t="shared" si="4"/>
        <v>240</v>
      </c>
      <c r="H272" s="1" t="s">
        <v>21</v>
      </c>
      <c r="I272" s="1" t="s">
        <v>22</v>
      </c>
      <c r="J272" s="1">
        <v>2</v>
      </c>
    </row>
    <row r="273" spans="1:10" ht="15" x14ac:dyDescent="0.4">
      <c r="A273" s="1">
        <v>1272</v>
      </c>
      <c r="B273" s="2">
        <v>46122</v>
      </c>
      <c r="C273" s="1" t="s">
        <v>12</v>
      </c>
      <c r="D273" s="1" t="s">
        <v>9</v>
      </c>
      <c r="E273" s="4">
        <v>2</v>
      </c>
      <c r="F273" s="1" cm="1">
        <f t="array" ref="F273">_xlfn.IFS(D273="Tea", 40, D273="Coffee", 60, D273="Bakery", 100, D273="Beverages", 80)</f>
        <v>40</v>
      </c>
      <c r="G273" s="1">
        <f t="shared" si="4"/>
        <v>80</v>
      </c>
      <c r="H273" s="1" t="s">
        <v>25</v>
      </c>
      <c r="I273" s="1" t="s">
        <v>22</v>
      </c>
      <c r="J273" s="1">
        <v>3</v>
      </c>
    </row>
    <row r="274" spans="1:10" ht="15" x14ac:dyDescent="0.4">
      <c r="A274" s="1">
        <v>1273</v>
      </c>
      <c r="B274" s="2">
        <v>46104</v>
      </c>
      <c r="C274" s="1" t="s">
        <v>12</v>
      </c>
      <c r="D274" s="1" t="s">
        <v>11</v>
      </c>
      <c r="E274" s="4">
        <v>2</v>
      </c>
      <c r="F274" s="1" cm="1">
        <f t="array" ref="F274">_xlfn.IFS(D274="Tea", 40, D274="Coffee", 60, D274="Bakery", 100, D274="Beverages", 80)</f>
        <v>60</v>
      </c>
      <c r="G274" s="1">
        <f t="shared" si="4"/>
        <v>120</v>
      </c>
      <c r="H274" s="1" t="s">
        <v>25</v>
      </c>
      <c r="I274" s="1" t="s">
        <v>22</v>
      </c>
      <c r="J274" s="1">
        <v>3</v>
      </c>
    </row>
    <row r="275" spans="1:10" ht="15" x14ac:dyDescent="0.4">
      <c r="A275" s="1">
        <v>1274</v>
      </c>
      <c r="B275" s="2">
        <v>46052</v>
      </c>
      <c r="C275" s="1" t="s">
        <v>10</v>
      </c>
      <c r="D275" s="1" t="s">
        <v>11</v>
      </c>
      <c r="E275" s="4">
        <v>2</v>
      </c>
      <c r="F275" s="1" cm="1">
        <f t="array" ref="F275">_xlfn.IFS(D275="Tea", 40, D275="Coffee", 60, D275="Bakery", 100, D275="Beverages", 80)</f>
        <v>60</v>
      </c>
      <c r="G275" s="1">
        <f t="shared" si="4"/>
        <v>120</v>
      </c>
      <c r="H275" s="1" t="s">
        <v>24</v>
      </c>
      <c r="I275" s="1" t="s">
        <v>23</v>
      </c>
      <c r="J275" s="1">
        <v>1</v>
      </c>
    </row>
    <row r="276" spans="1:10" ht="15" x14ac:dyDescent="0.4">
      <c r="A276" s="1">
        <v>1275</v>
      </c>
      <c r="B276" s="2">
        <v>46193</v>
      </c>
      <c r="C276" s="1" t="s">
        <v>12</v>
      </c>
      <c r="D276" s="1" t="s">
        <v>13</v>
      </c>
      <c r="E276" s="4">
        <v>1</v>
      </c>
      <c r="F276" s="1" cm="1">
        <f t="array" ref="F276">_xlfn.IFS(D276="Tea", 40, D276="Coffee", 60, D276="Bakery", 100, D276="Beverages", 80)</f>
        <v>100</v>
      </c>
      <c r="G276" s="1">
        <f t="shared" si="4"/>
        <v>100</v>
      </c>
      <c r="H276" s="1" t="s">
        <v>21</v>
      </c>
      <c r="I276" s="1" t="s">
        <v>22</v>
      </c>
      <c r="J276" s="1">
        <v>4</v>
      </c>
    </row>
    <row r="277" spans="1:10" ht="15" x14ac:dyDescent="0.4">
      <c r="A277" s="1">
        <v>1276</v>
      </c>
      <c r="B277" s="2">
        <v>46047</v>
      </c>
      <c r="C277" s="1" t="s">
        <v>12</v>
      </c>
      <c r="D277" s="1" t="s">
        <v>9</v>
      </c>
      <c r="E277" s="4">
        <v>1</v>
      </c>
      <c r="F277" s="1" cm="1">
        <f t="array" ref="F277">_xlfn.IFS(D277="Tea", 40, D277="Coffee", 60, D277="Bakery", 100, D277="Beverages", 80)</f>
        <v>40</v>
      </c>
      <c r="G277" s="1">
        <f t="shared" si="4"/>
        <v>40</v>
      </c>
      <c r="H277" s="1" t="s">
        <v>21</v>
      </c>
      <c r="I277" s="1" t="s">
        <v>22</v>
      </c>
      <c r="J277" s="1">
        <v>4</v>
      </c>
    </row>
    <row r="278" spans="1:10" ht="15" x14ac:dyDescent="0.4">
      <c r="A278" s="1">
        <v>1277</v>
      </c>
      <c r="B278" s="2">
        <v>46147</v>
      </c>
      <c r="C278" s="1" t="s">
        <v>10</v>
      </c>
      <c r="D278" s="1" t="s">
        <v>13</v>
      </c>
      <c r="E278" s="4">
        <v>3</v>
      </c>
      <c r="F278" s="1" cm="1">
        <f t="array" ref="F278">_xlfn.IFS(D278="Tea", 40, D278="Coffee", 60, D278="Bakery", 100, D278="Beverages", 80)</f>
        <v>100</v>
      </c>
      <c r="G278" s="1">
        <f t="shared" si="4"/>
        <v>300</v>
      </c>
      <c r="H278" s="1" t="s">
        <v>21</v>
      </c>
      <c r="I278" s="1" t="s">
        <v>26</v>
      </c>
      <c r="J278" s="1">
        <v>3</v>
      </c>
    </row>
    <row r="279" spans="1:10" ht="15" x14ac:dyDescent="0.4">
      <c r="A279" s="1">
        <v>1278</v>
      </c>
      <c r="B279" s="2">
        <v>46184</v>
      </c>
      <c r="C279" s="1" t="s">
        <v>8</v>
      </c>
      <c r="D279" s="1" t="s">
        <v>14</v>
      </c>
      <c r="E279" s="4">
        <v>3</v>
      </c>
      <c r="F279" s="1" cm="1">
        <f t="array" ref="F279">_xlfn.IFS(D279="Tea", 40, D279="Coffee", 60, D279="Bakery", 100, D279="Beverages", 80)</f>
        <v>80</v>
      </c>
      <c r="G279" s="1">
        <f t="shared" si="4"/>
        <v>240</v>
      </c>
      <c r="H279" s="1" t="s">
        <v>24</v>
      </c>
      <c r="I279" s="1" t="s">
        <v>23</v>
      </c>
      <c r="J279" s="1">
        <v>1</v>
      </c>
    </row>
    <row r="280" spans="1:10" ht="15" x14ac:dyDescent="0.4">
      <c r="A280" s="1">
        <v>1279</v>
      </c>
      <c r="B280" s="2">
        <v>46201</v>
      </c>
      <c r="C280" s="1" t="s">
        <v>8</v>
      </c>
      <c r="D280" s="1" t="s">
        <v>11</v>
      </c>
      <c r="E280" s="4">
        <v>3</v>
      </c>
      <c r="F280" s="1" cm="1">
        <f t="array" ref="F280">_xlfn.IFS(D280="Tea", 40, D280="Coffee", 60, D280="Bakery", 100, D280="Beverages", 80)</f>
        <v>60</v>
      </c>
      <c r="G280" s="1">
        <f t="shared" si="4"/>
        <v>180</v>
      </c>
      <c r="H280" s="1" t="s">
        <v>25</v>
      </c>
      <c r="I280" s="1" t="s">
        <v>23</v>
      </c>
      <c r="J280" s="1">
        <v>2</v>
      </c>
    </row>
    <row r="281" spans="1:10" ht="15" x14ac:dyDescent="0.4">
      <c r="A281" s="1">
        <v>1280</v>
      </c>
      <c r="B281" s="2">
        <v>46056</v>
      </c>
      <c r="C281" s="1" t="s">
        <v>10</v>
      </c>
      <c r="D281" s="1" t="s">
        <v>13</v>
      </c>
      <c r="E281" s="4">
        <v>1</v>
      </c>
      <c r="F281" s="1" cm="1">
        <f t="array" ref="F281">_xlfn.IFS(D281="Tea", 40, D281="Coffee", 60, D281="Bakery", 100, D281="Beverages", 80)</f>
        <v>100</v>
      </c>
      <c r="G281" s="1">
        <f t="shared" si="4"/>
        <v>100</v>
      </c>
      <c r="H281" s="1" t="s">
        <v>25</v>
      </c>
      <c r="I281" s="1" t="s">
        <v>23</v>
      </c>
      <c r="J281" s="1">
        <v>3</v>
      </c>
    </row>
    <row r="282" spans="1:10" ht="15" x14ac:dyDescent="0.4">
      <c r="A282" s="1">
        <v>1281</v>
      </c>
      <c r="B282" s="2">
        <v>46027</v>
      </c>
      <c r="C282" s="1" t="s">
        <v>8</v>
      </c>
      <c r="D282" s="1" t="s">
        <v>9</v>
      </c>
      <c r="E282" s="4">
        <v>2</v>
      </c>
      <c r="F282" s="1" cm="1">
        <f t="array" ref="F282">_xlfn.IFS(D282="Tea", 40, D282="Coffee", 60, D282="Bakery", 100, D282="Beverages", 80)</f>
        <v>40</v>
      </c>
      <c r="G282" s="1">
        <f t="shared" si="4"/>
        <v>80</v>
      </c>
      <c r="H282" s="1" t="s">
        <v>25</v>
      </c>
      <c r="I282" s="1" t="s">
        <v>26</v>
      </c>
      <c r="J282" s="1">
        <v>3</v>
      </c>
    </row>
    <row r="283" spans="1:10" ht="15" x14ac:dyDescent="0.4">
      <c r="A283" s="1">
        <v>1282</v>
      </c>
      <c r="B283" s="2">
        <v>46061</v>
      </c>
      <c r="C283" s="1" t="s">
        <v>8</v>
      </c>
      <c r="D283" s="1" t="s">
        <v>13</v>
      </c>
      <c r="E283" s="4">
        <v>1</v>
      </c>
      <c r="F283" s="1" cm="1">
        <f t="array" ref="F283">_xlfn.IFS(D283="Tea", 40, D283="Coffee", 60, D283="Bakery", 100, D283="Beverages", 80)</f>
        <v>100</v>
      </c>
      <c r="G283" s="1">
        <f t="shared" si="4"/>
        <v>100</v>
      </c>
      <c r="H283" s="1" t="s">
        <v>21</v>
      </c>
      <c r="I283" s="1" t="s">
        <v>26</v>
      </c>
      <c r="J283" s="1">
        <v>3</v>
      </c>
    </row>
    <row r="284" spans="1:10" ht="15" x14ac:dyDescent="0.4">
      <c r="A284" s="1">
        <v>1283</v>
      </c>
      <c r="B284" s="2">
        <v>46187</v>
      </c>
      <c r="C284" s="1" t="s">
        <v>12</v>
      </c>
      <c r="D284" s="1" t="s">
        <v>14</v>
      </c>
      <c r="E284" s="4">
        <v>2</v>
      </c>
      <c r="F284" s="1" cm="1">
        <f t="array" ref="F284">_xlfn.IFS(D284="Tea", 40, D284="Coffee", 60, D284="Bakery", 100, D284="Beverages", 80)</f>
        <v>80</v>
      </c>
      <c r="G284" s="1">
        <f t="shared" si="4"/>
        <v>160</v>
      </c>
      <c r="H284" s="1" t="s">
        <v>25</v>
      </c>
      <c r="I284" s="1" t="s">
        <v>26</v>
      </c>
      <c r="J284" s="1">
        <v>3</v>
      </c>
    </row>
    <row r="285" spans="1:10" ht="15" x14ac:dyDescent="0.4">
      <c r="A285" s="1">
        <v>1284</v>
      </c>
      <c r="B285" s="2">
        <v>46074</v>
      </c>
      <c r="C285" s="1" t="s">
        <v>10</v>
      </c>
      <c r="D285" s="1" t="s">
        <v>14</v>
      </c>
      <c r="E285" s="4">
        <v>3</v>
      </c>
      <c r="F285" s="1" cm="1">
        <f t="array" ref="F285">_xlfn.IFS(D285="Tea", 40, D285="Coffee", 60, D285="Bakery", 100, D285="Beverages", 80)</f>
        <v>80</v>
      </c>
      <c r="G285" s="1">
        <f t="shared" si="4"/>
        <v>240</v>
      </c>
      <c r="H285" s="1" t="s">
        <v>25</v>
      </c>
      <c r="I285" s="1" t="s">
        <v>26</v>
      </c>
      <c r="J285" s="1">
        <v>2</v>
      </c>
    </row>
    <row r="286" spans="1:10" ht="15" x14ac:dyDescent="0.4">
      <c r="A286" s="1">
        <v>1285</v>
      </c>
      <c r="B286" s="2">
        <v>46070</v>
      </c>
      <c r="C286" s="1" t="s">
        <v>12</v>
      </c>
      <c r="D286" s="1" t="s">
        <v>13</v>
      </c>
      <c r="E286" s="4">
        <v>2</v>
      </c>
      <c r="F286" s="1" cm="1">
        <f t="array" ref="F286">_xlfn.IFS(D286="Tea", 40, D286="Coffee", 60, D286="Bakery", 100, D286="Beverages", 80)</f>
        <v>100</v>
      </c>
      <c r="G286" s="1">
        <f t="shared" si="4"/>
        <v>200</v>
      </c>
      <c r="H286" s="1" t="s">
        <v>25</v>
      </c>
      <c r="I286" s="1" t="s">
        <v>22</v>
      </c>
      <c r="J286" s="1">
        <v>1</v>
      </c>
    </row>
    <row r="287" spans="1:10" ht="15" x14ac:dyDescent="0.4">
      <c r="A287" s="1">
        <v>1286</v>
      </c>
      <c r="B287" s="2">
        <v>46091</v>
      </c>
      <c r="C287" s="1" t="s">
        <v>12</v>
      </c>
      <c r="D287" s="1" t="s">
        <v>14</v>
      </c>
      <c r="E287" s="4">
        <v>1</v>
      </c>
      <c r="F287" s="1" cm="1">
        <f t="array" ref="F287">_xlfn.IFS(D287="Tea", 40, D287="Coffee", 60, D287="Bakery", 100, D287="Beverages", 80)</f>
        <v>80</v>
      </c>
      <c r="G287" s="1">
        <f t="shared" si="4"/>
        <v>80</v>
      </c>
      <c r="H287" s="1" t="s">
        <v>21</v>
      </c>
      <c r="I287" s="1" t="s">
        <v>23</v>
      </c>
      <c r="J287" s="1">
        <v>2</v>
      </c>
    </row>
    <row r="288" spans="1:10" ht="15" x14ac:dyDescent="0.4">
      <c r="A288" s="1">
        <v>1287</v>
      </c>
      <c r="B288" s="2">
        <v>46186</v>
      </c>
      <c r="C288" s="1" t="s">
        <v>8</v>
      </c>
      <c r="D288" s="1" t="s">
        <v>13</v>
      </c>
      <c r="E288" s="4">
        <v>1</v>
      </c>
      <c r="F288" s="1" cm="1">
        <f t="array" ref="F288">_xlfn.IFS(D288="Tea", 40, D288="Coffee", 60, D288="Bakery", 100, D288="Beverages", 80)</f>
        <v>100</v>
      </c>
      <c r="G288" s="1">
        <f t="shared" si="4"/>
        <v>100</v>
      </c>
      <c r="H288" s="1" t="s">
        <v>21</v>
      </c>
      <c r="I288" s="1" t="s">
        <v>26</v>
      </c>
      <c r="J288" s="1">
        <v>1</v>
      </c>
    </row>
    <row r="289" spans="1:10" ht="15" x14ac:dyDescent="0.4">
      <c r="A289" s="1">
        <v>1288</v>
      </c>
      <c r="B289" s="2">
        <v>46107</v>
      </c>
      <c r="C289" s="1" t="s">
        <v>12</v>
      </c>
      <c r="D289" s="1" t="s">
        <v>9</v>
      </c>
      <c r="E289" s="4">
        <v>1</v>
      </c>
      <c r="F289" s="1" cm="1">
        <f t="array" ref="F289">_xlfn.IFS(D289="Tea", 40, D289="Coffee", 60, D289="Bakery", 100, D289="Beverages", 80)</f>
        <v>40</v>
      </c>
      <c r="G289" s="1">
        <f t="shared" si="4"/>
        <v>40</v>
      </c>
      <c r="H289" s="1" t="s">
        <v>24</v>
      </c>
      <c r="I289" s="1" t="s">
        <v>23</v>
      </c>
      <c r="J289" s="1">
        <v>1</v>
      </c>
    </row>
    <row r="290" spans="1:10" ht="15" x14ac:dyDescent="0.4">
      <c r="A290" s="1">
        <v>1289</v>
      </c>
      <c r="B290" s="2">
        <v>46184</v>
      </c>
      <c r="C290" s="1" t="s">
        <v>12</v>
      </c>
      <c r="D290" s="1" t="s">
        <v>11</v>
      </c>
      <c r="E290" s="4">
        <v>2</v>
      </c>
      <c r="F290" s="1" cm="1">
        <f t="array" ref="F290">_xlfn.IFS(D290="Tea", 40, D290="Coffee", 60, D290="Bakery", 100, D290="Beverages", 80)</f>
        <v>60</v>
      </c>
      <c r="G290" s="1">
        <f t="shared" si="4"/>
        <v>120</v>
      </c>
      <c r="H290" s="1" t="s">
        <v>21</v>
      </c>
      <c r="I290" s="1" t="s">
        <v>23</v>
      </c>
      <c r="J290" s="1">
        <v>2</v>
      </c>
    </row>
    <row r="291" spans="1:10" ht="15" x14ac:dyDescent="0.4">
      <c r="A291" s="1">
        <v>1290</v>
      </c>
      <c r="B291" s="2">
        <v>46181</v>
      </c>
      <c r="C291" s="1" t="s">
        <v>10</v>
      </c>
      <c r="D291" s="1" t="s">
        <v>13</v>
      </c>
      <c r="E291" s="4">
        <v>2</v>
      </c>
      <c r="F291" s="1" cm="1">
        <f t="array" ref="F291">_xlfn.IFS(D291="Tea", 40, D291="Coffee", 60, D291="Bakery", 100, D291="Beverages", 80)</f>
        <v>100</v>
      </c>
      <c r="G291" s="1">
        <f t="shared" si="4"/>
        <v>200</v>
      </c>
      <c r="H291" s="1" t="s">
        <v>21</v>
      </c>
      <c r="I291" s="1" t="s">
        <v>26</v>
      </c>
      <c r="J291" s="1">
        <v>3</v>
      </c>
    </row>
    <row r="292" spans="1:10" ht="15" x14ac:dyDescent="0.4">
      <c r="A292" s="1">
        <v>1291</v>
      </c>
      <c r="B292" s="2">
        <v>46138</v>
      </c>
      <c r="C292" s="1" t="s">
        <v>10</v>
      </c>
      <c r="D292" s="1" t="s">
        <v>14</v>
      </c>
      <c r="E292" s="4">
        <v>1</v>
      </c>
      <c r="F292" s="1" cm="1">
        <f t="array" ref="F292">_xlfn.IFS(D292="Tea", 40, D292="Coffee", 60, D292="Bakery", 100, D292="Beverages", 80)</f>
        <v>80</v>
      </c>
      <c r="G292" s="1">
        <f t="shared" si="4"/>
        <v>80</v>
      </c>
      <c r="H292" s="1" t="s">
        <v>25</v>
      </c>
      <c r="I292" s="1" t="s">
        <v>22</v>
      </c>
      <c r="J292" s="1">
        <v>4</v>
      </c>
    </row>
    <row r="293" spans="1:10" ht="15" x14ac:dyDescent="0.4">
      <c r="A293" s="1">
        <v>1292</v>
      </c>
      <c r="B293" s="2">
        <v>46168</v>
      </c>
      <c r="C293" s="1" t="s">
        <v>12</v>
      </c>
      <c r="D293" s="1" t="s">
        <v>13</v>
      </c>
      <c r="E293" s="4">
        <v>2</v>
      </c>
      <c r="F293" s="1" cm="1">
        <f t="array" ref="F293">_xlfn.IFS(D293="Tea", 40, D293="Coffee", 60, D293="Bakery", 100, D293="Beverages", 80)</f>
        <v>100</v>
      </c>
      <c r="G293" s="1">
        <f t="shared" si="4"/>
        <v>200</v>
      </c>
      <c r="H293" s="1" t="s">
        <v>24</v>
      </c>
      <c r="I293" s="1" t="s">
        <v>22</v>
      </c>
      <c r="J293" s="1">
        <v>4</v>
      </c>
    </row>
    <row r="294" spans="1:10" ht="15" x14ac:dyDescent="0.4">
      <c r="A294" s="1">
        <v>1293</v>
      </c>
      <c r="B294" s="2">
        <v>46168</v>
      </c>
      <c r="C294" s="1" t="s">
        <v>8</v>
      </c>
      <c r="D294" s="1" t="s">
        <v>14</v>
      </c>
      <c r="E294" s="4">
        <v>1</v>
      </c>
      <c r="F294" s="1" cm="1">
        <f t="array" ref="F294">_xlfn.IFS(D294="Tea", 40, D294="Coffee", 60, D294="Bakery", 100, D294="Beverages", 80)</f>
        <v>80</v>
      </c>
      <c r="G294" s="1">
        <f t="shared" si="4"/>
        <v>80</v>
      </c>
      <c r="H294" s="1" t="s">
        <v>24</v>
      </c>
      <c r="I294" s="1" t="s">
        <v>26</v>
      </c>
      <c r="J294" s="1">
        <v>1</v>
      </c>
    </row>
    <row r="295" spans="1:10" ht="15" x14ac:dyDescent="0.4">
      <c r="A295" s="1">
        <v>1294</v>
      </c>
      <c r="B295" s="2">
        <v>46173</v>
      </c>
      <c r="C295" s="1" t="s">
        <v>12</v>
      </c>
      <c r="D295" s="1" t="s">
        <v>9</v>
      </c>
      <c r="E295" s="4">
        <v>1</v>
      </c>
      <c r="F295" s="1" cm="1">
        <f t="array" ref="F295">_xlfn.IFS(D295="Tea", 40, D295="Coffee", 60, D295="Bakery", 100, D295="Beverages", 80)</f>
        <v>40</v>
      </c>
      <c r="G295" s="1">
        <f t="shared" si="4"/>
        <v>40</v>
      </c>
      <c r="H295" s="1" t="s">
        <v>25</v>
      </c>
      <c r="I295" s="1" t="s">
        <v>23</v>
      </c>
      <c r="J295" s="1">
        <v>2</v>
      </c>
    </row>
    <row r="296" spans="1:10" ht="15" x14ac:dyDescent="0.4">
      <c r="A296" s="1">
        <v>1295</v>
      </c>
      <c r="B296" s="2">
        <v>46111</v>
      </c>
      <c r="C296" s="1" t="s">
        <v>10</v>
      </c>
      <c r="D296" s="1" t="s">
        <v>14</v>
      </c>
      <c r="E296" s="4">
        <v>3</v>
      </c>
      <c r="F296" s="1" cm="1">
        <f t="array" ref="F296">_xlfn.IFS(D296="Tea", 40, D296="Coffee", 60, D296="Bakery", 100, D296="Beverages", 80)</f>
        <v>80</v>
      </c>
      <c r="G296" s="1">
        <f t="shared" si="4"/>
        <v>240</v>
      </c>
      <c r="H296" s="1" t="s">
        <v>24</v>
      </c>
      <c r="I296" s="1" t="s">
        <v>22</v>
      </c>
      <c r="J296" s="1">
        <v>1</v>
      </c>
    </row>
    <row r="297" spans="1:10" ht="15" x14ac:dyDescent="0.4">
      <c r="A297" s="1">
        <v>1296</v>
      </c>
      <c r="B297" s="2">
        <v>46067</v>
      </c>
      <c r="C297" s="1" t="s">
        <v>8</v>
      </c>
      <c r="D297" s="1" t="s">
        <v>11</v>
      </c>
      <c r="E297" s="4">
        <v>1</v>
      </c>
      <c r="F297" s="1" cm="1">
        <f t="array" ref="F297">_xlfn.IFS(D297="Tea", 40, D297="Coffee", 60, D297="Bakery", 100, D297="Beverages", 80)</f>
        <v>60</v>
      </c>
      <c r="G297" s="1">
        <f t="shared" si="4"/>
        <v>60</v>
      </c>
      <c r="H297" s="1" t="s">
        <v>21</v>
      </c>
      <c r="I297" s="1" t="s">
        <v>22</v>
      </c>
      <c r="J297" s="1">
        <v>2</v>
      </c>
    </row>
    <row r="298" spans="1:10" ht="15" x14ac:dyDescent="0.4">
      <c r="A298" s="1">
        <v>1297</v>
      </c>
      <c r="B298" s="2">
        <v>46095</v>
      </c>
      <c r="C298" s="1" t="s">
        <v>10</v>
      </c>
      <c r="D298" s="1" t="s">
        <v>14</v>
      </c>
      <c r="E298" s="4">
        <v>1</v>
      </c>
      <c r="F298" s="1" cm="1">
        <f t="array" ref="F298">_xlfn.IFS(D298="Tea", 40, D298="Coffee", 60, D298="Bakery", 100, D298="Beverages", 80)</f>
        <v>80</v>
      </c>
      <c r="G298" s="1">
        <f t="shared" si="4"/>
        <v>80</v>
      </c>
      <c r="H298" s="1" t="s">
        <v>25</v>
      </c>
      <c r="I298" s="1" t="s">
        <v>23</v>
      </c>
      <c r="J298" s="1">
        <v>5</v>
      </c>
    </row>
    <row r="299" spans="1:10" ht="15" x14ac:dyDescent="0.4">
      <c r="A299" s="1">
        <v>1298</v>
      </c>
      <c r="B299" s="2">
        <v>46078</v>
      </c>
      <c r="C299" s="1" t="s">
        <v>10</v>
      </c>
      <c r="D299" s="1" t="s">
        <v>11</v>
      </c>
      <c r="E299" s="4">
        <v>3</v>
      </c>
      <c r="F299" s="1" cm="1">
        <f t="array" ref="F299">_xlfn.IFS(D299="Tea", 40, D299="Coffee", 60, D299="Bakery", 100, D299="Beverages", 80)</f>
        <v>60</v>
      </c>
      <c r="G299" s="1">
        <f t="shared" si="4"/>
        <v>180</v>
      </c>
      <c r="H299" s="1" t="s">
        <v>24</v>
      </c>
      <c r="I299" s="1" t="s">
        <v>26</v>
      </c>
      <c r="J299" s="1">
        <v>4</v>
      </c>
    </row>
    <row r="300" spans="1:10" ht="15" x14ac:dyDescent="0.4">
      <c r="A300" s="1">
        <v>1299</v>
      </c>
      <c r="B300" s="2">
        <v>46152</v>
      </c>
      <c r="C300" s="1" t="s">
        <v>8</v>
      </c>
      <c r="D300" s="1" t="s">
        <v>14</v>
      </c>
      <c r="E300" s="4">
        <v>1</v>
      </c>
      <c r="F300" s="1" cm="1">
        <f t="array" ref="F300">_xlfn.IFS(D300="Tea", 40, D300="Coffee", 60, D300="Bakery", 100, D300="Beverages", 80)</f>
        <v>80</v>
      </c>
      <c r="G300" s="1">
        <f t="shared" si="4"/>
        <v>80</v>
      </c>
      <c r="H300" s="1" t="s">
        <v>24</v>
      </c>
      <c r="I300" s="1" t="s">
        <v>26</v>
      </c>
      <c r="J300" s="1">
        <v>5</v>
      </c>
    </row>
    <row r="301" spans="1:10" ht="15" x14ac:dyDescent="0.4">
      <c r="A301" s="1">
        <v>1300</v>
      </c>
      <c r="B301" s="2">
        <v>46052</v>
      </c>
      <c r="C301" s="1" t="s">
        <v>12</v>
      </c>
      <c r="D301" s="1" t="s">
        <v>11</v>
      </c>
      <c r="E301" s="4">
        <v>1</v>
      </c>
      <c r="F301" s="1" cm="1">
        <f t="array" ref="F301">_xlfn.IFS(D301="Tea", 40, D301="Coffee", 60, D301="Bakery", 100, D301="Beverages", 80)</f>
        <v>60</v>
      </c>
      <c r="G301" s="1">
        <f t="shared" si="4"/>
        <v>60</v>
      </c>
      <c r="H301" s="1" t="s">
        <v>24</v>
      </c>
      <c r="I301" s="1" t="s">
        <v>26</v>
      </c>
      <c r="J301" s="1">
        <v>4</v>
      </c>
    </row>
    <row r="302" spans="1:10" ht="15" x14ac:dyDescent="0.4">
      <c r="A302" s="1">
        <v>1301</v>
      </c>
      <c r="B302" s="2">
        <v>46063</v>
      </c>
      <c r="C302" s="1" t="s">
        <v>12</v>
      </c>
      <c r="D302" s="1" t="s">
        <v>13</v>
      </c>
      <c r="E302" s="4">
        <v>2</v>
      </c>
      <c r="F302" s="1" cm="1">
        <f t="array" ref="F302">_xlfn.IFS(D302="Tea", 40, D302="Coffee", 60, D302="Bakery", 100, D302="Beverages", 80)</f>
        <v>100</v>
      </c>
      <c r="G302" s="1">
        <f t="shared" si="4"/>
        <v>200</v>
      </c>
      <c r="H302" s="1" t="s">
        <v>25</v>
      </c>
      <c r="I302" s="1" t="s">
        <v>23</v>
      </c>
      <c r="J302" s="1">
        <v>5</v>
      </c>
    </row>
    <row r="303" spans="1:10" ht="15" x14ac:dyDescent="0.4">
      <c r="A303" s="1">
        <v>1302</v>
      </c>
      <c r="B303" s="2">
        <v>46059</v>
      </c>
      <c r="C303" s="1" t="s">
        <v>12</v>
      </c>
      <c r="D303" s="1" t="s">
        <v>9</v>
      </c>
      <c r="E303" s="4">
        <v>1</v>
      </c>
      <c r="F303" s="1" cm="1">
        <f t="array" ref="F303">_xlfn.IFS(D303="Tea", 40, D303="Coffee", 60, D303="Bakery", 100, D303="Beverages", 80)</f>
        <v>40</v>
      </c>
      <c r="G303" s="1">
        <f t="shared" si="4"/>
        <v>40</v>
      </c>
      <c r="H303" s="1" t="s">
        <v>25</v>
      </c>
      <c r="I303" s="1" t="s">
        <v>22</v>
      </c>
      <c r="J303" s="1">
        <v>5</v>
      </c>
    </row>
    <row r="304" spans="1:10" ht="15" x14ac:dyDescent="0.4">
      <c r="A304" s="1">
        <v>1303</v>
      </c>
      <c r="B304" s="2">
        <v>46113</v>
      </c>
      <c r="C304" s="1" t="s">
        <v>8</v>
      </c>
      <c r="D304" s="1" t="s">
        <v>9</v>
      </c>
      <c r="E304" s="4">
        <v>1</v>
      </c>
      <c r="F304" s="1" cm="1">
        <f t="array" ref="F304">_xlfn.IFS(D304="Tea", 40, D304="Coffee", 60, D304="Bakery", 100, D304="Beverages", 80)</f>
        <v>40</v>
      </c>
      <c r="G304" s="1">
        <f t="shared" si="4"/>
        <v>40</v>
      </c>
      <c r="H304" s="1" t="s">
        <v>24</v>
      </c>
      <c r="I304" s="1" t="s">
        <v>22</v>
      </c>
      <c r="J304" s="1">
        <v>5</v>
      </c>
    </row>
    <row r="305" spans="1:10" ht="15" x14ac:dyDescent="0.4">
      <c r="A305" s="1">
        <v>1304</v>
      </c>
      <c r="B305" s="2">
        <v>46092</v>
      </c>
      <c r="C305" s="1" t="s">
        <v>10</v>
      </c>
      <c r="D305" s="1" t="s">
        <v>9</v>
      </c>
      <c r="E305" s="4">
        <v>3</v>
      </c>
      <c r="F305" s="1" cm="1">
        <f t="array" ref="F305">_xlfn.IFS(D305="Tea", 40, D305="Coffee", 60, D305="Bakery", 100, D305="Beverages", 80)</f>
        <v>40</v>
      </c>
      <c r="G305" s="1">
        <f t="shared" si="4"/>
        <v>120</v>
      </c>
      <c r="H305" s="1" t="s">
        <v>25</v>
      </c>
      <c r="I305" s="1" t="s">
        <v>26</v>
      </c>
      <c r="J305" s="1">
        <v>1</v>
      </c>
    </row>
    <row r="306" spans="1:10" ht="15" x14ac:dyDescent="0.4">
      <c r="A306" s="1">
        <v>1305</v>
      </c>
      <c r="B306" s="2">
        <v>46128</v>
      </c>
      <c r="C306" s="1" t="s">
        <v>10</v>
      </c>
      <c r="D306" s="1" t="s">
        <v>11</v>
      </c>
      <c r="E306" s="4">
        <v>2</v>
      </c>
      <c r="F306" s="1" cm="1">
        <f t="array" ref="F306">_xlfn.IFS(D306="Tea", 40, D306="Coffee", 60, D306="Bakery", 100, D306="Beverages", 80)</f>
        <v>60</v>
      </c>
      <c r="G306" s="1">
        <f t="shared" si="4"/>
        <v>120</v>
      </c>
      <c r="H306" s="1" t="s">
        <v>21</v>
      </c>
      <c r="I306" s="1" t="s">
        <v>26</v>
      </c>
      <c r="J306" s="1">
        <v>4</v>
      </c>
    </row>
    <row r="307" spans="1:10" ht="15" x14ac:dyDescent="0.4">
      <c r="A307" s="1">
        <v>1306</v>
      </c>
      <c r="B307" s="2">
        <v>46098</v>
      </c>
      <c r="C307" s="1" t="s">
        <v>10</v>
      </c>
      <c r="D307" s="1" t="s">
        <v>13</v>
      </c>
      <c r="E307" s="4">
        <v>3</v>
      </c>
      <c r="F307" s="1" cm="1">
        <f t="array" ref="F307">_xlfn.IFS(D307="Tea", 40, D307="Coffee", 60, D307="Bakery", 100, D307="Beverages", 80)</f>
        <v>100</v>
      </c>
      <c r="G307" s="1">
        <f t="shared" si="4"/>
        <v>300</v>
      </c>
      <c r="H307" s="1" t="s">
        <v>21</v>
      </c>
      <c r="I307" s="1" t="s">
        <v>23</v>
      </c>
      <c r="J307" s="1">
        <v>1</v>
      </c>
    </row>
    <row r="308" spans="1:10" ht="15" x14ac:dyDescent="0.4">
      <c r="A308" s="1">
        <v>1307</v>
      </c>
      <c r="B308" s="2">
        <v>46165</v>
      </c>
      <c r="C308" s="1" t="s">
        <v>10</v>
      </c>
      <c r="D308" s="1" t="s">
        <v>11</v>
      </c>
      <c r="E308" s="4">
        <v>2</v>
      </c>
      <c r="F308" s="1" cm="1">
        <f t="array" ref="F308">_xlfn.IFS(D308="Tea", 40, D308="Coffee", 60, D308="Bakery", 100, D308="Beverages", 80)</f>
        <v>60</v>
      </c>
      <c r="G308" s="1">
        <f t="shared" si="4"/>
        <v>120</v>
      </c>
      <c r="H308" s="1" t="s">
        <v>25</v>
      </c>
      <c r="I308" s="1" t="s">
        <v>26</v>
      </c>
      <c r="J308" s="1">
        <v>4</v>
      </c>
    </row>
    <row r="309" spans="1:10" ht="15" x14ac:dyDescent="0.4">
      <c r="A309" s="1">
        <v>1308</v>
      </c>
      <c r="B309" s="2">
        <v>46083</v>
      </c>
      <c r="C309" s="1" t="s">
        <v>12</v>
      </c>
      <c r="D309" s="1" t="s">
        <v>11</v>
      </c>
      <c r="E309" s="4">
        <v>2</v>
      </c>
      <c r="F309" s="1" cm="1">
        <f t="array" ref="F309">_xlfn.IFS(D309="Tea", 40, D309="Coffee", 60, D309="Bakery", 100, D309="Beverages", 80)</f>
        <v>60</v>
      </c>
      <c r="G309" s="1">
        <f t="shared" si="4"/>
        <v>120</v>
      </c>
      <c r="H309" s="1" t="s">
        <v>24</v>
      </c>
      <c r="I309" s="1" t="s">
        <v>22</v>
      </c>
      <c r="J309" s="1">
        <v>4</v>
      </c>
    </row>
    <row r="310" spans="1:10" ht="15" x14ac:dyDescent="0.4">
      <c r="A310" s="1">
        <v>1309</v>
      </c>
      <c r="B310" s="2">
        <v>46122</v>
      </c>
      <c r="C310" s="1" t="s">
        <v>8</v>
      </c>
      <c r="D310" s="1" t="s">
        <v>9</v>
      </c>
      <c r="E310" s="4">
        <v>2</v>
      </c>
      <c r="F310" s="1" cm="1">
        <f t="array" ref="F310">_xlfn.IFS(D310="Tea", 40, D310="Coffee", 60, D310="Bakery", 100, D310="Beverages", 80)</f>
        <v>40</v>
      </c>
      <c r="G310" s="1">
        <f t="shared" si="4"/>
        <v>80</v>
      </c>
      <c r="H310" s="1" t="s">
        <v>25</v>
      </c>
      <c r="I310" s="1" t="s">
        <v>26</v>
      </c>
      <c r="J310" s="1">
        <v>5</v>
      </c>
    </row>
    <row r="311" spans="1:10" ht="15" x14ac:dyDescent="0.4">
      <c r="A311" s="1">
        <v>1310</v>
      </c>
      <c r="B311" s="2">
        <v>46102</v>
      </c>
      <c r="C311" s="1" t="s">
        <v>8</v>
      </c>
      <c r="D311" s="1" t="s">
        <v>11</v>
      </c>
      <c r="E311" s="4">
        <v>2</v>
      </c>
      <c r="F311" s="1" cm="1">
        <f t="array" ref="F311">_xlfn.IFS(D311="Tea", 40, D311="Coffee", 60, D311="Bakery", 100, D311="Beverages", 80)</f>
        <v>60</v>
      </c>
      <c r="G311" s="1">
        <f t="shared" si="4"/>
        <v>120</v>
      </c>
      <c r="H311" s="1" t="s">
        <v>21</v>
      </c>
      <c r="I311" s="1" t="s">
        <v>26</v>
      </c>
      <c r="J311" s="1">
        <v>1</v>
      </c>
    </row>
    <row r="312" spans="1:10" ht="15" x14ac:dyDescent="0.4">
      <c r="A312" s="1">
        <v>1311</v>
      </c>
      <c r="B312" s="2">
        <v>46173</v>
      </c>
      <c r="C312" s="1" t="s">
        <v>8</v>
      </c>
      <c r="D312" s="1" t="s">
        <v>11</v>
      </c>
      <c r="E312" s="4">
        <v>3</v>
      </c>
      <c r="F312" s="1" cm="1">
        <f t="array" ref="F312">_xlfn.IFS(D312="Tea", 40, D312="Coffee", 60, D312="Bakery", 100, D312="Beverages", 80)</f>
        <v>60</v>
      </c>
      <c r="G312" s="1">
        <f t="shared" si="4"/>
        <v>180</v>
      </c>
      <c r="H312" s="1" t="s">
        <v>25</v>
      </c>
      <c r="I312" s="1" t="s">
        <v>23</v>
      </c>
      <c r="J312" s="1">
        <v>5</v>
      </c>
    </row>
    <row r="313" spans="1:10" ht="15" x14ac:dyDescent="0.4">
      <c r="A313" s="1">
        <v>1312</v>
      </c>
      <c r="B313" s="2">
        <v>46066</v>
      </c>
      <c r="C313" s="1" t="s">
        <v>12</v>
      </c>
      <c r="D313" s="1" t="s">
        <v>11</v>
      </c>
      <c r="E313" s="4">
        <v>3</v>
      </c>
      <c r="F313" s="1" cm="1">
        <f t="array" ref="F313">_xlfn.IFS(D313="Tea", 40, D313="Coffee", 60, D313="Bakery", 100, D313="Beverages", 80)</f>
        <v>60</v>
      </c>
      <c r="G313" s="1">
        <f t="shared" si="4"/>
        <v>180</v>
      </c>
      <c r="H313" s="1" t="s">
        <v>25</v>
      </c>
      <c r="I313" s="1" t="s">
        <v>26</v>
      </c>
      <c r="J313" s="1">
        <v>1</v>
      </c>
    </row>
    <row r="314" spans="1:10" ht="15" x14ac:dyDescent="0.4">
      <c r="A314" s="1">
        <v>1313</v>
      </c>
      <c r="B314" s="2">
        <v>46200</v>
      </c>
      <c r="C314" s="1" t="s">
        <v>8</v>
      </c>
      <c r="D314" s="1" t="s">
        <v>9</v>
      </c>
      <c r="E314" s="4">
        <v>3</v>
      </c>
      <c r="F314" s="1" cm="1">
        <f t="array" ref="F314">_xlfn.IFS(D314="Tea", 40, D314="Coffee", 60, D314="Bakery", 100, D314="Beverages", 80)</f>
        <v>40</v>
      </c>
      <c r="G314" s="1">
        <f t="shared" si="4"/>
        <v>120</v>
      </c>
      <c r="H314" s="1" t="s">
        <v>25</v>
      </c>
      <c r="I314" s="1" t="s">
        <v>22</v>
      </c>
      <c r="J314" s="1">
        <v>5</v>
      </c>
    </row>
    <row r="315" spans="1:10" ht="15" x14ac:dyDescent="0.4">
      <c r="A315" s="1">
        <v>1314</v>
      </c>
      <c r="B315" s="2">
        <v>46064</v>
      </c>
      <c r="C315" s="1" t="s">
        <v>12</v>
      </c>
      <c r="D315" s="1" t="s">
        <v>13</v>
      </c>
      <c r="E315" s="4">
        <v>1</v>
      </c>
      <c r="F315" s="1" cm="1">
        <f t="array" ref="F315">_xlfn.IFS(D315="Tea", 40, D315="Coffee", 60, D315="Bakery", 100, D315="Beverages", 80)</f>
        <v>100</v>
      </c>
      <c r="G315" s="1">
        <f t="shared" si="4"/>
        <v>100</v>
      </c>
      <c r="H315" s="1" t="s">
        <v>24</v>
      </c>
      <c r="I315" s="1" t="s">
        <v>22</v>
      </c>
      <c r="J315" s="1">
        <v>5</v>
      </c>
    </row>
    <row r="316" spans="1:10" ht="15" x14ac:dyDescent="0.4">
      <c r="A316" s="1">
        <v>1315</v>
      </c>
      <c r="B316" s="2">
        <v>46112</v>
      </c>
      <c r="C316" s="1" t="s">
        <v>10</v>
      </c>
      <c r="D316" s="1" t="s">
        <v>14</v>
      </c>
      <c r="E316" s="4">
        <v>2</v>
      </c>
      <c r="F316" s="1" cm="1">
        <f t="array" ref="F316">_xlfn.IFS(D316="Tea", 40, D316="Coffee", 60, D316="Bakery", 100, D316="Beverages", 80)</f>
        <v>80</v>
      </c>
      <c r="G316" s="1">
        <f t="shared" si="4"/>
        <v>160</v>
      </c>
      <c r="H316" s="1" t="s">
        <v>25</v>
      </c>
      <c r="I316" s="1" t="s">
        <v>23</v>
      </c>
      <c r="J316" s="1">
        <v>1</v>
      </c>
    </row>
    <row r="317" spans="1:10" ht="15" x14ac:dyDescent="0.4">
      <c r="A317" s="1">
        <v>1316</v>
      </c>
      <c r="B317" s="2">
        <v>46162</v>
      </c>
      <c r="C317" s="1" t="s">
        <v>10</v>
      </c>
      <c r="D317" s="1" t="s">
        <v>9</v>
      </c>
      <c r="E317" s="4">
        <v>2</v>
      </c>
      <c r="F317" s="1" cm="1">
        <f t="array" ref="F317">_xlfn.IFS(D317="Tea", 40, D317="Coffee", 60, D317="Bakery", 100, D317="Beverages", 80)</f>
        <v>40</v>
      </c>
      <c r="G317" s="1">
        <f t="shared" si="4"/>
        <v>80</v>
      </c>
      <c r="H317" s="1" t="s">
        <v>21</v>
      </c>
      <c r="I317" s="1" t="s">
        <v>26</v>
      </c>
      <c r="J317" s="1">
        <v>5</v>
      </c>
    </row>
    <row r="318" spans="1:10" ht="15" x14ac:dyDescent="0.4">
      <c r="A318" s="1">
        <v>1317</v>
      </c>
      <c r="B318" s="2">
        <v>46052</v>
      </c>
      <c r="C318" s="1" t="s">
        <v>12</v>
      </c>
      <c r="D318" s="1" t="s">
        <v>14</v>
      </c>
      <c r="E318" s="4">
        <v>1</v>
      </c>
      <c r="F318" s="1" cm="1">
        <f t="array" ref="F318">_xlfn.IFS(D318="Tea", 40, D318="Coffee", 60, D318="Bakery", 100, D318="Beverages", 80)</f>
        <v>80</v>
      </c>
      <c r="G318" s="1">
        <f t="shared" si="4"/>
        <v>80</v>
      </c>
      <c r="H318" s="1" t="s">
        <v>24</v>
      </c>
      <c r="I318" s="1" t="s">
        <v>23</v>
      </c>
      <c r="J318" s="1">
        <v>2</v>
      </c>
    </row>
    <row r="319" spans="1:10" ht="15" x14ac:dyDescent="0.4">
      <c r="A319" s="1">
        <v>1318</v>
      </c>
      <c r="B319" s="2">
        <v>46189</v>
      </c>
      <c r="C319" s="1" t="s">
        <v>8</v>
      </c>
      <c r="D319" s="1" t="s">
        <v>11</v>
      </c>
      <c r="E319" s="4">
        <v>3</v>
      </c>
      <c r="F319" s="1" cm="1">
        <f t="array" ref="F319">_xlfn.IFS(D319="Tea", 40, D319="Coffee", 60, D319="Bakery", 100, D319="Beverages", 80)</f>
        <v>60</v>
      </c>
      <c r="G319" s="1">
        <f t="shared" si="4"/>
        <v>180</v>
      </c>
      <c r="H319" s="1" t="s">
        <v>25</v>
      </c>
      <c r="I319" s="1" t="s">
        <v>22</v>
      </c>
      <c r="J319" s="1">
        <v>5</v>
      </c>
    </row>
    <row r="320" spans="1:10" ht="15" x14ac:dyDescent="0.4">
      <c r="A320" s="1">
        <v>1319</v>
      </c>
      <c r="B320" s="2">
        <v>46077</v>
      </c>
      <c r="C320" s="1" t="s">
        <v>12</v>
      </c>
      <c r="D320" s="1" t="s">
        <v>9</v>
      </c>
      <c r="E320" s="4">
        <v>3</v>
      </c>
      <c r="F320" s="1" cm="1">
        <f t="array" ref="F320">_xlfn.IFS(D320="Tea", 40, D320="Coffee", 60, D320="Bakery", 100, D320="Beverages", 80)</f>
        <v>40</v>
      </c>
      <c r="G320" s="1">
        <f t="shared" si="4"/>
        <v>120</v>
      </c>
      <c r="H320" s="1" t="s">
        <v>21</v>
      </c>
      <c r="I320" s="1" t="s">
        <v>22</v>
      </c>
      <c r="J320" s="1">
        <v>2</v>
      </c>
    </row>
    <row r="321" spans="1:10" ht="15" x14ac:dyDescent="0.4">
      <c r="A321" s="1">
        <v>1320</v>
      </c>
      <c r="B321" s="2">
        <v>46132</v>
      </c>
      <c r="C321" s="1" t="s">
        <v>8</v>
      </c>
      <c r="D321" s="1" t="s">
        <v>9</v>
      </c>
      <c r="E321" s="4">
        <v>3</v>
      </c>
      <c r="F321" s="1" cm="1">
        <f t="array" ref="F321">_xlfn.IFS(D321="Tea", 40, D321="Coffee", 60, D321="Bakery", 100, D321="Beverages", 80)</f>
        <v>40</v>
      </c>
      <c r="G321" s="1">
        <f t="shared" si="4"/>
        <v>120</v>
      </c>
      <c r="H321" s="1" t="s">
        <v>24</v>
      </c>
      <c r="I321" s="1" t="s">
        <v>22</v>
      </c>
      <c r="J321" s="1">
        <v>2</v>
      </c>
    </row>
    <row r="322" spans="1:10" ht="15" x14ac:dyDescent="0.4">
      <c r="A322" s="1">
        <v>1321</v>
      </c>
      <c r="B322" s="2">
        <v>46085</v>
      </c>
      <c r="C322" s="1" t="s">
        <v>12</v>
      </c>
      <c r="D322" s="1" t="s">
        <v>13</v>
      </c>
      <c r="E322" s="4">
        <v>3</v>
      </c>
      <c r="F322" s="1" cm="1">
        <f t="array" ref="F322">_xlfn.IFS(D322="Tea", 40, D322="Coffee", 60, D322="Bakery", 100, D322="Beverages", 80)</f>
        <v>100</v>
      </c>
      <c r="G322" s="1">
        <f t="shared" si="4"/>
        <v>300</v>
      </c>
      <c r="H322" s="1" t="s">
        <v>21</v>
      </c>
      <c r="I322" s="1" t="s">
        <v>23</v>
      </c>
      <c r="J322" s="1">
        <v>5</v>
      </c>
    </row>
    <row r="323" spans="1:10" ht="15" x14ac:dyDescent="0.4">
      <c r="A323" s="1">
        <v>1322</v>
      </c>
      <c r="B323" s="2">
        <v>46136</v>
      </c>
      <c r="C323" s="1" t="s">
        <v>8</v>
      </c>
      <c r="D323" s="1" t="s">
        <v>13</v>
      </c>
      <c r="E323" s="4">
        <v>1</v>
      </c>
      <c r="F323" s="1" cm="1">
        <f t="array" ref="F323">_xlfn.IFS(D323="Tea", 40, D323="Coffee", 60, D323="Bakery", 100, D323="Beverages", 80)</f>
        <v>100</v>
      </c>
      <c r="G323" s="1">
        <f t="shared" ref="G323:G386" si="5">E323*F323</f>
        <v>100</v>
      </c>
      <c r="H323" s="1" t="s">
        <v>21</v>
      </c>
      <c r="I323" s="1" t="s">
        <v>22</v>
      </c>
      <c r="J323" s="1">
        <v>4</v>
      </c>
    </row>
    <row r="324" spans="1:10" ht="15" x14ac:dyDescent="0.4">
      <c r="A324" s="1">
        <v>1323</v>
      </c>
      <c r="B324" s="2">
        <v>46190</v>
      </c>
      <c r="C324" s="1" t="s">
        <v>12</v>
      </c>
      <c r="D324" s="1" t="s">
        <v>9</v>
      </c>
      <c r="E324" s="4">
        <v>2</v>
      </c>
      <c r="F324" s="1" cm="1">
        <f t="array" ref="F324">_xlfn.IFS(D324="Tea", 40, D324="Coffee", 60, D324="Bakery", 100, D324="Beverages", 80)</f>
        <v>40</v>
      </c>
      <c r="G324" s="1">
        <f t="shared" si="5"/>
        <v>80</v>
      </c>
      <c r="H324" s="1" t="s">
        <v>25</v>
      </c>
      <c r="I324" s="1" t="s">
        <v>26</v>
      </c>
      <c r="J324" s="1">
        <v>2</v>
      </c>
    </row>
    <row r="325" spans="1:10" ht="15" x14ac:dyDescent="0.4">
      <c r="A325" s="1">
        <v>1324</v>
      </c>
      <c r="B325" s="2">
        <v>46141</v>
      </c>
      <c r="C325" s="1" t="s">
        <v>12</v>
      </c>
      <c r="D325" s="1" t="s">
        <v>13</v>
      </c>
      <c r="E325" s="4">
        <v>3</v>
      </c>
      <c r="F325" s="1" cm="1">
        <f t="array" ref="F325">_xlfn.IFS(D325="Tea", 40, D325="Coffee", 60, D325="Bakery", 100, D325="Beverages", 80)</f>
        <v>100</v>
      </c>
      <c r="G325" s="1">
        <f t="shared" si="5"/>
        <v>300</v>
      </c>
      <c r="H325" s="1" t="s">
        <v>21</v>
      </c>
      <c r="I325" s="1" t="s">
        <v>22</v>
      </c>
      <c r="J325" s="1">
        <v>4</v>
      </c>
    </row>
    <row r="326" spans="1:10" ht="15" x14ac:dyDescent="0.4">
      <c r="A326" s="1">
        <v>1325</v>
      </c>
      <c r="B326" s="2">
        <v>46173</v>
      </c>
      <c r="C326" s="1" t="s">
        <v>10</v>
      </c>
      <c r="D326" s="1" t="s">
        <v>9</v>
      </c>
      <c r="E326" s="4">
        <v>3</v>
      </c>
      <c r="F326" s="1" cm="1">
        <f t="array" ref="F326">_xlfn.IFS(D326="Tea", 40, D326="Coffee", 60, D326="Bakery", 100, D326="Beverages", 80)</f>
        <v>40</v>
      </c>
      <c r="G326" s="1">
        <f t="shared" si="5"/>
        <v>120</v>
      </c>
      <c r="H326" s="1" t="s">
        <v>24</v>
      </c>
      <c r="I326" s="1" t="s">
        <v>23</v>
      </c>
      <c r="J326" s="1">
        <v>1</v>
      </c>
    </row>
    <row r="327" spans="1:10" ht="15" x14ac:dyDescent="0.4">
      <c r="A327" s="1">
        <v>1326</v>
      </c>
      <c r="B327" s="2">
        <v>46160</v>
      </c>
      <c r="C327" s="1" t="s">
        <v>12</v>
      </c>
      <c r="D327" s="1" t="s">
        <v>14</v>
      </c>
      <c r="E327" s="4">
        <v>3</v>
      </c>
      <c r="F327" s="1" cm="1">
        <f t="array" ref="F327">_xlfn.IFS(D327="Tea", 40, D327="Coffee", 60, D327="Bakery", 100, D327="Beverages", 80)</f>
        <v>80</v>
      </c>
      <c r="G327" s="1">
        <f t="shared" si="5"/>
        <v>240</v>
      </c>
      <c r="H327" s="1" t="s">
        <v>24</v>
      </c>
      <c r="I327" s="1" t="s">
        <v>23</v>
      </c>
      <c r="J327" s="1">
        <v>5</v>
      </c>
    </row>
    <row r="328" spans="1:10" ht="15" x14ac:dyDescent="0.4">
      <c r="A328" s="1">
        <v>1327</v>
      </c>
      <c r="B328" s="2">
        <v>46129</v>
      </c>
      <c r="C328" s="1" t="s">
        <v>12</v>
      </c>
      <c r="D328" s="1" t="s">
        <v>14</v>
      </c>
      <c r="E328" s="4">
        <v>3</v>
      </c>
      <c r="F328" s="1" cm="1">
        <f t="array" ref="F328">_xlfn.IFS(D328="Tea", 40, D328="Coffee", 60, D328="Bakery", 100, D328="Beverages", 80)</f>
        <v>80</v>
      </c>
      <c r="G328" s="1">
        <f t="shared" si="5"/>
        <v>240</v>
      </c>
      <c r="H328" s="1" t="s">
        <v>24</v>
      </c>
      <c r="I328" s="1" t="s">
        <v>26</v>
      </c>
      <c r="J328" s="1">
        <v>5</v>
      </c>
    </row>
    <row r="329" spans="1:10" ht="15" x14ac:dyDescent="0.4">
      <c r="A329" s="1">
        <v>1328</v>
      </c>
      <c r="B329" s="2">
        <v>46096</v>
      </c>
      <c r="C329" s="1" t="s">
        <v>8</v>
      </c>
      <c r="D329" s="1" t="s">
        <v>9</v>
      </c>
      <c r="E329" s="4">
        <v>2</v>
      </c>
      <c r="F329" s="1" cm="1">
        <f t="array" ref="F329">_xlfn.IFS(D329="Tea", 40, D329="Coffee", 60, D329="Bakery", 100, D329="Beverages", 80)</f>
        <v>40</v>
      </c>
      <c r="G329" s="1">
        <f t="shared" si="5"/>
        <v>80</v>
      </c>
      <c r="H329" s="1" t="s">
        <v>25</v>
      </c>
      <c r="I329" s="1" t="s">
        <v>22</v>
      </c>
      <c r="J329" s="1">
        <v>4</v>
      </c>
    </row>
    <row r="330" spans="1:10" ht="15" x14ac:dyDescent="0.4">
      <c r="A330" s="1">
        <v>1329</v>
      </c>
      <c r="B330" s="2">
        <v>46064</v>
      </c>
      <c r="C330" s="1" t="s">
        <v>8</v>
      </c>
      <c r="D330" s="1" t="s">
        <v>11</v>
      </c>
      <c r="E330" s="4">
        <v>3</v>
      </c>
      <c r="F330" s="1" cm="1">
        <f t="array" ref="F330">_xlfn.IFS(D330="Tea", 40, D330="Coffee", 60, D330="Bakery", 100, D330="Beverages", 80)</f>
        <v>60</v>
      </c>
      <c r="G330" s="1">
        <f t="shared" si="5"/>
        <v>180</v>
      </c>
      <c r="H330" s="1" t="s">
        <v>21</v>
      </c>
      <c r="I330" s="1" t="s">
        <v>23</v>
      </c>
      <c r="J330" s="1">
        <v>4</v>
      </c>
    </row>
    <row r="331" spans="1:10" ht="15" x14ac:dyDescent="0.4">
      <c r="A331" s="1">
        <v>1330</v>
      </c>
      <c r="B331" s="2">
        <v>46091</v>
      </c>
      <c r="C331" s="1" t="s">
        <v>8</v>
      </c>
      <c r="D331" s="1" t="s">
        <v>13</v>
      </c>
      <c r="E331" s="4">
        <v>3</v>
      </c>
      <c r="F331" s="1" cm="1">
        <f t="array" ref="F331">_xlfn.IFS(D331="Tea", 40, D331="Coffee", 60, D331="Bakery", 100, D331="Beverages", 80)</f>
        <v>100</v>
      </c>
      <c r="G331" s="1">
        <f t="shared" si="5"/>
        <v>300</v>
      </c>
      <c r="H331" s="1" t="s">
        <v>21</v>
      </c>
      <c r="I331" s="1" t="s">
        <v>22</v>
      </c>
      <c r="J331" s="1">
        <v>2</v>
      </c>
    </row>
    <row r="332" spans="1:10" ht="15" x14ac:dyDescent="0.4">
      <c r="A332" s="1">
        <v>1331</v>
      </c>
      <c r="B332" s="2">
        <v>46096</v>
      </c>
      <c r="C332" s="1" t="s">
        <v>10</v>
      </c>
      <c r="D332" s="1" t="s">
        <v>14</v>
      </c>
      <c r="E332" s="4">
        <v>3</v>
      </c>
      <c r="F332" s="1" cm="1">
        <f t="array" ref="F332">_xlfn.IFS(D332="Tea", 40, D332="Coffee", 60, D332="Bakery", 100, D332="Beverages", 80)</f>
        <v>80</v>
      </c>
      <c r="G332" s="1">
        <f t="shared" si="5"/>
        <v>240</v>
      </c>
      <c r="H332" s="1" t="s">
        <v>21</v>
      </c>
      <c r="I332" s="1" t="s">
        <v>26</v>
      </c>
      <c r="J332" s="1">
        <v>3</v>
      </c>
    </row>
    <row r="333" spans="1:10" ht="15" x14ac:dyDescent="0.4">
      <c r="A333" s="1">
        <v>1332</v>
      </c>
      <c r="B333" s="2">
        <v>46130</v>
      </c>
      <c r="C333" s="1" t="s">
        <v>10</v>
      </c>
      <c r="D333" s="1" t="s">
        <v>9</v>
      </c>
      <c r="E333" s="4">
        <v>1</v>
      </c>
      <c r="F333" s="1" cm="1">
        <f t="array" ref="F333">_xlfn.IFS(D333="Tea", 40, D333="Coffee", 60, D333="Bakery", 100, D333="Beverages", 80)</f>
        <v>40</v>
      </c>
      <c r="G333" s="1">
        <f t="shared" si="5"/>
        <v>40</v>
      </c>
      <c r="H333" s="1" t="s">
        <v>21</v>
      </c>
      <c r="I333" s="1" t="s">
        <v>22</v>
      </c>
      <c r="J333" s="1">
        <v>2</v>
      </c>
    </row>
    <row r="334" spans="1:10" ht="15" x14ac:dyDescent="0.4">
      <c r="A334" s="1">
        <v>1333</v>
      </c>
      <c r="B334" s="2">
        <v>46166</v>
      </c>
      <c r="C334" s="1" t="s">
        <v>8</v>
      </c>
      <c r="D334" s="1" t="s">
        <v>13</v>
      </c>
      <c r="E334" s="4">
        <v>1</v>
      </c>
      <c r="F334" s="1" cm="1">
        <f t="array" ref="F334">_xlfn.IFS(D334="Tea", 40, D334="Coffee", 60, D334="Bakery", 100, D334="Beverages", 80)</f>
        <v>100</v>
      </c>
      <c r="G334" s="1">
        <f t="shared" si="5"/>
        <v>100</v>
      </c>
      <c r="H334" s="1" t="s">
        <v>21</v>
      </c>
      <c r="I334" s="1" t="s">
        <v>22</v>
      </c>
      <c r="J334" s="1">
        <v>5</v>
      </c>
    </row>
    <row r="335" spans="1:10" ht="15" x14ac:dyDescent="0.4">
      <c r="A335" s="1">
        <v>1334</v>
      </c>
      <c r="B335" s="2">
        <v>46068</v>
      </c>
      <c r="C335" s="1" t="s">
        <v>8</v>
      </c>
      <c r="D335" s="1" t="s">
        <v>13</v>
      </c>
      <c r="E335" s="4">
        <v>3</v>
      </c>
      <c r="F335" s="1" cm="1">
        <f t="array" ref="F335">_xlfn.IFS(D335="Tea", 40, D335="Coffee", 60, D335="Bakery", 100, D335="Beverages", 80)</f>
        <v>100</v>
      </c>
      <c r="G335" s="1">
        <f t="shared" si="5"/>
        <v>300</v>
      </c>
      <c r="H335" s="1" t="s">
        <v>25</v>
      </c>
      <c r="I335" s="1" t="s">
        <v>22</v>
      </c>
      <c r="J335" s="1">
        <v>5</v>
      </c>
    </row>
    <row r="336" spans="1:10" ht="15" x14ac:dyDescent="0.4">
      <c r="A336" s="1">
        <v>1335</v>
      </c>
      <c r="B336" s="2">
        <v>46034</v>
      </c>
      <c r="C336" s="1" t="s">
        <v>8</v>
      </c>
      <c r="D336" s="1" t="s">
        <v>11</v>
      </c>
      <c r="E336" s="4">
        <v>2</v>
      </c>
      <c r="F336" s="1" cm="1">
        <f t="array" ref="F336">_xlfn.IFS(D336="Tea", 40, D336="Coffee", 60, D336="Bakery", 100, D336="Beverages", 80)</f>
        <v>60</v>
      </c>
      <c r="G336" s="1">
        <f t="shared" si="5"/>
        <v>120</v>
      </c>
      <c r="H336" s="1" t="s">
        <v>25</v>
      </c>
      <c r="I336" s="1" t="s">
        <v>22</v>
      </c>
      <c r="J336" s="1">
        <v>3</v>
      </c>
    </row>
    <row r="337" spans="1:10" ht="15" x14ac:dyDescent="0.4">
      <c r="A337" s="1">
        <v>1336</v>
      </c>
      <c r="B337" s="2">
        <v>46137</v>
      </c>
      <c r="C337" s="1" t="s">
        <v>12</v>
      </c>
      <c r="D337" s="1" t="s">
        <v>13</v>
      </c>
      <c r="E337" s="4">
        <v>1</v>
      </c>
      <c r="F337" s="1" cm="1">
        <f t="array" ref="F337">_xlfn.IFS(D337="Tea", 40, D337="Coffee", 60, D337="Bakery", 100, D337="Beverages", 80)</f>
        <v>100</v>
      </c>
      <c r="G337" s="1">
        <f t="shared" si="5"/>
        <v>100</v>
      </c>
      <c r="H337" s="1" t="s">
        <v>24</v>
      </c>
      <c r="I337" s="1" t="s">
        <v>23</v>
      </c>
      <c r="J337" s="1">
        <v>4</v>
      </c>
    </row>
    <row r="338" spans="1:10" ht="15" x14ac:dyDescent="0.4">
      <c r="A338" s="1">
        <v>1337</v>
      </c>
      <c r="B338" s="2">
        <v>46179</v>
      </c>
      <c r="C338" s="1" t="s">
        <v>12</v>
      </c>
      <c r="D338" s="1" t="s">
        <v>11</v>
      </c>
      <c r="E338" s="4">
        <v>3</v>
      </c>
      <c r="F338" s="1" cm="1">
        <f t="array" ref="F338">_xlfn.IFS(D338="Tea", 40, D338="Coffee", 60, D338="Bakery", 100, D338="Beverages", 80)</f>
        <v>60</v>
      </c>
      <c r="G338" s="1">
        <f t="shared" si="5"/>
        <v>180</v>
      </c>
      <c r="H338" s="1" t="s">
        <v>21</v>
      </c>
      <c r="I338" s="1" t="s">
        <v>23</v>
      </c>
      <c r="J338" s="1">
        <v>2</v>
      </c>
    </row>
    <row r="339" spans="1:10" ht="15" x14ac:dyDescent="0.4">
      <c r="A339" s="1">
        <v>1338</v>
      </c>
      <c r="B339" s="2">
        <v>46197</v>
      </c>
      <c r="C339" s="1" t="s">
        <v>8</v>
      </c>
      <c r="D339" s="1" t="s">
        <v>9</v>
      </c>
      <c r="E339" s="4">
        <v>3</v>
      </c>
      <c r="F339" s="1" cm="1">
        <f t="array" ref="F339">_xlfn.IFS(D339="Tea", 40, D339="Coffee", 60, D339="Bakery", 100, D339="Beverages", 80)</f>
        <v>40</v>
      </c>
      <c r="G339" s="1">
        <f t="shared" si="5"/>
        <v>120</v>
      </c>
      <c r="H339" s="1" t="s">
        <v>24</v>
      </c>
      <c r="I339" s="1" t="s">
        <v>26</v>
      </c>
      <c r="J339" s="1">
        <v>2</v>
      </c>
    </row>
    <row r="340" spans="1:10" ht="15" x14ac:dyDescent="0.4">
      <c r="A340" s="1">
        <v>1339</v>
      </c>
      <c r="B340" s="2">
        <v>46049</v>
      </c>
      <c r="C340" s="1" t="s">
        <v>10</v>
      </c>
      <c r="D340" s="1" t="s">
        <v>11</v>
      </c>
      <c r="E340" s="4">
        <v>2</v>
      </c>
      <c r="F340" s="1" cm="1">
        <f t="array" ref="F340">_xlfn.IFS(D340="Tea", 40, D340="Coffee", 60, D340="Bakery", 100, D340="Beverages", 80)</f>
        <v>60</v>
      </c>
      <c r="G340" s="1">
        <f t="shared" si="5"/>
        <v>120</v>
      </c>
      <c r="H340" s="1" t="s">
        <v>25</v>
      </c>
      <c r="I340" s="1" t="s">
        <v>22</v>
      </c>
      <c r="J340" s="1">
        <v>4</v>
      </c>
    </row>
    <row r="341" spans="1:10" ht="15" x14ac:dyDescent="0.4">
      <c r="A341" s="1">
        <v>1340</v>
      </c>
      <c r="B341" s="2">
        <v>46134</v>
      </c>
      <c r="C341" s="1" t="s">
        <v>8</v>
      </c>
      <c r="D341" s="1" t="s">
        <v>13</v>
      </c>
      <c r="E341" s="4">
        <v>1</v>
      </c>
      <c r="F341" s="1" cm="1">
        <f t="array" ref="F341">_xlfn.IFS(D341="Tea", 40, D341="Coffee", 60, D341="Bakery", 100, D341="Beverages", 80)</f>
        <v>100</v>
      </c>
      <c r="G341" s="1">
        <f t="shared" si="5"/>
        <v>100</v>
      </c>
      <c r="H341" s="1" t="s">
        <v>21</v>
      </c>
      <c r="I341" s="1" t="s">
        <v>22</v>
      </c>
      <c r="J341" s="1">
        <v>3</v>
      </c>
    </row>
    <row r="342" spans="1:10" ht="15" x14ac:dyDescent="0.4">
      <c r="A342" s="1">
        <v>1341</v>
      </c>
      <c r="B342" s="2">
        <v>46166</v>
      </c>
      <c r="C342" s="1" t="s">
        <v>10</v>
      </c>
      <c r="D342" s="1" t="s">
        <v>11</v>
      </c>
      <c r="E342" s="4">
        <v>1</v>
      </c>
      <c r="F342" s="1" cm="1">
        <f t="array" ref="F342">_xlfn.IFS(D342="Tea", 40, D342="Coffee", 60, D342="Bakery", 100, D342="Beverages", 80)</f>
        <v>60</v>
      </c>
      <c r="G342" s="1">
        <f t="shared" si="5"/>
        <v>60</v>
      </c>
      <c r="H342" s="1" t="s">
        <v>21</v>
      </c>
      <c r="I342" s="1" t="s">
        <v>23</v>
      </c>
      <c r="J342" s="1">
        <v>2</v>
      </c>
    </row>
    <row r="343" spans="1:10" ht="15" x14ac:dyDescent="0.4">
      <c r="A343" s="1">
        <v>1342</v>
      </c>
      <c r="B343" s="2">
        <v>46089</v>
      </c>
      <c r="C343" s="1" t="s">
        <v>10</v>
      </c>
      <c r="D343" s="1" t="s">
        <v>14</v>
      </c>
      <c r="E343" s="4">
        <v>2</v>
      </c>
      <c r="F343" s="1" cm="1">
        <f t="array" ref="F343">_xlfn.IFS(D343="Tea", 40, D343="Coffee", 60, D343="Bakery", 100, D343="Beverages", 80)</f>
        <v>80</v>
      </c>
      <c r="G343" s="1">
        <f t="shared" si="5"/>
        <v>160</v>
      </c>
      <c r="H343" s="1" t="s">
        <v>25</v>
      </c>
      <c r="I343" s="1" t="s">
        <v>26</v>
      </c>
      <c r="J343" s="1">
        <v>5</v>
      </c>
    </row>
    <row r="344" spans="1:10" ht="15" x14ac:dyDescent="0.4">
      <c r="A344" s="1">
        <v>1343</v>
      </c>
      <c r="B344" s="2">
        <v>46061</v>
      </c>
      <c r="C344" s="1" t="s">
        <v>12</v>
      </c>
      <c r="D344" s="1" t="s">
        <v>14</v>
      </c>
      <c r="E344" s="4">
        <v>1</v>
      </c>
      <c r="F344" s="1" cm="1">
        <f t="array" ref="F344">_xlfn.IFS(D344="Tea", 40, D344="Coffee", 60, D344="Bakery", 100, D344="Beverages", 80)</f>
        <v>80</v>
      </c>
      <c r="G344" s="1">
        <f t="shared" si="5"/>
        <v>80</v>
      </c>
      <c r="H344" s="1" t="s">
        <v>25</v>
      </c>
      <c r="I344" s="1" t="s">
        <v>23</v>
      </c>
      <c r="J344" s="1">
        <v>4</v>
      </c>
    </row>
    <row r="345" spans="1:10" ht="15" x14ac:dyDescent="0.4">
      <c r="A345" s="1">
        <v>1344</v>
      </c>
      <c r="B345" s="2">
        <v>46044</v>
      </c>
      <c r="C345" s="1" t="s">
        <v>12</v>
      </c>
      <c r="D345" s="1" t="s">
        <v>14</v>
      </c>
      <c r="E345" s="4">
        <v>3</v>
      </c>
      <c r="F345" s="1" cm="1">
        <f t="array" ref="F345">_xlfn.IFS(D345="Tea", 40, D345="Coffee", 60, D345="Bakery", 100, D345="Beverages", 80)</f>
        <v>80</v>
      </c>
      <c r="G345" s="1">
        <f t="shared" si="5"/>
        <v>240</v>
      </c>
      <c r="H345" s="1" t="s">
        <v>21</v>
      </c>
      <c r="I345" s="1" t="s">
        <v>26</v>
      </c>
      <c r="J345" s="1">
        <v>4</v>
      </c>
    </row>
    <row r="346" spans="1:10" ht="15" x14ac:dyDescent="0.4">
      <c r="A346" s="1">
        <v>1345</v>
      </c>
      <c r="B346" s="2">
        <v>46130</v>
      </c>
      <c r="C346" s="1" t="s">
        <v>8</v>
      </c>
      <c r="D346" s="1" t="s">
        <v>11</v>
      </c>
      <c r="E346" s="4">
        <v>1</v>
      </c>
      <c r="F346" s="1" cm="1">
        <f t="array" ref="F346">_xlfn.IFS(D346="Tea", 40, D346="Coffee", 60, D346="Bakery", 100, D346="Beverages", 80)</f>
        <v>60</v>
      </c>
      <c r="G346" s="1">
        <f t="shared" si="5"/>
        <v>60</v>
      </c>
      <c r="H346" s="1" t="s">
        <v>25</v>
      </c>
      <c r="I346" s="1" t="s">
        <v>23</v>
      </c>
      <c r="J346" s="1">
        <v>1</v>
      </c>
    </row>
    <row r="347" spans="1:10" ht="15" x14ac:dyDescent="0.4">
      <c r="A347" s="1">
        <v>1346</v>
      </c>
      <c r="B347" s="2">
        <v>46200</v>
      </c>
      <c r="C347" s="1" t="s">
        <v>12</v>
      </c>
      <c r="D347" s="1" t="s">
        <v>9</v>
      </c>
      <c r="E347" s="4">
        <v>1</v>
      </c>
      <c r="F347" s="1" cm="1">
        <f t="array" ref="F347">_xlfn.IFS(D347="Tea", 40, D347="Coffee", 60, D347="Bakery", 100, D347="Beverages", 80)</f>
        <v>40</v>
      </c>
      <c r="G347" s="1">
        <f t="shared" si="5"/>
        <v>40</v>
      </c>
      <c r="H347" s="1" t="s">
        <v>21</v>
      </c>
      <c r="I347" s="1" t="s">
        <v>23</v>
      </c>
      <c r="J347" s="1">
        <v>3</v>
      </c>
    </row>
    <row r="348" spans="1:10" ht="15" x14ac:dyDescent="0.4">
      <c r="A348" s="1">
        <v>1347</v>
      </c>
      <c r="B348" s="2">
        <v>46165</v>
      </c>
      <c r="C348" s="1" t="s">
        <v>10</v>
      </c>
      <c r="D348" s="1" t="s">
        <v>13</v>
      </c>
      <c r="E348" s="4">
        <v>2</v>
      </c>
      <c r="F348" s="1" cm="1">
        <f t="array" ref="F348">_xlfn.IFS(D348="Tea", 40, D348="Coffee", 60, D348="Bakery", 100, D348="Beverages", 80)</f>
        <v>100</v>
      </c>
      <c r="G348" s="1">
        <f t="shared" si="5"/>
        <v>200</v>
      </c>
      <c r="H348" s="1" t="s">
        <v>24</v>
      </c>
      <c r="I348" s="1" t="s">
        <v>22</v>
      </c>
      <c r="J348" s="1">
        <v>4</v>
      </c>
    </row>
    <row r="349" spans="1:10" ht="15" x14ac:dyDescent="0.4">
      <c r="A349" s="1">
        <v>1348</v>
      </c>
      <c r="B349" s="2">
        <v>46034</v>
      </c>
      <c r="C349" s="1" t="s">
        <v>10</v>
      </c>
      <c r="D349" s="1" t="s">
        <v>13</v>
      </c>
      <c r="E349" s="4">
        <v>2</v>
      </c>
      <c r="F349" s="1" cm="1">
        <f t="array" ref="F349">_xlfn.IFS(D349="Tea", 40, D349="Coffee", 60, D349="Bakery", 100, D349="Beverages", 80)</f>
        <v>100</v>
      </c>
      <c r="G349" s="1">
        <f t="shared" si="5"/>
        <v>200</v>
      </c>
      <c r="H349" s="1" t="s">
        <v>24</v>
      </c>
      <c r="I349" s="1" t="s">
        <v>23</v>
      </c>
      <c r="J349" s="1">
        <v>4</v>
      </c>
    </row>
    <row r="350" spans="1:10" ht="15" x14ac:dyDescent="0.4">
      <c r="A350" s="1">
        <v>1349</v>
      </c>
      <c r="B350" s="2">
        <v>46065</v>
      </c>
      <c r="C350" s="1" t="s">
        <v>12</v>
      </c>
      <c r="D350" s="1" t="s">
        <v>14</v>
      </c>
      <c r="E350" s="4">
        <v>2</v>
      </c>
      <c r="F350" s="1" cm="1">
        <f t="array" ref="F350">_xlfn.IFS(D350="Tea", 40, D350="Coffee", 60, D350="Bakery", 100, D350="Beverages", 80)</f>
        <v>80</v>
      </c>
      <c r="G350" s="1">
        <f t="shared" si="5"/>
        <v>160</v>
      </c>
      <c r="H350" s="1" t="s">
        <v>24</v>
      </c>
      <c r="I350" s="1" t="s">
        <v>22</v>
      </c>
      <c r="J350" s="1">
        <v>2</v>
      </c>
    </row>
    <row r="351" spans="1:10" ht="15" x14ac:dyDescent="0.4">
      <c r="A351" s="1">
        <v>1350</v>
      </c>
      <c r="B351" s="2">
        <v>46041</v>
      </c>
      <c r="C351" s="1" t="s">
        <v>12</v>
      </c>
      <c r="D351" s="1" t="s">
        <v>11</v>
      </c>
      <c r="E351" s="4">
        <v>3</v>
      </c>
      <c r="F351" s="1" cm="1">
        <f t="array" ref="F351">_xlfn.IFS(D351="Tea", 40, D351="Coffee", 60, D351="Bakery", 100, D351="Beverages", 80)</f>
        <v>60</v>
      </c>
      <c r="G351" s="1">
        <f t="shared" si="5"/>
        <v>180</v>
      </c>
      <c r="H351" s="1" t="s">
        <v>21</v>
      </c>
      <c r="I351" s="1" t="s">
        <v>26</v>
      </c>
      <c r="J351" s="1">
        <v>2</v>
      </c>
    </row>
    <row r="352" spans="1:10" ht="15" x14ac:dyDescent="0.4">
      <c r="A352" s="1">
        <v>1351</v>
      </c>
      <c r="B352" s="2">
        <v>46056</v>
      </c>
      <c r="C352" s="1" t="s">
        <v>12</v>
      </c>
      <c r="D352" s="1" t="s">
        <v>11</v>
      </c>
      <c r="E352" s="4">
        <v>3</v>
      </c>
      <c r="F352" s="1" cm="1">
        <f t="array" ref="F352">_xlfn.IFS(D352="Tea", 40, D352="Coffee", 60, D352="Bakery", 100, D352="Beverages", 80)</f>
        <v>60</v>
      </c>
      <c r="G352" s="1">
        <f t="shared" si="5"/>
        <v>180</v>
      </c>
      <c r="H352" s="1" t="s">
        <v>24</v>
      </c>
      <c r="I352" s="1" t="s">
        <v>22</v>
      </c>
      <c r="J352" s="1">
        <v>5</v>
      </c>
    </row>
    <row r="353" spans="1:10" ht="15" x14ac:dyDescent="0.4">
      <c r="A353" s="1">
        <v>1352</v>
      </c>
      <c r="B353" s="2">
        <v>46096</v>
      </c>
      <c r="C353" s="1" t="s">
        <v>8</v>
      </c>
      <c r="D353" s="1" t="s">
        <v>14</v>
      </c>
      <c r="E353" s="4">
        <v>1</v>
      </c>
      <c r="F353" s="1" cm="1">
        <f t="array" ref="F353">_xlfn.IFS(D353="Tea", 40, D353="Coffee", 60, D353="Bakery", 100, D353="Beverages", 80)</f>
        <v>80</v>
      </c>
      <c r="G353" s="1">
        <f t="shared" si="5"/>
        <v>80</v>
      </c>
      <c r="H353" s="1" t="s">
        <v>25</v>
      </c>
      <c r="I353" s="1" t="s">
        <v>26</v>
      </c>
      <c r="J353" s="1">
        <v>4</v>
      </c>
    </row>
    <row r="354" spans="1:10" ht="15" x14ac:dyDescent="0.4">
      <c r="A354" s="1">
        <v>1353</v>
      </c>
      <c r="B354" s="2">
        <v>46033</v>
      </c>
      <c r="C354" s="1" t="s">
        <v>12</v>
      </c>
      <c r="D354" s="1" t="s">
        <v>11</v>
      </c>
      <c r="E354" s="4">
        <v>3</v>
      </c>
      <c r="F354" s="1" cm="1">
        <f t="array" ref="F354">_xlfn.IFS(D354="Tea", 40, D354="Coffee", 60, D354="Bakery", 100, D354="Beverages", 80)</f>
        <v>60</v>
      </c>
      <c r="G354" s="1">
        <f t="shared" si="5"/>
        <v>180</v>
      </c>
      <c r="H354" s="1" t="s">
        <v>24</v>
      </c>
      <c r="I354" s="1" t="s">
        <v>23</v>
      </c>
      <c r="J354" s="1">
        <v>4</v>
      </c>
    </row>
    <row r="355" spans="1:10" ht="15" x14ac:dyDescent="0.4">
      <c r="A355" s="1">
        <v>1354</v>
      </c>
      <c r="B355" s="2">
        <v>46091</v>
      </c>
      <c r="C355" s="1" t="s">
        <v>10</v>
      </c>
      <c r="D355" s="1" t="s">
        <v>13</v>
      </c>
      <c r="E355" s="4">
        <v>1</v>
      </c>
      <c r="F355" s="1" cm="1">
        <f t="array" ref="F355">_xlfn.IFS(D355="Tea", 40, D355="Coffee", 60, D355="Bakery", 100, D355="Beverages", 80)</f>
        <v>100</v>
      </c>
      <c r="G355" s="1">
        <f t="shared" si="5"/>
        <v>100</v>
      </c>
      <c r="H355" s="1" t="s">
        <v>24</v>
      </c>
      <c r="I355" s="1" t="s">
        <v>26</v>
      </c>
      <c r="J355" s="1">
        <v>3</v>
      </c>
    </row>
    <row r="356" spans="1:10" ht="15" x14ac:dyDescent="0.4">
      <c r="A356" s="1">
        <v>1355</v>
      </c>
      <c r="B356" s="2">
        <v>46163</v>
      </c>
      <c r="C356" s="1" t="s">
        <v>8</v>
      </c>
      <c r="D356" s="1" t="s">
        <v>9</v>
      </c>
      <c r="E356" s="4">
        <v>1</v>
      </c>
      <c r="F356" s="1" cm="1">
        <f t="array" ref="F356">_xlfn.IFS(D356="Tea", 40, D356="Coffee", 60, D356="Bakery", 100, D356="Beverages", 80)</f>
        <v>40</v>
      </c>
      <c r="G356" s="1">
        <f t="shared" si="5"/>
        <v>40</v>
      </c>
      <c r="H356" s="1" t="s">
        <v>25</v>
      </c>
      <c r="I356" s="1" t="s">
        <v>23</v>
      </c>
      <c r="J356" s="1">
        <v>3</v>
      </c>
    </row>
    <row r="357" spans="1:10" ht="15" x14ac:dyDescent="0.4">
      <c r="A357" s="1">
        <v>1356</v>
      </c>
      <c r="B357" s="2">
        <v>46149</v>
      </c>
      <c r="C357" s="1" t="s">
        <v>10</v>
      </c>
      <c r="D357" s="1" t="s">
        <v>14</v>
      </c>
      <c r="E357" s="4">
        <v>3</v>
      </c>
      <c r="F357" s="1" cm="1">
        <f t="array" ref="F357">_xlfn.IFS(D357="Tea", 40, D357="Coffee", 60, D357="Bakery", 100, D357="Beverages", 80)</f>
        <v>80</v>
      </c>
      <c r="G357" s="1">
        <f t="shared" si="5"/>
        <v>240</v>
      </c>
      <c r="H357" s="1" t="s">
        <v>25</v>
      </c>
      <c r="I357" s="1" t="s">
        <v>26</v>
      </c>
      <c r="J357" s="1">
        <v>1</v>
      </c>
    </row>
    <row r="358" spans="1:10" ht="15" x14ac:dyDescent="0.4">
      <c r="A358" s="1">
        <v>1357</v>
      </c>
      <c r="B358" s="2">
        <v>46181</v>
      </c>
      <c r="C358" s="1" t="s">
        <v>10</v>
      </c>
      <c r="D358" s="1" t="s">
        <v>9</v>
      </c>
      <c r="E358" s="4">
        <v>1</v>
      </c>
      <c r="F358" s="1" cm="1">
        <f t="array" ref="F358">_xlfn.IFS(D358="Tea", 40, D358="Coffee", 60, D358="Bakery", 100, D358="Beverages", 80)</f>
        <v>40</v>
      </c>
      <c r="G358" s="1">
        <f t="shared" si="5"/>
        <v>40</v>
      </c>
      <c r="H358" s="1" t="s">
        <v>21</v>
      </c>
      <c r="I358" s="1" t="s">
        <v>26</v>
      </c>
      <c r="J358" s="1">
        <v>4</v>
      </c>
    </row>
    <row r="359" spans="1:10" ht="15" x14ac:dyDescent="0.4">
      <c r="A359" s="1">
        <v>1358</v>
      </c>
      <c r="B359" s="2">
        <v>46055</v>
      </c>
      <c r="C359" s="1" t="s">
        <v>12</v>
      </c>
      <c r="D359" s="1" t="s">
        <v>9</v>
      </c>
      <c r="E359" s="4">
        <v>1</v>
      </c>
      <c r="F359" s="1" cm="1">
        <f t="array" ref="F359">_xlfn.IFS(D359="Tea", 40, D359="Coffee", 60, D359="Bakery", 100, D359="Beverages", 80)</f>
        <v>40</v>
      </c>
      <c r="G359" s="1">
        <f t="shared" si="5"/>
        <v>40</v>
      </c>
      <c r="H359" s="1" t="s">
        <v>21</v>
      </c>
      <c r="I359" s="1" t="s">
        <v>22</v>
      </c>
      <c r="J359" s="1">
        <v>1</v>
      </c>
    </row>
    <row r="360" spans="1:10" ht="15" x14ac:dyDescent="0.4">
      <c r="A360" s="1">
        <v>1359</v>
      </c>
      <c r="B360" s="2">
        <v>46192</v>
      </c>
      <c r="C360" s="1" t="s">
        <v>12</v>
      </c>
      <c r="D360" s="1" t="s">
        <v>14</v>
      </c>
      <c r="E360" s="4">
        <v>2</v>
      </c>
      <c r="F360" s="1" cm="1">
        <f t="array" ref="F360">_xlfn.IFS(D360="Tea", 40, D360="Coffee", 60, D360="Bakery", 100, D360="Beverages", 80)</f>
        <v>80</v>
      </c>
      <c r="G360" s="1">
        <f t="shared" si="5"/>
        <v>160</v>
      </c>
      <c r="H360" s="1" t="s">
        <v>21</v>
      </c>
      <c r="I360" s="1" t="s">
        <v>26</v>
      </c>
      <c r="J360" s="1">
        <v>1</v>
      </c>
    </row>
    <row r="361" spans="1:10" ht="15" x14ac:dyDescent="0.4">
      <c r="A361" s="1">
        <v>1360</v>
      </c>
      <c r="B361" s="2">
        <v>46176</v>
      </c>
      <c r="C361" s="1" t="s">
        <v>12</v>
      </c>
      <c r="D361" s="1" t="s">
        <v>9</v>
      </c>
      <c r="E361" s="4">
        <v>2</v>
      </c>
      <c r="F361" s="1" cm="1">
        <f t="array" ref="F361">_xlfn.IFS(D361="Tea", 40, D361="Coffee", 60, D361="Bakery", 100, D361="Beverages", 80)</f>
        <v>40</v>
      </c>
      <c r="G361" s="1">
        <f t="shared" si="5"/>
        <v>80</v>
      </c>
      <c r="H361" s="1" t="s">
        <v>21</v>
      </c>
      <c r="I361" s="1" t="s">
        <v>23</v>
      </c>
      <c r="J361" s="1">
        <v>2</v>
      </c>
    </row>
    <row r="362" spans="1:10" ht="15" x14ac:dyDescent="0.4">
      <c r="A362" s="1">
        <v>1361</v>
      </c>
      <c r="B362" s="2">
        <v>46199</v>
      </c>
      <c r="C362" s="1" t="s">
        <v>8</v>
      </c>
      <c r="D362" s="1" t="s">
        <v>13</v>
      </c>
      <c r="E362" s="4">
        <v>1</v>
      </c>
      <c r="F362" s="1" cm="1">
        <f t="array" ref="F362">_xlfn.IFS(D362="Tea", 40, D362="Coffee", 60, D362="Bakery", 100, D362="Beverages", 80)</f>
        <v>100</v>
      </c>
      <c r="G362" s="1">
        <f t="shared" si="5"/>
        <v>100</v>
      </c>
      <c r="H362" s="1" t="s">
        <v>21</v>
      </c>
      <c r="I362" s="1" t="s">
        <v>23</v>
      </c>
      <c r="J362" s="1">
        <v>4</v>
      </c>
    </row>
    <row r="363" spans="1:10" ht="15" x14ac:dyDescent="0.4">
      <c r="A363" s="1">
        <v>1362</v>
      </c>
      <c r="B363" s="2">
        <v>46135</v>
      </c>
      <c r="C363" s="1" t="s">
        <v>10</v>
      </c>
      <c r="D363" s="1" t="s">
        <v>11</v>
      </c>
      <c r="E363" s="4">
        <v>2</v>
      </c>
      <c r="F363" s="1" cm="1">
        <f t="array" ref="F363">_xlfn.IFS(D363="Tea", 40, D363="Coffee", 60, D363="Bakery", 100, D363="Beverages", 80)</f>
        <v>60</v>
      </c>
      <c r="G363" s="1">
        <f t="shared" si="5"/>
        <v>120</v>
      </c>
      <c r="H363" s="1" t="s">
        <v>21</v>
      </c>
      <c r="I363" s="1" t="s">
        <v>23</v>
      </c>
      <c r="J363" s="1">
        <v>3</v>
      </c>
    </row>
    <row r="364" spans="1:10" ht="15" x14ac:dyDescent="0.4">
      <c r="A364" s="1">
        <v>1363</v>
      </c>
      <c r="B364" s="2">
        <v>46036</v>
      </c>
      <c r="C364" s="1" t="s">
        <v>12</v>
      </c>
      <c r="D364" s="1" t="s">
        <v>9</v>
      </c>
      <c r="E364" s="4">
        <v>2</v>
      </c>
      <c r="F364" s="1" cm="1">
        <f t="array" ref="F364">_xlfn.IFS(D364="Tea", 40, D364="Coffee", 60, D364="Bakery", 100, D364="Beverages", 80)</f>
        <v>40</v>
      </c>
      <c r="G364" s="1">
        <f t="shared" si="5"/>
        <v>80</v>
      </c>
      <c r="H364" s="1" t="s">
        <v>25</v>
      </c>
      <c r="I364" s="1" t="s">
        <v>26</v>
      </c>
      <c r="J364" s="1">
        <v>4</v>
      </c>
    </row>
    <row r="365" spans="1:10" ht="15" x14ac:dyDescent="0.4">
      <c r="A365" s="1">
        <v>1364</v>
      </c>
      <c r="B365" s="2">
        <v>46199</v>
      </c>
      <c r="C365" s="1" t="s">
        <v>10</v>
      </c>
      <c r="D365" s="1" t="s">
        <v>13</v>
      </c>
      <c r="E365" s="4">
        <v>3</v>
      </c>
      <c r="F365" s="1" cm="1">
        <f t="array" ref="F365">_xlfn.IFS(D365="Tea", 40, D365="Coffee", 60, D365="Bakery", 100, D365="Beverages", 80)</f>
        <v>100</v>
      </c>
      <c r="G365" s="1">
        <f t="shared" si="5"/>
        <v>300</v>
      </c>
      <c r="H365" s="1" t="s">
        <v>24</v>
      </c>
      <c r="I365" s="1" t="s">
        <v>23</v>
      </c>
      <c r="J365" s="1">
        <v>5</v>
      </c>
    </row>
    <row r="366" spans="1:10" ht="15" x14ac:dyDescent="0.4">
      <c r="A366" s="1">
        <v>1365</v>
      </c>
      <c r="B366" s="2">
        <v>46070</v>
      </c>
      <c r="C366" s="1" t="s">
        <v>12</v>
      </c>
      <c r="D366" s="1" t="s">
        <v>13</v>
      </c>
      <c r="E366" s="4">
        <v>3</v>
      </c>
      <c r="F366" s="1" cm="1">
        <f t="array" ref="F366">_xlfn.IFS(D366="Tea", 40, D366="Coffee", 60, D366="Bakery", 100, D366="Beverages", 80)</f>
        <v>100</v>
      </c>
      <c r="G366" s="1">
        <f t="shared" si="5"/>
        <v>300</v>
      </c>
      <c r="H366" s="1" t="s">
        <v>24</v>
      </c>
      <c r="I366" s="1" t="s">
        <v>23</v>
      </c>
      <c r="J366" s="1">
        <v>5</v>
      </c>
    </row>
    <row r="367" spans="1:10" ht="15" x14ac:dyDescent="0.4">
      <c r="A367" s="1">
        <v>1366</v>
      </c>
      <c r="B367" s="2">
        <v>46142</v>
      </c>
      <c r="C367" s="1" t="s">
        <v>8</v>
      </c>
      <c r="D367" s="1" t="s">
        <v>14</v>
      </c>
      <c r="E367" s="4">
        <v>2</v>
      </c>
      <c r="F367" s="1" cm="1">
        <f t="array" ref="F367">_xlfn.IFS(D367="Tea", 40, D367="Coffee", 60, D367="Bakery", 100, D367="Beverages", 80)</f>
        <v>80</v>
      </c>
      <c r="G367" s="1">
        <f t="shared" si="5"/>
        <v>160</v>
      </c>
      <c r="H367" s="1" t="s">
        <v>25</v>
      </c>
      <c r="I367" s="1" t="s">
        <v>23</v>
      </c>
      <c r="J367" s="1">
        <v>1</v>
      </c>
    </row>
    <row r="368" spans="1:10" ht="15" x14ac:dyDescent="0.4">
      <c r="A368" s="1">
        <v>1367</v>
      </c>
      <c r="B368" s="2">
        <v>46084</v>
      </c>
      <c r="C368" s="1" t="s">
        <v>12</v>
      </c>
      <c r="D368" s="1" t="s">
        <v>14</v>
      </c>
      <c r="E368" s="4">
        <v>1</v>
      </c>
      <c r="F368" s="1" cm="1">
        <f t="array" ref="F368">_xlfn.IFS(D368="Tea", 40, D368="Coffee", 60, D368="Bakery", 100, D368="Beverages", 80)</f>
        <v>80</v>
      </c>
      <c r="G368" s="1">
        <f t="shared" si="5"/>
        <v>80</v>
      </c>
      <c r="H368" s="1" t="s">
        <v>25</v>
      </c>
      <c r="I368" s="1" t="s">
        <v>23</v>
      </c>
      <c r="J368" s="1">
        <v>5</v>
      </c>
    </row>
    <row r="369" spans="1:10" ht="15" x14ac:dyDescent="0.4">
      <c r="A369" s="1">
        <v>1368</v>
      </c>
      <c r="B369" s="2">
        <v>46170</v>
      </c>
      <c r="C369" s="1" t="s">
        <v>10</v>
      </c>
      <c r="D369" s="1" t="s">
        <v>11</v>
      </c>
      <c r="E369" s="4">
        <v>2</v>
      </c>
      <c r="F369" s="1" cm="1">
        <f t="array" ref="F369">_xlfn.IFS(D369="Tea", 40, D369="Coffee", 60, D369="Bakery", 100, D369="Beverages", 80)</f>
        <v>60</v>
      </c>
      <c r="G369" s="1">
        <f t="shared" si="5"/>
        <v>120</v>
      </c>
      <c r="H369" s="1" t="s">
        <v>24</v>
      </c>
      <c r="I369" s="1" t="s">
        <v>26</v>
      </c>
      <c r="J369" s="1">
        <v>2</v>
      </c>
    </row>
    <row r="370" spans="1:10" ht="15" x14ac:dyDescent="0.4">
      <c r="A370" s="1">
        <v>1369</v>
      </c>
      <c r="B370" s="2">
        <v>46188</v>
      </c>
      <c r="C370" s="1" t="s">
        <v>10</v>
      </c>
      <c r="D370" s="1" t="s">
        <v>11</v>
      </c>
      <c r="E370" s="4">
        <v>3</v>
      </c>
      <c r="F370" s="1" cm="1">
        <f t="array" ref="F370">_xlfn.IFS(D370="Tea", 40, D370="Coffee", 60, D370="Bakery", 100, D370="Beverages", 80)</f>
        <v>60</v>
      </c>
      <c r="G370" s="1">
        <f t="shared" si="5"/>
        <v>180</v>
      </c>
      <c r="H370" s="1" t="s">
        <v>24</v>
      </c>
      <c r="I370" s="1" t="s">
        <v>22</v>
      </c>
      <c r="J370" s="1">
        <v>5</v>
      </c>
    </row>
    <row r="371" spans="1:10" ht="15" x14ac:dyDescent="0.4">
      <c r="A371" s="1">
        <v>1370</v>
      </c>
      <c r="B371" s="2">
        <v>46170</v>
      </c>
      <c r="C371" s="1" t="s">
        <v>10</v>
      </c>
      <c r="D371" s="1" t="s">
        <v>13</v>
      </c>
      <c r="E371" s="4">
        <v>3</v>
      </c>
      <c r="F371" s="1" cm="1">
        <f t="array" ref="F371">_xlfn.IFS(D371="Tea", 40, D371="Coffee", 60, D371="Bakery", 100, D371="Beverages", 80)</f>
        <v>100</v>
      </c>
      <c r="G371" s="1">
        <f t="shared" si="5"/>
        <v>300</v>
      </c>
      <c r="H371" s="1" t="s">
        <v>24</v>
      </c>
      <c r="I371" s="1" t="s">
        <v>23</v>
      </c>
      <c r="J371" s="1">
        <v>5</v>
      </c>
    </row>
    <row r="372" spans="1:10" ht="15" x14ac:dyDescent="0.4">
      <c r="A372" s="1">
        <v>1371</v>
      </c>
      <c r="B372" s="2">
        <v>46179</v>
      </c>
      <c r="C372" s="1" t="s">
        <v>12</v>
      </c>
      <c r="D372" s="1" t="s">
        <v>11</v>
      </c>
      <c r="E372" s="4">
        <v>2</v>
      </c>
      <c r="F372" s="1" cm="1">
        <f t="array" ref="F372">_xlfn.IFS(D372="Tea", 40, D372="Coffee", 60, D372="Bakery", 100, D372="Beverages", 80)</f>
        <v>60</v>
      </c>
      <c r="G372" s="1">
        <f t="shared" si="5"/>
        <v>120</v>
      </c>
      <c r="H372" s="1" t="s">
        <v>24</v>
      </c>
      <c r="I372" s="1" t="s">
        <v>23</v>
      </c>
      <c r="J372" s="1">
        <v>5</v>
      </c>
    </row>
    <row r="373" spans="1:10" ht="15" x14ac:dyDescent="0.4">
      <c r="A373" s="1">
        <v>1372</v>
      </c>
      <c r="B373" s="2">
        <v>46110</v>
      </c>
      <c r="C373" s="1" t="s">
        <v>10</v>
      </c>
      <c r="D373" s="1" t="s">
        <v>14</v>
      </c>
      <c r="E373" s="4">
        <v>2</v>
      </c>
      <c r="F373" s="1" cm="1">
        <f t="array" ref="F373">_xlfn.IFS(D373="Tea", 40, D373="Coffee", 60, D373="Bakery", 100, D373="Beverages", 80)</f>
        <v>80</v>
      </c>
      <c r="G373" s="1">
        <f t="shared" si="5"/>
        <v>160</v>
      </c>
      <c r="H373" s="1" t="s">
        <v>25</v>
      </c>
      <c r="I373" s="1" t="s">
        <v>22</v>
      </c>
      <c r="J373" s="1">
        <v>2</v>
      </c>
    </row>
    <row r="374" spans="1:10" ht="15" x14ac:dyDescent="0.4">
      <c r="A374" s="1">
        <v>1373</v>
      </c>
      <c r="B374" s="2">
        <v>46079</v>
      </c>
      <c r="C374" s="1" t="s">
        <v>8</v>
      </c>
      <c r="D374" s="1" t="s">
        <v>14</v>
      </c>
      <c r="E374" s="4">
        <v>2</v>
      </c>
      <c r="F374" s="1" cm="1">
        <f t="array" ref="F374">_xlfn.IFS(D374="Tea", 40, D374="Coffee", 60, D374="Bakery", 100, D374="Beverages", 80)</f>
        <v>80</v>
      </c>
      <c r="G374" s="1">
        <f t="shared" si="5"/>
        <v>160</v>
      </c>
      <c r="H374" s="1" t="s">
        <v>25</v>
      </c>
      <c r="I374" s="1" t="s">
        <v>26</v>
      </c>
      <c r="J374" s="1">
        <v>5</v>
      </c>
    </row>
    <row r="375" spans="1:10" ht="15" x14ac:dyDescent="0.4">
      <c r="A375" s="1">
        <v>1374</v>
      </c>
      <c r="B375" s="2">
        <v>46168</v>
      </c>
      <c r="C375" s="1" t="s">
        <v>12</v>
      </c>
      <c r="D375" s="1" t="s">
        <v>9</v>
      </c>
      <c r="E375" s="4">
        <v>3</v>
      </c>
      <c r="F375" s="1" cm="1">
        <f t="array" ref="F375">_xlfn.IFS(D375="Tea", 40, D375="Coffee", 60, D375="Bakery", 100, D375="Beverages", 80)</f>
        <v>40</v>
      </c>
      <c r="G375" s="1">
        <f t="shared" si="5"/>
        <v>120</v>
      </c>
      <c r="H375" s="1" t="s">
        <v>25</v>
      </c>
      <c r="I375" s="1" t="s">
        <v>26</v>
      </c>
      <c r="J375" s="1">
        <v>5</v>
      </c>
    </row>
    <row r="376" spans="1:10" ht="15" x14ac:dyDescent="0.4">
      <c r="A376" s="1">
        <v>1375</v>
      </c>
      <c r="B376" s="2">
        <v>46046</v>
      </c>
      <c r="C376" s="1" t="s">
        <v>8</v>
      </c>
      <c r="D376" s="1" t="s">
        <v>13</v>
      </c>
      <c r="E376" s="4">
        <v>1</v>
      </c>
      <c r="F376" s="1" cm="1">
        <f t="array" ref="F376">_xlfn.IFS(D376="Tea", 40, D376="Coffee", 60, D376="Bakery", 100, D376="Beverages", 80)</f>
        <v>100</v>
      </c>
      <c r="G376" s="1">
        <f t="shared" si="5"/>
        <v>100</v>
      </c>
      <c r="H376" s="1" t="s">
        <v>24</v>
      </c>
      <c r="I376" s="1" t="s">
        <v>22</v>
      </c>
      <c r="J376" s="1">
        <v>1</v>
      </c>
    </row>
    <row r="377" spans="1:10" ht="15" x14ac:dyDescent="0.4">
      <c r="A377" s="1">
        <v>1376</v>
      </c>
      <c r="B377" s="2">
        <v>46096</v>
      </c>
      <c r="C377" s="1" t="s">
        <v>12</v>
      </c>
      <c r="D377" s="1" t="s">
        <v>14</v>
      </c>
      <c r="E377" s="4">
        <v>2</v>
      </c>
      <c r="F377" s="1" cm="1">
        <f t="array" ref="F377">_xlfn.IFS(D377="Tea", 40, D377="Coffee", 60, D377="Bakery", 100, D377="Beverages", 80)</f>
        <v>80</v>
      </c>
      <c r="G377" s="1">
        <f t="shared" si="5"/>
        <v>160</v>
      </c>
      <c r="H377" s="1" t="s">
        <v>25</v>
      </c>
      <c r="I377" s="1" t="s">
        <v>22</v>
      </c>
      <c r="J377" s="1">
        <v>2</v>
      </c>
    </row>
    <row r="378" spans="1:10" ht="15" x14ac:dyDescent="0.4">
      <c r="A378" s="1">
        <v>1377</v>
      </c>
      <c r="B378" s="2">
        <v>46159</v>
      </c>
      <c r="C378" s="1" t="s">
        <v>12</v>
      </c>
      <c r="D378" s="1" t="s">
        <v>11</v>
      </c>
      <c r="E378" s="4">
        <v>1</v>
      </c>
      <c r="F378" s="1" cm="1">
        <f t="array" ref="F378">_xlfn.IFS(D378="Tea", 40, D378="Coffee", 60, D378="Bakery", 100, D378="Beverages", 80)</f>
        <v>60</v>
      </c>
      <c r="G378" s="1">
        <f t="shared" si="5"/>
        <v>60</v>
      </c>
      <c r="H378" s="1" t="s">
        <v>24</v>
      </c>
      <c r="I378" s="1" t="s">
        <v>23</v>
      </c>
      <c r="J378" s="1">
        <v>3</v>
      </c>
    </row>
    <row r="379" spans="1:10" ht="15" x14ac:dyDescent="0.4">
      <c r="A379" s="1">
        <v>1378</v>
      </c>
      <c r="B379" s="2">
        <v>46203</v>
      </c>
      <c r="C379" s="1" t="s">
        <v>12</v>
      </c>
      <c r="D379" s="1" t="s">
        <v>14</v>
      </c>
      <c r="E379" s="4">
        <v>3</v>
      </c>
      <c r="F379" s="1" cm="1">
        <f t="array" ref="F379">_xlfn.IFS(D379="Tea", 40, D379="Coffee", 60, D379="Bakery", 100, D379="Beverages", 80)</f>
        <v>80</v>
      </c>
      <c r="G379" s="1">
        <f t="shared" si="5"/>
        <v>240</v>
      </c>
      <c r="H379" s="1" t="s">
        <v>24</v>
      </c>
      <c r="I379" s="1" t="s">
        <v>23</v>
      </c>
      <c r="J379" s="1">
        <v>4</v>
      </c>
    </row>
    <row r="380" spans="1:10" ht="15" x14ac:dyDescent="0.4">
      <c r="A380" s="1">
        <v>1379</v>
      </c>
      <c r="B380" s="2">
        <v>46072</v>
      </c>
      <c r="C380" s="1" t="s">
        <v>8</v>
      </c>
      <c r="D380" s="1" t="s">
        <v>14</v>
      </c>
      <c r="E380" s="4">
        <v>1</v>
      </c>
      <c r="F380" s="1" cm="1">
        <f t="array" ref="F380">_xlfn.IFS(D380="Tea", 40, D380="Coffee", 60, D380="Bakery", 100, D380="Beverages", 80)</f>
        <v>80</v>
      </c>
      <c r="G380" s="1">
        <f t="shared" si="5"/>
        <v>80</v>
      </c>
      <c r="H380" s="1" t="s">
        <v>25</v>
      </c>
      <c r="I380" s="1" t="s">
        <v>23</v>
      </c>
      <c r="J380" s="1">
        <v>5</v>
      </c>
    </row>
    <row r="381" spans="1:10" ht="15" x14ac:dyDescent="0.4">
      <c r="A381" s="1">
        <v>1380</v>
      </c>
      <c r="B381" s="2">
        <v>46037</v>
      </c>
      <c r="C381" s="1" t="s">
        <v>12</v>
      </c>
      <c r="D381" s="1" t="s">
        <v>13</v>
      </c>
      <c r="E381" s="4">
        <v>1</v>
      </c>
      <c r="F381" s="1" cm="1">
        <f t="array" ref="F381">_xlfn.IFS(D381="Tea", 40, D381="Coffee", 60, D381="Bakery", 100, D381="Beverages", 80)</f>
        <v>100</v>
      </c>
      <c r="G381" s="1">
        <f t="shared" si="5"/>
        <v>100</v>
      </c>
      <c r="H381" s="1" t="s">
        <v>25</v>
      </c>
      <c r="I381" s="1" t="s">
        <v>22</v>
      </c>
      <c r="J381" s="1">
        <v>2</v>
      </c>
    </row>
    <row r="382" spans="1:10" ht="15" x14ac:dyDescent="0.4">
      <c r="A382" s="1">
        <v>1381</v>
      </c>
      <c r="B382" s="2">
        <v>46133</v>
      </c>
      <c r="C382" s="1" t="s">
        <v>12</v>
      </c>
      <c r="D382" s="1" t="s">
        <v>11</v>
      </c>
      <c r="E382" s="4">
        <v>2</v>
      </c>
      <c r="F382" s="1" cm="1">
        <f t="array" ref="F382">_xlfn.IFS(D382="Tea", 40, D382="Coffee", 60, D382="Bakery", 100, D382="Beverages", 80)</f>
        <v>60</v>
      </c>
      <c r="G382" s="1">
        <f t="shared" si="5"/>
        <v>120</v>
      </c>
      <c r="H382" s="1" t="s">
        <v>25</v>
      </c>
      <c r="I382" s="1" t="s">
        <v>23</v>
      </c>
      <c r="J382" s="1">
        <v>3</v>
      </c>
    </row>
    <row r="383" spans="1:10" ht="15" x14ac:dyDescent="0.4">
      <c r="A383" s="1">
        <v>1382</v>
      </c>
      <c r="B383" s="2">
        <v>46170</v>
      </c>
      <c r="C383" s="1" t="s">
        <v>8</v>
      </c>
      <c r="D383" s="1" t="s">
        <v>13</v>
      </c>
      <c r="E383" s="4">
        <v>2</v>
      </c>
      <c r="F383" s="1" cm="1">
        <f t="array" ref="F383">_xlfn.IFS(D383="Tea", 40, D383="Coffee", 60, D383="Bakery", 100, D383="Beverages", 80)</f>
        <v>100</v>
      </c>
      <c r="G383" s="1">
        <f t="shared" si="5"/>
        <v>200</v>
      </c>
      <c r="H383" s="1" t="s">
        <v>24</v>
      </c>
      <c r="I383" s="1" t="s">
        <v>26</v>
      </c>
      <c r="J383" s="1">
        <v>3</v>
      </c>
    </row>
    <row r="384" spans="1:10" ht="15" x14ac:dyDescent="0.4">
      <c r="A384" s="1">
        <v>1383</v>
      </c>
      <c r="B384" s="2">
        <v>46161</v>
      </c>
      <c r="C384" s="1" t="s">
        <v>8</v>
      </c>
      <c r="D384" s="1" t="s">
        <v>9</v>
      </c>
      <c r="E384" s="4">
        <v>1</v>
      </c>
      <c r="F384" s="1" cm="1">
        <f t="array" ref="F384">_xlfn.IFS(D384="Tea", 40, D384="Coffee", 60, D384="Bakery", 100, D384="Beverages", 80)</f>
        <v>40</v>
      </c>
      <c r="G384" s="1">
        <f t="shared" si="5"/>
        <v>40</v>
      </c>
      <c r="H384" s="1" t="s">
        <v>21</v>
      </c>
      <c r="I384" s="1" t="s">
        <v>23</v>
      </c>
      <c r="J384" s="1">
        <v>5</v>
      </c>
    </row>
    <row r="385" spans="1:10" ht="15" x14ac:dyDescent="0.4">
      <c r="A385" s="1">
        <v>1384</v>
      </c>
      <c r="B385" s="2">
        <v>46153</v>
      </c>
      <c r="C385" s="1" t="s">
        <v>10</v>
      </c>
      <c r="D385" s="1" t="s">
        <v>14</v>
      </c>
      <c r="E385" s="4">
        <v>1</v>
      </c>
      <c r="F385" s="1" cm="1">
        <f t="array" ref="F385">_xlfn.IFS(D385="Tea", 40, D385="Coffee", 60, D385="Bakery", 100, D385="Beverages", 80)</f>
        <v>80</v>
      </c>
      <c r="G385" s="1">
        <f t="shared" si="5"/>
        <v>80</v>
      </c>
      <c r="H385" s="1" t="s">
        <v>25</v>
      </c>
      <c r="I385" s="1" t="s">
        <v>23</v>
      </c>
      <c r="J385" s="1">
        <v>4</v>
      </c>
    </row>
    <row r="386" spans="1:10" ht="15" x14ac:dyDescent="0.4">
      <c r="A386" s="1">
        <v>1385</v>
      </c>
      <c r="B386" s="2">
        <v>46063</v>
      </c>
      <c r="C386" s="1" t="s">
        <v>10</v>
      </c>
      <c r="D386" s="1" t="s">
        <v>13</v>
      </c>
      <c r="E386" s="4">
        <v>3</v>
      </c>
      <c r="F386" s="1" cm="1">
        <f t="array" ref="F386">_xlfn.IFS(D386="Tea", 40, D386="Coffee", 60, D386="Bakery", 100, D386="Beverages", 80)</f>
        <v>100</v>
      </c>
      <c r="G386" s="1">
        <f t="shared" si="5"/>
        <v>300</v>
      </c>
      <c r="H386" s="1" t="s">
        <v>25</v>
      </c>
      <c r="I386" s="1" t="s">
        <v>23</v>
      </c>
      <c r="J386" s="1">
        <v>1</v>
      </c>
    </row>
    <row r="387" spans="1:10" ht="15" x14ac:dyDescent="0.4">
      <c r="A387" s="1">
        <v>1386</v>
      </c>
      <c r="B387" s="2">
        <v>46074</v>
      </c>
      <c r="C387" s="1" t="s">
        <v>12</v>
      </c>
      <c r="D387" s="1" t="s">
        <v>11</v>
      </c>
      <c r="E387" s="4">
        <v>1</v>
      </c>
      <c r="F387" s="1" cm="1">
        <f t="array" ref="F387">_xlfn.IFS(D387="Tea", 40, D387="Coffee", 60, D387="Bakery", 100, D387="Beverages", 80)</f>
        <v>60</v>
      </c>
      <c r="G387" s="1">
        <f t="shared" ref="G387:G450" si="6">E387*F387</f>
        <v>60</v>
      </c>
      <c r="H387" s="1" t="s">
        <v>24</v>
      </c>
      <c r="I387" s="1" t="s">
        <v>23</v>
      </c>
      <c r="J387" s="1">
        <v>5</v>
      </c>
    </row>
    <row r="388" spans="1:10" ht="15" x14ac:dyDescent="0.4">
      <c r="A388" s="1">
        <v>1387</v>
      </c>
      <c r="B388" s="2">
        <v>46030</v>
      </c>
      <c r="C388" s="1" t="s">
        <v>8</v>
      </c>
      <c r="D388" s="1" t="s">
        <v>9</v>
      </c>
      <c r="E388" s="4">
        <v>1</v>
      </c>
      <c r="F388" s="1" cm="1">
        <f t="array" ref="F388">_xlfn.IFS(D388="Tea", 40, D388="Coffee", 60, D388="Bakery", 100, D388="Beverages", 80)</f>
        <v>40</v>
      </c>
      <c r="G388" s="1">
        <f t="shared" si="6"/>
        <v>40</v>
      </c>
      <c r="H388" s="1" t="s">
        <v>24</v>
      </c>
      <c r="I388" s="1" t="s">
        <v>23</v>
      </c>
      <c r="J388" s="1">
        <v>5</v>
      </c>
    </row>
    <row r="389" spans="1:10" ht="15" x14ac:dyDescent="0.4">
      <c r="A389" s="1">
        <v>1388</v>
      </c>
      <c r="B389" s="2">
        <v>46137</v>
      </c>
      <c r="C389" s="1" t="s">
        <v>10</v>
      </c>
      <c r="D389" s="1" t="s">
        <v>13</v>
      </c>
      <c r="E389" s="4">
        <v>1</v>
      </c>
      <c r="F389" s="1" cm="1">
        <f t="array" ref="F389">_xlfn.IFS(D389="Tea", 40, D389="Coffee", 60, D389="Bakery", 100, D389="Beverages", 80)</f>
        <v>100</v>
      </c>
      <c r="G389" s="1">
        <f t="shared" si="6"/>
        <v>100</v>
      </c>
      <c r="H389" s="1" t="s">
        <v>21</v>
      </c>
      <c r="I389" s="1" t="s">
        <v>26</v>
      </c>
      <c r="J389" s="1">
        <v>3</v>
      </c>
    </row>
    <row r="390" spans="1:10" ht="15" x14ac:dyDescent="0.4">
      <c r="A390" s="1">
        <v>1389</v>
      </c>
      <c r="B390" s="2">
        <v>46034</v>
      </c>
      <c r="C390" s="1" t="s">
        <v>10</v>
      </c>
      <c r="D390" s="1" t="s">
        <v>9</v>
      </c>
      <c r="E390" s="4">
        <v>2</v>
      </c>
      <c r="F390" s="1" cm="1">
        <f t="array" ref="F390">_xlfn.IFS(D390="Tea", 40, D390="Coffee", 60, D390="Bakery", 100, D390="Beverages", 80)</f>
        <v>40</v>
      </c>
      <c r="G390" s="1">
        <f t="shared" si="6"/>
        <v>80</v>
      </c>
      <c r="H390" s="1" t="s">
        <v>21</v>
      </c>
      <c r="I390" s="1" t="s">
        <v>26</v>
      </c>
      <c r="J390" s="1">
        <v>4</v>
      </c>
    </row>
    <row r="391" spans="1:10" ht="15" x14ac:dyDescent="0.4">
      <c r="A391" s="1">
        <v>1390</v>
      </c>
      <c r="B391" s="2">
        <v>46130</v>
      </c>
      <c r="C391" s="1" t="s">
        <v>12</v>
      </c>
      <c r="D391" s="1" t="s">
        <v>14</v>
      </c>
      <c r="E391" s="4">
        <v>2</v>
      </c>
      <c r="F391" s="1" cm="1">
        <f t="array" ref="F391">_xlfn.IFS(D391="Tea", 40, D391="Coffee", 60, D391="Bakery", 100, D391="Beverages", 80)</f>
        <v>80</v>
      </c>
      <c r="G391" s="1">
        <f t="shared" si="6"/>
        <v>160</v>
      </c>
      <c r="H391" s="1" t="s">
        <v>21</v>
      </c>
      <c r="I391" s="1" t="s">
        <v>22</v>
      </c>
      <c r="J391" s="1">
        <v>4</v>
      </c>
    </row>
    <row r="392" spans="1:10" ht="15" x14ac:dyDescent="0.4">
      <c r="A392" s="1">
        <v>1391</v>
      </c>
      <c r="B392" s="2">
        <v>46184</v>
      </c>
      <c r="C392" s="1" t="s">
        <v>8</v>
      </c>
      <c r="D392" s="1" t="s">
        <v>14</v>
      </c>
      <c r="E392" s="4">
        <v>1</v>
      </c>
      <c r="F392" s="1" cm="1">
        <f t="array" ref="F392">_xlfn.IFS(D392="Tea", 40, D392="Coffee", 60, D392="Bakery", 100, D392="Beverages", 80)</f>
        <v>80</v>
      </c>
      <c r="G392" s="1">
        <f t="shared" si="6"/>
        <v>80</v>
      </c>
      <c r="H392" s="1" t="s">
        <v>21</v>
      </c>
      <c r="I392" s="1" t="s">
        <v>22</v>
      </c>
      <c r="J392" s="1">
        <v>2</v>
      </c>
    </row>
    <row r="393" spans="1:10" ht="15" x14ac:dyDescent="0.4">
      <c r="A393" s="1">
        <v>1392</v>
      </c>
      <c r="B393" s="2">
        <v>46063</v>
      </c>
      <c r="C393" s="1" t="s">
        <v>8</v>
      </c>
      <c r="D393" s="1" t="s">
        <v>13</v>
      </c>
      <c r="E393" s="4">
        <v>1</v>
      </c>
      <c r="F393" s="1" cm="1">
        <f t="array" ref="F393">_xlfn.IFS(D393="Tea", 40, D393="Coffee", 60, D393="Bakery", 100, D393="Beverages", 80)</f>
        <v>100</v>
      </c>
      <c r="G393" s="1">
        <f t="shared" si="6"/>
        <v>100</v>
      </c>
      <c r="H393" s="1" t="s">
        <v>21</v>
      </c>
      <c r="I393" s="1" t="s">
        <v>22</v>
      </c>
      <c r="J393" s="1">
        <v>1</v>
      </c>
    </row>
    <row r="394" spans="1:10" ht="15" x14ac:dyDescent="0.4">
      <c r="A394" s="1">
        <v>1393</v>
      </c>
      <c r="B394" s="2">
        <v>46181</v>
      </c>
      <c r="C394" s="1" t="s">
        <v>12</v>
      </c>
      <c r="D394" s="1" t="s">
        <v>14</v>
      </c>
      <c r="E394" s="4">
        <v>1</v>
      </c>
      <c r="F394" s="1" cm="1">
        <f t="array" ref="F394">_xlfn.IFS(D394="Tea", 40, D394="Coffee", 60, D394="Bakery", 100, D394="Beverages", 80)</f>
        <v>80</v>
      </c>
      <c r="G394" s="1">
        <f t="shared" si="6"/>
        <v>80</v>
      </c>
      <c r="H394" s="1" t="s">
        <v>21</v>
      </c>
      <c r="I394" s="1" t="s">
        <v>22</v>
      </c>
      <c r="J394" s="1">
        <v>3</v>
      </c>
    </row>
    <row r="395" spans="1:10" ht="15" x14ac:dyDescent="0.4">
      <c r="A395" s="1">
        <v>1394</v>
      </c>
      <c r="B395" s="2">
        <v>46030</v>
      </c>
      <c r="C395" s="1" t="s">
        <v>12</v>
      </c>
      <c r="D395" s="1" t="s">
        <v>9</v>
      </c>
      <c r="E395" s="4">
        <v>1</v>
      </c>
      <c r="F395" s="1" cm="1">
        <f t="array" ref="F395">_xlfn.IFS(D395="Tea", 40, D395="Coffee", 60, D395="Bakery", 100, D395="Beverages", 80)</f>
        <v>40</v>
      </c>
      <c r="G395" s="1">
        <f t="shared" si="6"/>
        <v>40</v>
      </c>
      <c r="H395" s="1" t="s">
        <v>25</v>
      </c>
      <c r="I395" s="1" t="s">
        <v>22</v>
      </c>
      <c r="J395" s="1">
        <v>4</v>
      </c>
    </row>
    <row r="396" spans="1:10" ht="15" x14ac:dyDescent="0.4">
      <c r="A396" s="1">
        <v>1395</v>
      </c>
      <c r="B396" s="2">
        <v>46168</v>
      </c>
      <c r="C396" s="1" t="s">
        <v>12</v>
      </c>
      <c r="D396" s="1" t="s">
        <v>9</v>
      </c>
      <c r="E396" s="4">
        <v>2</v>
      </c>
      <c r="F396" s="1" cm="1">
        <f t="array" ref="F396">_xlfn.IFS(D396="Tea", 40, D396="Coffee", 60, D396="Bakery", 100, D396="Beverages", 80)</f>
        <v>40</v>
      </c>
      <c r="G396" s="1">
        <f t="shared" si="6"/>
        <v>80</v>
      </c>
      <c r="H396" s="1" t="s">
        <v>25</v>
      </c>
      <c r="I396" s="1" t="s">
        <v>22</v>
      </c>
      <c r="J396" s="1">
        <v>5</v>
      </c>
    </row>
    <row r="397" spans="1:10" ht="15" x14ac:dyDescent="0.4">
      <c r="A397" s="1">
        <v>1396</v>
      </c>
      <c r="B397" s="2">
        <v>46091</v>
      </c>
      <c r="C397" s="1" t="s">
        <v>10</v>
      </c>
      <c r="D397" s="1" t="s">
        <v>9</v>
      </c>
      <c r="E397" s="4">
        <v>1</v>
      </c>
      <c r="F397" s="1" cm="1">
        <f t="array" ref="F397">_xlfn.IFS(D397="Tea", 40, D397="Coffee", 60, D397="Bakery", 100, D397="Beverages", 80)</f>
        <v>40</v>
      </c>
      <c r="G397" s="1">
        <f t="shared" si="6"/>
        <v>40</v>
      </c>
      <c r="H397" s="1" t="s">
        <v>21</v>
      </c>
      <c r="I397" s="1" t="s">
        <v>22</v>
      </c>
      <c r="J397" s="1">
        <v>2</v>
      </c>
    </row>
    <row r="398" spans="1:10" ht="15" x14ac:dyDescent="0.4">
      <c r="A398" s="1">
        <v>1397</v>
      </c>
      <c r="B398" s="2">
        <v>46127</v>
      </c>
      <c r="C398" s="1" t="s">
        <v>8</v>
      </c>
      <c r="D398" s="1" t="s">
        <v>9</v>
      </c>
      <c r="E398" s="4">
        <v>1</v>
      </c>
      <c r="F398" s="1" cm="1">
        <f t="array" ref="F398">_xlfn.IFS(D398="Tea", 40, D398="Coffee", 60, D398="Bakery", 100, D398="Beverages", 80)</f>
        <v>40</v>
      </c>
      <c r="G398" s="1">
        <f t="shared" si="6"/>
        <v>40</v>
      </c>
      <c r="H398" s="1" t="s">
        <v>21</v>
      </c>
      <c r="I398" s="1" t="s">
        <v>23</v>
      </c>
      <c r="J398" s="1">
        <v>3</v>
      </c>
    </row>
    <row r="399" spans="1:10" ht="15" x14ac:dyDescent="0.4">
      <c r="A399" s="1">
        <v>1398</v>
      </c>
      <c r="B399" s="2">
        <v>46163</v>
      </c>
      <c r="C399" s="1" t="s">
        <v>12</v>
      </c>
      <c r="D399" s="1" t="s">
        <v>11</v>
      </c>
      <c r="E399" s="4">
        <v>2</v>
      </c>
      <c r="F399" s="1" cm="1">
        <f t="array" ref="F399">_xlfn.IFS(D399="Tea", 40, D399="Coffee", 60, D399="Bakery", 100, D399="Beverages", 80)</f>
        <v>60</v>
      </c>
      <c r="G399" s="1">
        <f t="shared" si="6"/>
        <v>120</v>
      </c>
      <c r="H399" s="1" t="s">
        <v>25</v>
      </c>
      <c r="I399" s="1" t="s">
        <v>22</v>
      </c>
      <c r="J399" s="1">
        <v>5</v>
      </c>
    </row>
    <row r="400" spans="1:10" ht="15" x14ac:dyDescent="0.4">
      <c r="A400" s="1">
        <v>1399</v>
      </c>
      <c r="B400" s="2">
        <v>46064</v>
      </c>
      <c r="C400" s="1" t="s">
        <v>12</v>
      </c>
      <c r="D400" s="1" t="s">
        <v>9</v>
      </c>
      <c r="E400" s="4">
        <v>1</v>
      </c>
      <c r="F400" s="1" cm="1">
        <f t="array" ref="F400">_xlfn.IFS(D400="Tea", 40, D400="Coffee", 60, D400="Bakery", 100, D400="Beverages", 80)</f>
        <v>40</v>
      </c>
      <c r="G400" s="1">
        <f t="shared" si="6"/>
        <v>40</v>
      </c>
      <c r="H400" s="1" t="s">
        <v>25</v>
      </c>
      <c r="I400" s="1" t="s">
        <v>22</v>
      </c>
      <c r="J400" s="1">
        <v>2</v>
      </c>
    </row>
    <row r="401" spans="1:10" ht="15" x14ac:dyDescent="0.4">
      <c r="A401" s="1">
        <v>1400</v>
      </c>
      <c r="B401" s="2">
        <v>46174</v>
      </c>
      <c r="C401" s="1" t="s">
        <v>12</v>
      </c>
      <c r="D401" s="1" t="s">
        <v>13</v>
      </c>
      <c r="E401" s="4">
        <v>1</v>
      </c>
      <c r="F401" s="1" cm="1">
        <f t="array" ref="F401">_xlfn.IFS(D401="Tea", 40, D401="Coffee", 60, D401="Bakery", 100, D401="Beverages", 80)</f>
        <v>100</v>
      </c>
      <c r="G401" s="1">
        <f t="shared" si="6"/>
        <v>100</v>
      </c>
      <c r="H401" s="1" t="s">
        <v>24</v>
      </c>
      <c r="I401" s="1" t="s">
        <v>26</v>
      </c>
      <c r="J401" s="1">
        <v>3</v>
      </c>
    </row>
    <row r="402" spans="1:10" ht="15" x14ac:dyDescent="0.4">
      <c r="A402" s="1">
        <v>1401</v>
      </c>
      <c r="B402" s="2">
        <v>46116</v>
      </c>
      <c r="C402" s="1" t="s">
        <v>8</v>
      </c>
      <c r="D402" s="1" t="s">
        <v>11</v>
      </c>
      <c r="E402" s="4">
        <v>2</v>
      </c>
      <c r="F402" s="1" cm="1">
        <f t="array" ref="F402">_xlfn.IFS(D402="Tea", 40, D402="Coffee", 60, D402="Bakery", 100, D402="Beverages", 80)</f>
        <v>60</v>
      </c>
      <c r="G402" s="1">
        <f t="shared" si="6"/>
        <v>120</v>
      </c>
      <c r="H402" s="1" t="s">
        <v>24</v>
      </c>
      <c r="I402" s="1" t="s">
        <v>22</v>
      </c>
      <c r="J402" s="1">
        <v>1</v>
      </c>
    </row>
    <row r="403" spans="1:10" ht="15" x14ac:dyDescent="0.4">
      <c r="A403" s="1">
        <v>1402</v>
      </c>
      <c r="B403" s="2">
        <v>46055</v>
      </c>
      <c r="C403" s="1" t="s">
        <v>10</v>
      </c>
      <c r="D403" s="1" t="s">
        <v>13</v>
      </c>
      <c r="E403" s="4">
        <v>3</v>
      </c>
      <c r="F403" s="1" cm="1">
        <f t="array" ref="F403">_xlfn.IFS(D403="Tea", 40, D403="Coffee", 60, D403="Bakery", 100, D403="Beverages", 80)</f>
        <v>100</v>
      </c>
      <c r="G403" s="1">
        <f t="shared" si="6"/>
        <v>300</v>
      </c>
      <c r="H403" s="1" t="s">
        <v>25</v>
      </c>
      <c r="I403" s="1" t="s">
        <v>26</v>
      </c>
      <c r="J403" s="1">
        <v>1</v>
      </c>
    </row>
    <row r="404" spans="1:10" ht="15" x14ac:dyDescent="0.4">
      <c r="A404" s="1">
        <v>1403</v>
      </c>
      <c r="B404" s="2">
        <v>46133</v>
      </c>
      <c r="C404" s="1" t="s">
        <v>12</v>
      </c>
      <c r="D404" s="1" t="s">
        <v>9</v>
      </c>
      <c r="E404" s="4">
        <v>1</v>
      </c>
      <c r="F404" s="1" cm="1">
        <f t="array" ref="F404">_xlfn.IFS(D404="Tea", 40, D404="Coffee", 60, D404="Bakery", 100, D404="Beverages", 80)</f>
        <v>40</v>
      </c>
      <c r="G404" s="1">
        <f t="shared" si="6"/>
        <v>40</v>
      </c>
      <c r="H404" s="1" t="s">
        <v>25</v>
      </c>
      <c r="I404" s="1" t="s">
        <v>23</v>
      </c>
      <c r="J404" s="1">
        <v>5</v>
      </c>
    </row>
    <row r="405" spans="1:10" ht="15" x14ac:dyDescent="0.4">
      <c r="A405" s="1">
        <v>1404</v>
      </c>
      <c r="B405" s="2">
        <v>46196</v>
      </c>
      <c r="C405" s="1" t="s">
        <v>12</v>
      </c>
      <c r="D405" s="1" t="s">
        <v>13</v>
      </c>
      <c r="E405" s="4">
        <v>1</v>
      </c>
      <c r="F405" s="1" cm="1">
        <f t="array" ref="F405">_xlfn.IFS(D405="Tea", 40, D405="Coffee", 60, D405="Bakery", 100, D405="Beverages", 80)</f>
        <v>100</v>
      </c>
      <c r="G405" s="1">
        <f t="shared" si="6"/>
        <v>100</v>
      </c>
      <c r="H405" s="1" t="s">
        <v>24</v>
      </c>
      <c r="I405" s="1" t="s">
        <v>22</v>
      </c>
      <c r="J405" s="1">
        <v>5</v>
      </c>
    </row>
    <row r="406" spans="1:10" ht="15" x14ac:dyDescent="0.4">
      <c r="A406" s="1">
        <v>1405</v>
      </c>
      <c r="B406" s="2">
        <v>46140</v>
      </c>
      <c r="C406" s="1" t="s">
        <v>10</v>
      </c>
      <c r="D406" s="1" t="s">
        <v>13</v>
      </c>
      <c r="E406" s="4">
        <v>2</v>
      </c>
      <c r="F406" s="1" cm="1">
        <f t="array" ref="F406">_xlfn.IFS(D406="Tea", 40, D406="Coffee", 60, D406="Bakery", 100, D406="Beverages", 80)</f>
        <v>100</v>
      </c>
      <c r="G406" s="1">
        <f t="shared" si="6"/>
        <v>200</v>
      </c>
      <c r="H406" s="1" t="s">
        <v>24</v>
      </c>
      <c r="I406" s="1" t="s">
        <v>26</v>
      </c>
      <c r="J406" s="1">
        <v>2</v>
      </c>
    </row>
    <row r="407" spans="1:10" ht="15" x14ac:dyDescent="0.4">
      <c r="A407" s="1">
        <v>1406</v>
      </c>
      <c r="B407" s="2">
        <v>46100</v>
      </c>
      <c r="C407" s="1" t="s">
        <v>8</v>
      </c>
      <c r="D407" s="1" t="s">
        <v>13</v>
      </c>
      <c r="E407" s="4">
        <v>2</v>
      </c>
      <c r="F407" s="1" cm="1">
        <f t="array" ref="F407">_xlfn.IFS(D407="Tea", 40, D407="Coffee", 60, D407="Bakery", 100, D407="Beverages", 80)</f>
        <v>100</v>
      </c>
      <c r="G407" s="1">
        <f t="shared" si="6"/>
        <v>200</v>
      </c>
      <c r="H407" s="1" t="s">
        <v>25</v>
      </c>
      <c r="I407" s="1" t="s">
        <v>26</v>
      </c>
      <c r="J407" s="1">
        <v>1</v>
      </c>
    </row>
    <row r="408" spans="1:10" ht="15" x14ac:dyDescent="0.4">
      <c r="A408" s="1">
        <v>1407</v>
      </c>
      <c r="B408" s="2">
        <v>46101</v>
      </c>
      <c r="C408" s="1" t="s">
        <v>12</v>
      </c>
      <c r="D408" s="1" t="s">
        <v>13</v>
      </c>
      <c r="E408" s="4">
        <v>1</v>
      </c>
      <c r="F408" s="1" cm="1">
        <f t="array" ref="F408">_xlfn.IFS(D408="Tea", 40, D408="Coffee", 60, D408="Bakery", 100, D408="Beverages", 80)</f>
        <v>100</v>
      </c>
      <c r="G408" s="1">
        <f t="shared" si="6"/>
        <v>100</v>
      </c>
      <c r="H408" s="1" t="s">
        <v>21</v>
      </c>
      <c r="I408" s="1" t="s">
        <v>26</v>
      </c>
      <c r="J408" s="1">
        <v>1</v>
      </c>
    </row>
    <row r="409" spans="1:10" ht="15" x14ac:dyDescent="0.4">
      <c r="A409" s="1">
        <v>1408</v>
      </c>
      <c r="B409" s="2">
        <v>46051</v>
      </c>
      <c r="C409" s="1" t="s">
        <v>10</v>
      </c>
      <c r="D409" s="1" t="s">
        <v>13</v>
      </c>
      <c r="E409" s="4">
        <v>2</v>
      </c>
      <c r="F409" s="1" cm="1">
        <f t="array" ref="F409">_xlfn.IFS(D409="Tea", 40, D409="Coffee", 60, D409="Bakery", 100, D409="Beverages", 80)</f>
        <v>100</v>
      </c>
      <c r="G409" s="1">
        <f t="shared" si="6"/>
        <v>200</v>
      </c>
      <c r="H409" s="1" t="s">
        <v>25</v>
      </c>
      <c r="I409" s="1" t="s">
        <v>26</v>
      </c>
      <c r="J409" s="1">
        <v>3</v>
      </c>
    </row>
    <row r="410" spans="1:10" ht="15" x14ac:dyDescent="0.4">
      <c r="A410" s="1">
        <v>1409</v>
      </c>
      <c r="B410" s="2">
        <v>46130</v>
      </c>
      <c r="C410" s="1" t="s">
        <v>10</v>
      </c>
      <c r="D410" s="1" t="s">
        <v>14</v>
      </c>
      <c r="E410" s="4">
        <v>2</v>
      </c>
      <c r="F410" s="1" cm="1">
        <f t="array" ref="F410">_xlfn.IFS(D410="Tea", 40, D410="Coffee", 60, D410="Bakery", 100, D410="Beverages", 80)</f>
        <v>80</v>
      </c>
      <c r="G410" s="1">
        <f t="shared" si="6"/>
        <v>160</v>
      </c>
      <c r="H410" s="1" t="s">
        <v>21</v>
      </c>
      <c r="I410" s="1" t="s">
        <v>23</v>
      </c>
      <c r="J410" s="1">
        <v>3</v>
      </c>
    </row>
    <row r="411" spans="1:10" ht="15" x14ac:dyDescent="0.4">
      <c r="A411" s="1">
        <v>1410</v>
      </c>
      <c r="B411" s="2">
        <v>46088</v>
      </c>
      <c r="C411" s="1" t="s">
        <v>8</v>
      </c>
      <c r="D411" s="1" t="s">
        <v>9</v>
      </c>
      <c r="E411" s="4">
        <v>3</v>
      </c>
      <c r="F411" s="1" cm="1">
        <f t="array" ref="F411">_xlfn.IFS(D411="Tea", 40, D411="Coffee", 60, D411="Bakery", 100, D411="Beverages", 80)</f>
        <v>40</v>
      </c>
      <c r="G411" s="1">
        <f t="shared" si="6"/>
        <v>120</v>
      </c>
      <c r="H411" s="1" t="s">
        <v>25</v>
      </c>
      <c r="I411" s="1" t="s">
        <v>23</v>
      </c>
      <c r="J411" s="1">
        <v>5</v>
      </c>
    </row>
    <row r="412" spans="1:10" ht="15" x14ac:dyDescent="0.4">
      <c r="A412" s="1">
        <v>1411</v>
      </c>
      <c r="B412" s="2">
        <v>46060</v>
      </c>
      <c r="C412" s="1" t="s">
        <v>10</v>
      </c>
      <c r="D412" s="1" t="s">
        <v>11</v>
      </c>
      <c r="E412" s="4">
        <v>1</v>
      </c>
      <c r="F412" s="1" cm="1">
        <f t="array" ref="F412">_xlfn.IFS(D412="Tea", 40, D412="Coffee", 60, D412="Bakery", 100, D412="Beverages", 80)</f>
        <v>60</v>
      </c>
      <c r="G412" s="1">
        <f t="shared" si="6"/>
        <v>60</v>
      </c>
      <c r="H412" s="1" t="s">
        <v>21</v>
      </c>
      <c r="I412" s="1" t="s">
        <v>26</v>
      </c>
      <c r="J412" s="1">
        <v>1</v>
      </c>
    </row>
    <row r="413" spans="1:10" ht="15" x14ac:dyDescent="0.4">
      <c r="A413" s="1">
        <v>1412</v>
      </c>
      <c r="B413" s="2">
        <v>46115</v>
      </c>
      <c r="C413" s="1" t="s">
        <v>12</v>
      </c>
      <c r="D413" s="1" t="s">
        <v>9</v>
      </c>
      <c r="E413" s="4">
        <v>1</v>
      </c>
      <c r="F413" s="1" cm="1">
        <f t="array" ref="F413">_xlfn.IFS(D413="Tea", 40, D413="Coffee", 60, D413="Bakery", 100, D413="Beverages", 80)</f>
        <v>40</v>
      </c>
      <c r="G413" s="1">
        <f t="shared" si="6"/>
        <v>40</v>
      </c>
      <c r="H413" s="1" t="s">
        <v>25</v>
      </c>
      <c r="I413" s="1" t="s">
        <v>26</v>
      </c>
      <c r="J413" s="1">
        <v>2</v>
      </c>
    </row>
    <row r="414" spans="1:10" ht="15" x14ac:dyDescent="0.4">
      <c r="A414" s="1">
        <v>1413</v>
      </c>
      <c r="B414" s="2">
        <v>46103</v>
      </c>
      <c r="C414" s="1" t="s">
        <v>8</v>
      </c>
      <c r="D414" s="1" t="s">
        <v>14</v>
      </c>
      <c r="E414" s="4">
        <v>2</v>
      </c>
      <c r="F414" s="1" cm="1">
        <f t="array" ref="F414">_xlfn.IFS(D414="Tea", 40, D414="Coffee", 60, D414="Bakery", 100, D414="Beverages", 80)</f>
        <v>80</v>
      </c>
      <c r="G414" s="1">
        <f t="shared" si="6"/>
        <v>160</v>
      </c>
      <c r="H414" s="1" t="s">
        <v>21</v>
      </c>
      <c r="I414" s="1" t="s">
        <v>23</v>
      </c>
      <c r="J414" s="1">
        <v>2</v>
      </c>
    </row>
    <row r="415" spans="1:10" ht="15" x14ac:dyDescent="0.4">
      <c r="A415" s="1">
        <v>1414</v>
      </c>
      <c r="B415" s="2">
        <v>46042</v>
      </c>
      <c r="C415" s="1" t="s">
        <v>8</v>
      </c>
      <c r="D415" s="1" t="s">
        <v>14</v>
      </c>
      <c r="E415" s="4">
        <v>1</v>
      </c>
      <c r="F415" s="1" cm="1">
        <f t="array" ref="F415">_xlfn.IFS(D415="Tea", 40, D415="Coffee", 60, D415="Bakery", 100, D415="Beverages", 80)</f>
        <v>80</v>
      </c>
      <c r="G415" s="1">
        <f t="shared" si="6"/>
        <v>80</v>
      </c>
      <c r="H415" s="1" t="s">
        <v>21</v>
      </c>
      <c r="I415" s="1" t="s">
        <v>23</v>
      </c>
      <c r="J415" s="1">
        <v>4</v>
      </c>
    </row>
    <row r="416" spans="1:10" ht="15" x14ac:dyDescent="0.4">
      <c r="A416" s="1">
        <v>1415</v>
      </c>
      <c r="B416" s="2">
        <v>46057</v>
      </c>
      <c r="C416" s="1" t="s">
        <v>12</v>
      </c>
      <c r="D416" s="1" t="s">
        <v>14</v>
      </c>
      <c r="E416" s="4">
        <v>2</v>
      </c>
      <c r="F416" s="1" cm="1">
        <f t="array" ref="F416">_xlfn.IFS(D416="Tea", 40, D416="Coffee", 60, D416="Bakery", 100, D416="Beverages", 80)</f>
        <v>80</v>
      </c>
      <c r="G416" s="1">
        <f t="shared" si="6"/>
        <v>160</v>
      </c>
      <c r="H416" s="1" t="s">
        <v>21</v>
      </c>
      <c r="I416" s="1" t="s">
        <v>26</v>
      </c>
      <c r="J416" s="1">
        <v>4</v>
      </c>
    </row>
    <row r="417" spans="1:10" ht="15" x14ac:dyDescent="0.4">
      <c r="A417" s="1">
        <v>1416</v>
      </c>
      <c r="B417" s="2">
        <v>46157</v>
      </c>
      <c r="C417" s="1" t="s">
        <v>8</v>
      </c>
      <c r="D417" s="1" t="s">
        <v>11</v>
      </c>
      <c r="E417" s="4">
        <v>2</v>
      </c>
      <c r="F417" s="1" cm="1">
        <f t="array" ref="F417">_xlfn.IFS(D417="Tea", 40, D417="Coffee", 60, D417="Bakery", 100, D417="Beverages", 80)</f>
        <v>60</v>
      </c>
      <c r="G417" s="1">
        <f t="shared" si="6"/>
        <v>120</v>
      </c>
      <c r="H417" s="1" t="s">
        <v>25</v>
      </c>
      <c r="I417" s="1" t="s">
        <v>22</v>
      </c>
      <c r="J417" s="1">
        <v>3</v>
      </c>
    </row>
    <row r="418" spans="1:10" ht="15" x14ac:dyDescent="0.4">
      <c r="A418" s="1">
        <v>1417</v>
      </c>
      <c r="B418" s="2">
        <v>46169</v>
      </c>
      <c r="C418" s="1" t="s">
        <v>10</v>
      </c>
      <c r="D418" s="1" t="s">
        <v>11</v>
      </c>
      <c r="E418" s="4">
        <v>3</v>
      </c>
      <c r="F418" s="1" cm="1">
        <f t="array" ref="F418">_xlfn.IFS(D418="Tea", 40, D418="Coffee", 60, D418="Bakery", 100, D418="Beverages", 80)</f>
        <v>60</v>
      </c>
      <c r="G418" s="1">
        <f t="shared" si="6"/>
        <v>180</v>
      </c>
      <c r="H418" s="1" t="s">
        <v>25</v>
      </c>
      <c r="I418" s="1" t="s">
        <v>22</v>
      </c>
      <c r="J418" s="1">
        <v>2</v>
      </c>
    </row>
    <row r="419" spans="1:10" ht="15" x14ac:dyDescent="0.4">
      <c r="A419" s="1">
        <v>1418</v>
      </c>
      <c r="B419" s="2">
        <v>46169</v>
      </c>
      <c r="C419" s="1" t="s">
        <v>8</v>
      </c>
      <c r="D419" s="1" t="s">
        <v>11</v>
      </c>
      <c r="E419" s="4">
        <v>3</v>
      </c>
      <c r="F419" s="1" cm="1">
        <f t="array" ref="F419">_xlfn.IFS(D419="Tea", 40, D419="Coffee", 60, D419="Bakery", 100, D419="Beverages", 80)</f>
        <v>60</v>
      </c>
      <c r="G419" s="1">
        <f t="shared" si="6"/>
        <v>180</v>
      </c>
      <c r="H419" s="1" t="s">
        <v>25</v>
      </c>
      <c r="I419" s="1" t="s">
        <v>26</v>
      </c>
      <c r="J419" s="1">
        <v>1</v>
      </c>
    </row>
    <row r="420" spans="1:10" ht="15" x14ac:dyDescent="0.4">
      <c r="A420" s="1">
        <v>1419</v>
      </c>
      <c r="B420" s="2">
        <v>46126</v>
      </c>
      <c r="C420" s="1" t="s">
        <v>12</v>
      </c>
      <c r="D420" s="1" t="s">
        <v>13</v>
      </c>
      <c r="E420" s="4">
        <v>2</v>
      </c>
      <c r="F420" s="1" cm="1">
        <f t="array" ref="F420">_xlfn.IFS(D420="Tea", 40, D420="Coffee", 60, D420="Bakery", 100, D420="Beverages", 80)</f>
        <v>100</v>
      </c>
      <c r="G420" s="1">
        <f t="shared" si="6"/>
        <v>200</v>
      </c>
      <c r="H420" s="1" t="s">
        <v>24</v>
      </c>
      <c r="I420" s="1" t="s">
        <v>23</v>
      </c>
      <c r="J420" s="1">
        <v>1</v>
      </c>
    </row>
    <row r="421" spans="1:10" ht="15" x14ac:dyDescent="0.4">
      <c r="A421" s="1">
        <v>1420</v>
      </c>
      <c r="B421" s="2">
        <v>46178</v>
      </c>
      <c r="C421" s="1" t="s">
        <v>8</v>
      </c>
      <c r="D421" s="1" t="s">
        <v>11</v>
      </c>
      <c r="E421" s="4">
        <v>1</v>
      </c>
      <c r="F421" s="1" cm="1">
        <f t="array" ref="F421">_xlfn.IFS(D421="Tea", 40, D421="Coffee", 60, D421="Bakery", 100, D421="Beverages", 80)</f>
        <v>60</v>
      </c>
      <c r="G421" s="1">
        <f t="shared" si="6"/>
        <v>60</v>
      </c>
      <c r="H421" s="1" t="s">
        <v>25</v>
      </c>
      <c r="I421" s="1" t="s">
        <v>23</v>
      </c>
      <c r="J421" s="1">
        <v>3</v>
      </c>
    </row>
    <row r="422" spans="1:10" ht="15" x14ac:dyDescent="0.4">
      <c r="A422" s="1">
        <v>1421</v>
      </c>
      <c r="B422" s="2">
        <v>46110</v>
      </c>
      <c r="C422" s="1" t="s">
        <v>10</v>
      </c>
      <c r="D422" s="1" t="s">
        <v>9</v>
      </c>
      <c r="E422" s="4">
        <v>2</v>
      </c>
      <c r="F422" s="1" cm="1">
        <f t="array" ref="F422">_xlfn.IFS(D422="Tea", 40, D422="Coffee", 60, D422="Bakery", 100, D422="Beverages", 80)</f>
        <v>40</v>
      </c>
      <c r="G422" s="1">
        <f t="shared" si="6"/>
        <v>80</v>
      </c>
      <c r="H422" s="1" t="s">
        <v>21</v>
      </c>
      <c r="I422" s="1" t="s">
        <v>22</v>
      </c>
      <c r="J422" s="1">
        <v>5</v>
      </c>
    </row>
    <row r="423" spans="1:10" ht="15" x14ac:dyDescent="0.4">
      <c r="A423" s="1">
        <v>1422</v>
      </c>
      <c r="B423" s="2">
        <v>46133</v>
      </c>
      <c r="C423" s="1" t="s">
        <v>10</v>
      </c>
      <c r="D423" s="1" t="s">
        <v>9</v>
      </c>
      <c r="E423" s="4">
        <v>1</v>
      </c>
      <c r="F423" s="1" cm="1">
        <f t="array" ref="F423">_xlfn.IFS(D423="Tea", 40, D423="Coffee", 60, D423="Bakery", 100, D423="Beverages", 80)</f>
        <v>40</v>
      </c>
      <c r="G423" s="1">
        <f t="shared" si="6"/>
        <v>40</v>
      </c>
      <c r="H423" s="1" t="s">
        <v>21</v>
      </c>
      <c r="I423" s="1" t="s">
        <v>22</v>
      </c>
      <c r="J423" s="1">
        <v>3</v>
      </c>
    </row>
    <row r="424" spans="1:10" ht="15" x14ac:dyDescent="0.4">
      <c r="A424" s="1">
        <v>1423</v>
      </c>
      <c r="B424" s="2">
        <v>46200</v>
      </c>
      <c r="C424" s="1" t="s">
        <v>12</v>
      </c>
      <c r="D424" s="1" t="s">
        <v>9</v>
      </c>
      <c r="E424" s="4">
        <v>2</v>
      </c>
      <c r="F424" s="1" cm="1">
        <f t="array" ref="F424">_xlfn.IFS(D424="Tea", 40, D424="Coffee", 60, D424="Bakery", 100, D424="Beverages", 80)</f>
        <v>40</v>
      </c>
      <c r="G424" s="1">
        <f t="shared" si="6"/>
        <v>80</v>
      </c>
      <c r="H424" s="1" t="s">
        <v>21</v>
      </c>
      <c r="I424" s="1" t="s">
        <v>22</v>
      </c>
      <c r="J424" s="1">
        <v>4</v>
      </c>
    </row>
    <row r="425" spans="1:10" ht="15" x14ac:dyDescent="0.4">
      <c r="A425" s="1">
        <v>1424</v>
      </c>
      <c r="B425" s="2">
        <v>46063</v>
      </c>
      <c r="C425" s="1" t="s">
        <v>12</v>
      </c>
      <c r="D425" s="1" t="s">
        <v>11</v>
      </c>
      <c r="E425" s="4">
        <v>3</v>
      </c>
      <c r="F425" s="1" cm="1">
        <f t="array" ref="F425">_xlfn.IFS(D425="Tea", 40, D425="Coffee", 60, D425="Bakery", 100, D425="Beverages", 80)</f>
        <v>60</v>
      </c>
      <c r="G425" s="1">
        <f t="shared" si="6"/>
        <v>180</v>
      </c>
      <c r="H425" s="1" t="s">
        <v>25</v>
      </c>
      <c r="I425" s="1" t="s">
        <v>23</v>
      </c>
      <c r="J425" s="1">
        <v>5</v>
      </c>
    </row>
    <row r="426" spans="1:10" ht="15" x14ac:dyDescent="0.4">
      <c r="A426" s="1">
        <v>1425</v>
      </c>
      <c r="B426" s="2">
        <v>46030</v>
      </c>
      <c r="C426" s="1" t="s">
        <v>12</v>
      </c>
      <c r="D426" s="1" t="s">
        <v>13</v>
      </c>
      <c r="E426" s="4">
        <v>3</v>
      </c>
      <c r="F426" s="1" cm="1">
        <f t="array" ref="F426">_xlfn.IFS(D426="Tea", 40, D426="Coffee", 60, D426="Bakery", 100, D426="Beverages", 80)</f>
        <v>100</v>
      </c>
      <c r="G426" s="1">
        <f t="shared" si="6"/>
        <v>300</v>
      </c>
      <c r="H426" s="1" t="s">
        <v>25</v>
      </c>
      <c r="I426" s="1" t="s">
        <v>26</v>
      </c>
      <c r="J426" s="1">
        <v>2</v>
      </c>
    </row>
    <row r="427" spans="1:10" ht="15" x14ac:dyDescent="0.4">
      <c r="A427" s="1">
        <v>1426</v>
      </c>
      <c r="B427" s="2">
        <v>46132</v>
      </c>
      <c r="C427" s="1" t="s">
        <v>8</v>
      </c>
      <c r="D427" s="1" t="s">
        <v>13</v>
      </c>
      <c r="E427" s="4">
        <v>2</v>
      </c>
      <c r="F427" s="1" cm="1">
        <f t="array" ref="F427">_xlfn.IFS(D427="Tea", 40, D427="Coffee", 60, D427="Bakery", 100, D427="Beverages", 80)</f>
        <v>100</v>
      </c>
      <c r="G427" s="1">
        <f t="shared" si="6"/>
        <v>200</v>
      </c>
      <c r="H427" s="1" t="s">
        <v>21</v>
      </c>
      <c r="I427" s="1" t="s">
        <v>26</v>
      </c>
      <c r="J427" s="1">
        <v>5</v>
      </c>
    </row>
    <row r="428" spans="1:10" ht="15" x14ac:dyDescent="0.4">
      <c r="A428" s="1">
        <v>1427</v>
      </c>
      <c r="B428" s="2">
        <v>46085</v>
      </c>
      <c r="C428" s="1" t="s">
        <v>8</v>
      </c>
      <c r="D428" s="1" t="s">
        <v>11</v>
      </c>
      <c r="E428" s="4">
        <v>2</v>
      </c>
      <c r="F428" s="1" cm="1">
        <f t="array" ref="F428">_xlfn.IFS(D428="Tea", 40, D428="Coffee", 60, D428="Bakery", 100, D428="Beverages", 80)</f>
        <v>60</v>
      </c>
      <c r="G428" s="1">
        <f t="shared" si="6"/>
        <v>120</v>
      </c>
      <c r="H428" s="1" t="s">
        <v>25</v>
      </c>
      <c r="I428" s="1" t="s">
        <v>22</v>
      </c>
      <c r="J428" s="1">
        <v>2</v>
      </c>
    </row>
    <row r="429" spans="1:10" ht="15" x14ac:dyDescent="0.4">
      <c r="A429" s="1">
        <v>1428</v>
      </c>
      <c r="B429" s="2">
        <v>46034</v>
      </c>
      <c r="C429" s="1" t="s">
        <v>8</v>
      </c>
      <c r="D429" s="1" t="s">
        <v>13</v>
      </c>
      <c r="E429" s="4">
        <v>1</v>
      </c>
      <c r="F429" s="1" cm="1">
        <f t="array" ref="F429">_xlfn.IFS(D429="Tea", 40, D429="Coffee", 60, D429="Bakery", 100, D429="Beverages", 80)</f>
        <v>100</v>
      </c>
      <c r="G429" s="1">
        <f t="shared" si="6"/>
        <v>100</v>
      </c>
      <c r="H429" s="1" t="s">
        <v>25</v>
      </c>
      <c r="I429" s="1" t="s">
        <v>23</v>
      </c>
      <c r="J429" s="1">
        <v>5</v>
      </c>
    </row>
    <row r="430" spans="1:10" ht="15" x14ac:dyDescent="0.4">
      <c r="A430" s="1">
        <v>1429</v>
      </c>
      <c r="B430" s="2">
        <v>46112</v>
      </c>
      <c r="C430" s="1" t="s">
        <v>12</v>
      </c>
      <c r="D430" s="1" t="s">
        <v>13</v>
      </c>
      <c r="E430" s="4">
        <v>3</v>
      </c>
      <c r="F430" s="1" cm="1">
        <f t="array" ref="F430">_xlfn.IFS(D430="Tea", 40, D430="Coffee", 60, D430="Bakery", 100, D430="Beverages", 80)</f>
        <v>100</v>
      </c>
      <c r="G430" s="1">
        <f t="shared" si="6"/>
        <v>300</v>
      </c>
      <c r="H430" s="1" t="s">
        <v>25</v>
      </c>
      <c r="I430" s="1" t="s">
        <v>26</v>
      </c>
      <c r="J430" s="1">
        <v>1</v>
      </c>
    </row>
    <row r="431" spans="1:10" ht="15" x14ac:dyDescent="0.4">
      <c r="A431" s="1">
        <v>1430</v>
      </c>
      <c r="B431" s="2">
        <v>46142</v>
      </c>
      <c r="C431" s="1" t="s">
        <v>8</v>
      </c>
      <c r="D431" s="1" t="s">
        <v>14</v>
      </c>
      <c r="E431" s="4">
        <v>3</v>
      </c>
      <c r="F431" s="1" cm="1">
        <f t="array" ref="F431">_xlfn.IFS(D431="Tea", 40, D431="Coffee", 60, D431="Bakery", 100, D431="Beverages", 80)</f>
        <v>80</v>
      </c>
      <c r="G431" s="1">
        <f t="shared" si="6"/>
        <v>240</v>
      </c>
      <c r="H431" s="1" t="s">
        <v>24</v>
      </c>
      <c r="I431" s="1" t="s">
        <v>22</v>
      </c>
      <c r="J431" s="1">
        <v>3</v>
      </c>
    </row>
    <row r="432" spans="1:10" ht="15" x14ac:dyDescent="0.4">
      <c r="A432" s="1">
        <v>1431</v>
      </c>
      <c r="B432" s="2">
        <v>46156</v>
      </c>
      <c r="C432" s="1" t="s">
        <v>8</v>
      </c>
      <c r="D432" s="1" t="s">
        <v>14</v>
      </c>
      <c r="E432" s="4">
        <v>1</v>
      </c>
      <c r="F432" s="1" cm="1">
        <f t="array" ref="F432">_xlfn.IFS(D432="Tea", 40, D432="Coffee", 60, D432="Bakery", 100, D432="Beverages", 80)</f>
        <v>80</v>
      </c>
      <c r="G432" s="1">
        <f t="shared" si="6"/>
        <v>80</v>
      </c>
      <c r="H432" s="1" t="s">
        <v>25</v>
      </c>
      <c r="I432" s="1" t="s">
        <v>22</v>
      </c>
      <c r="J432" s="1">
        <v>5</v>
      </c>
    </row>
    <row r="433" spans="1:10" ht="15" x14ac:dyDescent="0.4">
      <c r="A433" s="1">
        <v>1432</v>
      </c>
      <c r="B433" s="2">
        <v>46144</v>
      </c>
      <c r="C433" s="1" t="s">
        <v>10</v>
      </c>
      <c r="D433" s="1" t="s">
        <v>11</v>
      </c>
      <c r="E433" s="4">
        <v>1</v>
      </c>
      <c r="F433" s="1" cm="1">
        <f t="array" ref="F433">_xlfn.IFS(D433="Tea", 40, D433="Coffee", 60, D433="Bakery", 100, D433="Beverages", 80)</f>
        <v>60</v>
      </c>
      <c r="G433" s="1">
        <f t="shared" si="6"/>
        <v>60</v>
      </c>
      <c r="H433" s="1" t="s">
        <v>24</v>
      </c>
      <c r="I433" s="1" t="s">
        <v>26</v>
      </c>
      <c r="J433" s="1">
        <v>1</v>
      </c>
    </row>
    <row r="434" spans="1:10" ht="15" x14ac:dyDescent="0.4">
      <c r="A434" s="1">
        <v>1433</v>
      </c>
      <c r="B434" s="2">
        <v>46101</v>
      </c>
      <c r="C434" s="1" t="s">
        <v>10</v>
      </c>
      <c r="D434" s="1" t="s">
        <v>11</v>
      </c>
      <c r="E434" s="4">
        <v>2</v>
      </c>
      <c r="F434" s="1" cm="1">
        <f t="array" ref="F434">_xlfn.IFS(D434="Tea", 40, D434="Coffee", 60, D434="Bakery", 100, D434="Beverages", 80)</f>
        <v>60</v>
      </c>
      <c r="G434" s="1">
        <f t="shared" si="6"/>
        <v>120</v>
      </c>
      <c r="H434" s="1" t="s">
        <v>21</v>
      </c>
      <c r="I434" s="1" t="s">
        <v>26</v>
      </c>
      <c r="J434" s="1">
        <v>2</v>
      </c>
    </row>
    <row r="435" spans="1:10" ht="15" x14ac:dyDescent="0.4">
      <c r="A435" s="1">
        <v>1434</v>
      </c>
      <c r="B435" s="2">
        <v>46027</v>
      </c>
      <c r="C435" s="1" t="s">
        <v>10</v>
      </c>
      <c r="D435" s="1" t="s">
        <v>13</v>
      </c>
      <c r="E435" s="4">
        <v>1</v>
      </c>
      <c r="F435" s="1" cm="1">
        <f t="array" ref="F435">_xlfn.IFS(D435="Tea", 40, D435="Coffee", 60, D435="Bakery", 100, D435="Beverages", 80)</f>
        <v>100</v>
      </c>
      <c r="G435" s="1">
        <f t="shared" si="6"/>
        <v>100</v>
      </c>
      <c r="H435" s="1" t="s">
        <v>25</v>
      </c>
      <c r="I435" s="1" t="s">
        <v>22</v>
      </c>
      <c r="J435" s="1">
        <v>2</v>
      </c>
    </row>
    <row r="436" spans="1:10" ht="15" x14ac:dyDescent="0.4">
      <c r="A436" s="1">
        <v>1435</v>
      </c>
      <c r="B436" s="2">
        <v>46080</v>
      </c>
      <c r="C436" s="1" t="s">
        <v>10</v>
      </c>
      <c r="D436" s="1" t="s">
        <v>11</v>
      </c>
      <c r="E436" s="4">
        <v>3</v>
      </c>
      <c r="F436" s="1" cm="1">
        <f t="array" ref="F436">_xlfn.IFS(D436="Tea", 40, D436="Coffee", 60, D436="Bakery", 100, D436="Beverages", 80)</f>
        <v>60</v>
      </c>
      <c r="G436" s="1">
        <f t="shared" si="6"/>
        <v>180</v>
      </c>
      <c r="H436" s="1" t="s">
        <v>24</v>
      </c>
      <c r="I436" s="1" t="s">
        <v>23</v>
      </c>
      <c r="J436" s="1">
        <v>5</v>
      </c>
    </row>
    <row r="437" spans="1:10" ht="15" x14ac:dyDescent="0.4">
      <c r="A437" s="1">
        <v>1436</v>
      </c>
      <c r="B437" s="2">
        <v>46151</v>
      </c>
      <c r="C437" s="1" t="s">
        <v>12</v>
      </c>
      <c r="D437" s="1" t="s">
        <v>13</v>
      </c>
      <c r="E437" s="4">
        <v>3</v>
      </c>
      <c r="F437" s="1" cm="1">
        <f t="array" ref="F437">_xlfn.IFS(D437="Tea", 40, D437="Coffee", 60, D437="Bakery", 100, D437="Beverages", 80)</f>
        <v>100</v>
      </c>
      <c r="G437" s="1">
        <f t="shared" si="6"/>
        <v>300</v>
      </c>
      <c r="H437" s="1" t="s">
        <v>25</v>
      </c>
      <c r="I437" s="1" t="s">
        <v>22</v>
      </c>
      <c r="J437" s="1">
        <v>3</v>
      </c>
    </row>
    <row r="438" spans="1:10" ht="15" x14ac:dyDescent="0.4">
      <c r="A438" s="1">
        <v>1437</v>
      </c>
      <c r="B438" s="2">
        <v>46069</v>
      </c>
      <c r="C438" s="1" t="s">
        <v>12</v>
      </c>
      <c r="D438" s="1" t="s">
        <v>13</v>
      </c>
      <c r="E438" s="4">
        <v>3</v>
      </c>
      <c r="F438" s="1" cm="1">
        <f t="array" ref="F438">_xlfn.IFS(D438="Tea", 40, D438="Coffee", 60, D438="Bakery", 100, D438="Beverages", 80)</f>
        <v>100</v>
      </c>
      <c r="G438" s="1">
        <f t="shared" si="6"/>
        <v>300</v>
      </c>
      <c r="H438" s="1" t="s">
        <v>24</v>
      </c>
      <c r="I438" s="1" t="s">
        <v>26</v>
      </c>
      <c r="J438" s="1">
        <v>4</v>
      </c>
    </row>
    <row r="439" spans="1:10" ht="15" x14ac:dyDescent="0.4">
      <c r="A439" s="1">
        <v>1438</v>
      </c>
      <c r="B439" s="2">
        <v>46079</v>
      </c>
      <c r="C439" s="1" t="s">
        <v>12</v>
      </c>
      <c r="D439" s="1" t="s">
        <v>9</v>
      </c>
      <c r="E439" s="4">
        <v>3</v>
      </c>
      <c r="F439" s="1" cm="1">
        <f t="array" ref="F439">_xlfn.IFS(D439="Tea", 40, D439="Coffee", 60, D439="Bakery", 100, D439="Beverages", 80)</f>
        <v>40</v>
      </c>
      <c r="G439" s="1">
        <f t="shared" si="6"/>
        <v>120</v>
      </c>
      <c r="H439" s="1" t="s">
        <v>21</v>
      </c>
      <c r="I439" s="1" t="s">
        <v>22</v>
      </c>
      <c r="J439" s="1">
        <v>1</v>
      </c>
    </row>
    <row r="440" spans="1:10" ht="15" x14ac:dyDescent="0.4">
      <c r="A440" s="1">
        <v>1439</v>
      </c>
      <c r="B440" s="2">
        <v>46149</v>
      </c>
      <c r="C440" s="1" t="s">
        <v>12</v>
      </c>
      <c r="D440" s="1" t="s">
        <v>11</v>
      </c>
      <c r="E440" s="4">
        <v>2</v>
      </c>
      <c r="F440" s="1" cm="1">
        <f t="array" ref="F440">_xlfn.IFS(D440="Tea", 40, D440="Coffee", 60, D440="Bakery", 100, D440="Beverages", 80)</f>
        <v>60</v>
      </c>
      <c r="G440" s="1">
        <f t="shared" si="6"/>
        <v>120</v>
      </c>
      <c r="H440" s="1" t="s">
        <v>24</v>
      </c>
      <c r="I440" s="1" t="s">
        <v>26</v>
      </c>
      <c r="J440" s="1">
        <v>1</v>
      </c>
    </row>
    <row r="441" spans="1:10" ht="15" x14ac:dyDescent="0.4">
      <c r="A441" s="1">
        <v>1440</v>
      </c>
      <c r="B441" s="2">
        <v>46153</v>
      </c>
      <c r="C441" s="1" t="s">
        <v>8</v>
      </c>
      <c r="D441" s="1" t="s">
        <v>13</v>
      </c>
      <c r="E441" s="4">
        <v>1</v>
      </c>
      <c r="F441" s="1" cm="1">
        <f t="array" ref="F441">_xlfn.IFS(D441="Tea", 40, D441="Coffee", 60, D441="Bakery", 100, D441="Beverages", 80)</f>
        <v>100</v>
      </c>
      <c r="G441" s="1">
        <f t="shared" si="6"/>
        <v>100</v>
      </c>
      <c r="H441" s="1" t="s">
        <v>25</v>
      </c>
      <c r="I441" s="1" t="s">
        <v>22</v>
      </c>
      <c r="J441" s="1">
        <v>3</v>
      </c>
    </row>
    <row r="442" spans="1:10" ht="15" x14ac:dyDescent="0.4">
      <c r="A442" s="1">
        <v>1441</v>
      </c>
      <c r="B442" s="2">
        <v>46157</v>
      </c>
      <c r="C442" s="1" t="s">
        <v>12</v>
      </c>
      <c r="D442" s="1" t="s">
        <v>9</v>
      </c>
      <c r="E442" s="4">
        <v>3</v>
      </c>
      <c r="F442" s="1" cm="1">
        <f t="array" ref="F442">_xlfn.IFS(D442="Tea", 40, D442="Coffee", 60, D442="Bakery", 100, D442="Beverages", 80)</f>
        <v>40</v>
      </c>
      <c r="G442" s="1">
        <f t="shared" si="6"/>
        <v>120</v>
      </c>
      <c r="H442" s="1" t="s">
        <v>25</v>
      </c>
      <c r="I442" s="1" t="s">
        <v>22</v>
      </c>
      <c r="J442" s="1">
        <v>3</v>
      </c>
    </row>
    <row r="443" spans="1:10" ht="15" x14ac:dyDescent="0.4">
      <c r="A443" s="1">
        <v>1442</v>
      </c>
      <c r="B443" s="2">
        <v>46126</v>
      </c>
      <c r="C443" s="1" t="s">
        <v>10</v>
      </c>
      <c r="D443" s="1" t="s">
        <v>11</v>
      </c>
      <c r="E443" s="4">
        <v>2</v>
      </c>
      <c r="F443" s="1" cm="1">
        <f t="array" ref="F443">_xlfn.IFS(D443="Tea", 40, D443="Coffee", 60, D443="Bakery", 100, D443="Beverages", 80)</f>
        <v>60</v>
      </c>
      <c r="G443" s="1">
        <f t="shared" si="6"/>
        <v>120</v>
      </c>
      <c r="H443" s="1" t="s">
        <v>25</v>
      </c>
      <c r="I443" s="1" t="s">
        <v>23</v>
      </c>
      <c r="J443" s="1">
        <v>1</v>
      </c>
    </row>
    <row r="444" spans="1:10" ht="15" x14ac:dyDescent="0.4">
      <c r="A444" s="1">
        <v>1443</v>
      </c>
      <c r="B444" s="2">
        <v>46109</v>
      </c>
      <c r="C444" s="1" t="s">
        <v>12</v>
      </c>
      <c r="D444" s="1" t="s">
        <v>13</v>
      </c>
      <c r="E444" s="4">
        <v>1</v>
      </c>
      <c r="F444" s="1" cm="1">
        <f t="array" ref="F444">_xlfn.IFS(D444="Tea", 40, D444="Coffee", 60, D444="Bakery", 100, D444="Beverages", 80)</f>
        <v>100</v>
      </c>
      <c r="G444" s="1">
        <f t="shared" si="6"/>
        <v>100</v>
      </c>
      <c r="H444" s="1" t="s">
        <v>21</v>
      </c>
      <c r="I444" s="1" t="s">
        <v>22</v>
      </c>
      <c r="J444" s="1">
        <v>5</v>
      </c>
    </row>
    <row r="445" spans="1:10" ht="15" x14ac:dyDescent="0.4">
      <c r="A445" s="1">
        <v>1444</v>
      </c>
      <c r="B445" s="2">
        <v>46050</v>
      </c>
      <c r="C445" s="1" t="s">
        <v>10</v>
      </c>
      <c r="D445" s="1" t="s">
        <v>9</v>
      </c>
      <c r="E445" s="4">
        <v>3</v>
      </c>
      <c r="F445" s="1" cm="1">
        <f t="array" ref="F445">_xlfn.IFS(D445="Tea", 40, D445="Coffee", 60, D445="Bakery", 100, D445="Beverages", 80)</f>
        <v>40</v>
      </c>
      <c r="G445" s="1">
        <f t="shared" si="6"/>
        <v>120</v>
      </c>
      <c r="H445" s="1" t="s">
        <v>25</v>
      </c>
      <c r="I445" s="1" t="s">
        <v>22</v>
      </c>
      <c r="J445" s="1">
        <v>1</v>
      </c>
    </row>
    <row r="446" spans="1:10" ht="15" x14ac:dyDescent="0.4">
      <c r="A446" s="1">
        <v>1445</v>
      </c>
      <c r="B446" s="2">
        <v>46118</v>
      </c>
      <c r="C446" s="1" t="s">
        <v>10</v>
      </c>
      <c r="D446" s="1" t="s">
        <v>11</v>
      </c>
      <c r="E446" s="4">
        <v>1</v>
      </c>
      <c r="F446" s="1" cm="1">
        <f t="array" ref="F446">_xlfn.IFS(D446="Tea", 40, D446="Coffee", 60, D446="Bakery", 100, D446="Beverages", 80)</f>
        <v>60</v>
      </c>
      <c r="G446" s="1">
        <f t="shared" si="6"/>
        <v>60</v>
      </c>
      <c r="H446" s="1" t="s">
        <v>25</v>
      </c>
      <c r="I446" s="1" t="s">
        <v>23</v>
      </c>
      <c r="J446" s="1">
        <v>5</v>
      </c>
    </row>
    <row r="447" spans="1:10" ht="15" x14ac:dyDescent="0.4">
      <c r="A447" s="1">
        <v>1446</v>
      </c>
      <c r="B447" s="2">
        <v>46088</v>
      </c>
      <c r="C447" s="1" t="s">
        <v>10</v>
      </c>
      <c r="D447" s="1" t="s">
        <v>11</v>
      </c>
      <c r="E447" s="4">
        <v>2</v>
      </c>
      <c r="F447" s="1" cm="1">
        <f t="array" ref="F447">_xlfn.IFS(D447="Tea", 40, D447="Coffee", 60, D447="Bakery", 100, D447="Beverages", 80)</f>
        <v>60</v>
      </c>
      <c r="G447" s="1">
        <f t="shared" si="6"/>
        <v>120</v>
      </c>
      <c r="H447" s="1" t="s">
        <v>21</v>
      </c>
      <c r="I447" s="1" t="s">
        <v>23</v>
      </c>
      <c r="J447" s="1">
        <v>3</v>
      </c>
    </row>
    <row r="448" spans="1:10" ht="15" x14ac:dyDescent="0.4">
      <c r="A448" s="1">
        <v>1447</v>
      </c>
      <c r="B448" s="2">
        <v>46131</v>
      </c>
      <c r="C448" s="1" t="s">
        <v>12</v>
      </c>
      <c r="D448" s="1" t="s">
        <v>14</v>
      </c>
      <c r="E448" s="4">
        <v>1</v>
      </c>
      <c r="F448" s="1" cm="1">
        <f t="array" ref="F448">_xlfn.IFS(D448="Tea", 40, D448="Coffee", 60, D448="Bakery", 100, D448="Beverages", 80)</f>
        <v>80</v>
      </c>
      <c r="G448" s="1">
        <f t="shared" si="6"/>
        <v>80</v>
      </c>
      <c r="H448" s="1" t="s">
        <v>24</v>
      </c>
      <c r="I448" s="1" t="s">
        <v>26</v>
      </c>
      <c r="J448" s="1">
        <v>2</v>
      </c>
    </row>
    <row r="449" spans="1:10" ht="15" x14ac:dyDescent="0.4">
      <c r="A449" s="1">
        <v>1448</v>
      </c>
      <c r="B449" s="2">
        <v>46036</v>
      </c>
      <c r="C449" s="1" t="s">
        <v>8</v>
      </c>
      <c r="D449" s="1" t="s">
        <v>11</v>
      </c>
      <c r="E449" s="4">
        <v>3</v>
      </c>
      <c r="F449" s="1" cm="1">
        <f t="array" ref="F449">_xlfn.IFS(D449="Tea", 40, D449="Coffee", 60, D449="Bakery", 100, D449="Beverages", 80)</f>
        <v>60</v>
      </c>
      <c r="G449" s="1">
        <f t="shared" si="6"/>
        <v>180</v>
      </c>
      <c r="H449" s="1" t="s">
        <v>25</v>
      </c>
      <c r="I449" s="1" t="s">
        <v>26</v>
      </c>
      <c r="J449" s="1">
        <v>1</v>
      </c>
    </row>
    <row r="450" spans="1:10" ht="15" x14ac:dyDescent="0.4">
      <c r="A450" s="1">
        <v>1449</v>
      </c>
      <c r="B450" s="2">
        <v>46068</v>
      </c>
      <c r="C450" s="1" t="s">
        <v>8</v>
      </c>
      <c r="D450" s="1" t="s">
        <v>14</v>
      </c>
      <c r="E450" s="4">
        <v>1</v>
      </c>
      <c r="F450" s="1" cm="1">
        <f t="array" ref="F450">_xlfn.IFS(D450="Tea", 40, D450="Coffee", 60, D450="Bakery", 100, D450="Beverages", 80)</f>
        <v>80</v>
      </c>
      <c r="G450" s="1">
        <f t="shared" si="6"/>
        <v>80</v>
      </c>
      <c r="H450" s="1" t="s">
        <v>25</v>
      </c>
      <c r="I450" s="1" t="s">
        <v>23</v>
      </c>
      <c r="J450" s="1">
        <v>1</v>
      </c>
    </row>
    <row r="451" spans="1:10" ht="15" x14ac:dyDescent="0.4">
      <c r="A451" s="1">
        <v>1450</v>
      </c>
      <c r="B451" s="2">
        <v>46082</v>
      </c>
      <c r="C451" s="1" t="s">
        <v>8</v>
      </c>
      <c r="D451" s="1" t="s">
        <v>11</v>
      </c>
      <c r="E451" s="4">
        <v>2</v>
      </c>
      <c r="F451" s="1" cm="1">
        <f t="array" ref="F451">_xlfn.IFS(D451="Tea", 40, D451="Coffee", 60, D451="Bakery", 100, D451="Beverages", 80)</f>
        <v>60</v>
      </c>
      <c r="G451" s="1">
        <f t="shared" ref="G451:G514" si="7">E451*F451</f>
        <v>120</v>
      </c>
      <c r="H451" s="1" t="s">
        <v>25</v>
      </c>
      <c r="I451" s="1" t="s">
        <v>26</v>
      </c>
      <c r="J451" s="1">
        <v>4</v>
      </c>
    </row>
    <row r="452" spans="1:10" ht="15" x14ac:dyDescent="0.4">
      <c r="A452" s="1">
        <v>1451</v>
      </c>
      <c r="B452" s="2">
        <v>46055</v>
      </c>
      <c r="C452" s="1" t="s">
        <v>10</v>
      </c>
      <c r="D452" s="1" t="s">
        <v>13</v>
      </c>
      <c r="E452" s="4">
        <v>1</v>
      </c>
      <c r="F452" s="1" cm="1">
        <f t="array" ref="F452">_xlfn.IFS(D452="Tea", 40, D452="Coffee", 60, D452="Bakery", 100, D452="Beverages", 80)</f>
        <v>100</v>
      </c>
      <c r="G452" s="1">
        <f t="shared" si="7"/>
        <v>100</v>
      </c>
      <c r="H452" s="1" t="s">
        <v>25</v>
      </c>
      <c r="I452" s="1" t="s">
        <v>22</v>
      </c>
      <c r="J452" s="1">
        <v>3</v>
      </c>
    </row>
    <row r="453" spans="1:10" ht="15" x14ac:dyDescent="0.4">
      <c r="A453" s="1">
        <v>1452</v>
      </c>
      <c r="B453" s="2">
        <v>46159</v>
      </c>
      <c r="C453" s="1" t="s">
        <v>8</v>
      </c>
      <c r="D453" s="1" t="s">
        <v>14</v>
      </c>
      <c r="E453" s="4">
        <v>3</v>
      </c>
      <c r="F453" s="1" cm="1">
        <f t="array" ref="F453">_xlfn.IFS(D453="Tea", 40, D453="Coffee", 60, D453="Bakery", 100, D453="Beverages", 80)</f>
        <v>80</v>
      </c>
      <c r="G453" s="1">
        <f t="shared" si="7"/>
        <v>240</v>
      </c>
      <c r="H453" s="1" t="s">
        <v>25</v>
      </c>
      <c r="I453" s="1" t="s">
        <v>22</v>
      </c>
      <c r="J453" s="1">
        <v>3</v>
      </c>
    </row>
    <row r="454" spans="1:10" ht="15" x14ac:dyDescent="0.4">
      <c r="A454" s="1">
        <v>1453</v>
      </c>
      <c r="B454" s="2">
        <v>46153</v>
      </c>
      <c r="C454" s="1" t="s">
        <v>12</v>
      </c>
      <c r="D454" s="1" t="s">
        <v>14</v>
      </c>
      <c r="E454" s="4">
        <v>2</v>
      </c>
      <c r="F454" s="1" cm="1">
        <f t="array" ref="F454">_xlfn.IFS(D454="Tea", 40, D454="Coffee", 60, D454="Bakery", 100, D454="Beverages", 80)</f>
        <v>80</v>
      </c>
      <c r="G454" s="1">
        <f t="shared" si="7"/>
        <v>160</v>
      </c>
      <c r="H454" s="1" t="s">
        <v>21</v>
      </c>
      <c r="I454" s="1" t="s">
        <v>26</v>
      </c>
      <c r="J454" s="1">
        <v>3</v>
      </c>
    </row>
    <row r="455" spans="1:10" ht="15" x14ac:dyDescent="0.4">
      <c r="A455" s="1">
        <v>1454</v>
      </c>
      <c r="B455" s="2">
        <v>46073</v>
      </c>
      <c r="C455" s="1" t="s">
        <v>8</v>
      </c>
      <c r="D455" s="1" t="s">
        <v>13</v>
      </c>
      <c r="E455" s="4">
        <v>1</v>
      </c>
      <c r="F455" s="1" cm="1">
        <f t="array" ref="F455">_xlfn.IFS(D455="Tea", 40, D455="Coffee", 60, D455="Bakery", 100, D455="Beverages", 80)</f>
        <v>100</v>
      </c>
      <c r="G455" s="1">
        <f t="shared" si="7"/>
        <v>100</v>
      </c>
      <c r="H455" s="1" t="s">
        <v>21</v>
      </c>
      <c r="I455" s="1" t="s">
        <v>26</v>
      </c>
      <c r="J455" s="1">
        <v>3</v>
      </c>
    </row>
    <row r="456" spans="1:10" ht="15" x14ac:dyDescent="0.4">
      <c r="A456" s="1">
        <v>1455</v>
      </c>
      <c r="B456" s="2">
        <v>46120</v>
      </c>
      <c r="C456" s="1" t="s">
        <v>8</v>
      </c>
      <c r="D456" s="1" t="s">
        <v>14</v>
      </c>
      <c r="E456" s="4">
        <v>2</v>
      </c>
      <c r="F456" s="1" cm="1">
        <f t="array" ref="F456">_xlfn.IFS(D456="Tea", 40, D456="Coffee", 60, D456="Bakery", 100, D456="Beverages", 80)</f>
        <v>80</v>
      </c>
      <c r="G456" s="1">
        <f t="shared" si="7"/>
        <v>160</v>
      </c>
      <c r="H456" s="1" t="s">
        <v>24</v>
      </c>
      <c r="I456" s="1" t="s">
        <v>23</v>
      </c>
      <c r="J456" s="1">
        <v>3</v>
      </c>
    </row>
    <row r="457" spans="1:10" ht="15" x14ac:dyDescent="0.4">
      <c r="A457" s="1">
        <v>1456</v>
      </c>
      <c r="B457" s="2">
        <v>46200</v>
      </c>
      <c r="C457" s="1" t="s">
        <v>8</v>
      </c>
      <c r="D457" s="1" t="s">
        <v>11</v>
      </c>
      <c r="E457" s="4">
        <v>2</v>
      </c>
      <c r="F457" s="1" cm="1">
        <f t="array" ref="F457">_xlfn.IFS(D457="Tea", 40, D457="Coffee", 60, D457="Bakery", 100, D457="Beverages", 80)</f>
        <v>60</v>
      </c>
      <c r="G457" s="1">
        <f t="shared" si="7"/>
        <v>120</v>
      </c>
      <c r="H457" s="1" t="s">
        <v>24</v>
      </c>
      <c r="I457" s="1" t="s">
        <v>22</v>
      </c>
      <c r="J457" s="1">
        <v>3</v>
      </c>
    </row>
    <row r="458" spans="1:10" ht="15" x14ac:dyDescent="0.4">
      <c r="A458" s="1">
        <v>1457</v>
      </c>
      <c r="B458" s="2">
        <v>46183</v>
      </c>
      <c r="C458" s="1" t="s">
        <v>10</v>
      </c>
      <c r="D458" s="1" t="s">
        <v>11</v>
      </c>
      <c r="E458" s="4">
        <v>1</v>
      </c>
      <c r="F458" s="1" cm="1">
        <f t="array" ref="F458">_xlfn.IFS(D458="Tea", 40, D458="Coffee", 60, D458="Bakery", 100, D458="Beverages", 80)</f>
        <v>60</v>
      </c>
      <c r="G458" s="1">
        <f t="shared" si="7"/>
        <v>60</v>
      </c>
      <c r="H458" s="1" t="s">
        <v>24</v>
      </c>
      <c r="I458" s="1" t="s">
        <v>23</v>
      </c>
      <c r="J458" s="1">
        <v>2</v>
      </c>
    </row>
    <row r="459" spans="1:10" ht="15" x14ac:dyDescent="0.4">
      <c r="A459" s="1">
        <v>1458</v>
      </c>
      <c r="B459" s="2">
        <v>46164</v>
      </c>
      <c r="C459" s="1" t="s">
        <v>10</v>
      </c>
      <c r="D459" s="1" t="s">
        <v>11</v>
      </c>
      <c r="E459" s="4">
        <v>2</v>
      </c>
      <c r="F459" s="1" cm="1">
        <f t="array" ref="F459">_xlfn.IFS(D459="Tea", 40, D459="Coffee", 60, D459="Bakery", 100, D459="Beverages", 80)</f>
        <v>60</v>
      </c>
      <c r="G459" s="1">
        <f t="shared" si="7"/>
        <v>120</v>
      </c>
      <c r="H459" s="1" t="s">
        <v>24</v>
      </c>
      <c r="I459" s="1" t="s">
        <v>22</v>
      </c>
      <c r="J459" s="1">
        <v>5</v>
      </c>
    </row>
    <row r="460" spans="1:10" ht="15" x14ac:dyDescent="0.4">
      <c r="A460" s="1">
        <v>1459</v>
      </c>
      <c r="B460" s="2">
        <v>46024</v>
      </c>
      <c r="C460" s="1" t="s">
        <v>12</v>
      </c>
      <c r="D460" s="1" t="s">
        <v>13</v>
      </c>
      <c r="E460" s="4">
        <v>1</v>
      </c>
      <c r="F460" s="1" cm="1">
        <f t="array" ref="F460">_xlfn.IFS(D460="Tea", 40, D460="Coffee", 60, D460="Bakery", 100, D460="Beverages", 80)</f>
        <v>100</v>
      </c>
      <c r="G460" s="1">
        <f t="shared" si="7"/>
        <v>100</v>
      </c>
      <c r="H460" s="1" t="s">
        <v>21</v>
      </c>
      <c r="I460" s="1" t="s">
        <v>23</v>
      </c>
      <c r="J460" s="1">
        <v>2</v>
      </c>
    </row>
    <row r="461" spans="1:10" ht="15" x14ac:dyDescent="0.4">
      <c r="A461" s="1">
        <v>1460</v>
      </c>
      <c r="B461" s="2">
        <v>46199</v>
      </c>
      <c r="C461" s="1" t="s">
        <v>8</v>
      </c>
      <c r="D461" s="1" t="s">
        <v>14</v>
      </c>
      <c r="E461" s="4">
        <v>1</v>
      </c>
      <c r="F461" s="1" cm="1">
        <f t="array" ref="F461">_xlfn.IFS(D461="Tea", 40, D461="Coffee", 60, D461="Bakery", 100, D461="Beverages", 80)</f>
        <v>80</v>
      </c>
      <c r="G461" s="1">
        <f t="shared" si="7"/>
        <v>80</v>
      </c>
      <c r="H461" s="1" t="s">
        <v>21</v>
      </c>
      <c r="I461" s="1" t="s">
        <v>22</v>
      </c>
      <c r="J461" s="1">
        <v>5</v>
      </c>
    </row>
    <row r="462" spans="1:10" ht="15" x14ac:dyDescent="0.4">
      <c r="A462" s="1">
        <v>1461</v>
      </c>
      <c r="B462" s="2">
        <v>46179</v>
      </c>
      <c r="C462" s="1" t="s">
        <v>8</v>
      </c>
      <c r="D462" s="1" t="s">
        <v>13</v>
      </c>
      <c r="E462" s="4">
        <v>1</v>
      </c>
      <c r="F462" s="1" cm="1">
        <f t="array" ref="F462">_xlfn.IFS(D462="Tea", 40, D462="Coffee", 60, D462="Bakery", 100, D462="Beverages", 80)</f>
        <v>100</v>
      </c>
      <c r="G462" s="1">
        <f t="shared" si="7"/>
        <v>100</v>
      </c>
      <c r="H462" s="1" t="s">
        <v>24</v>
      </c>
      <c r="I462" s="1" t="s">
        <v>26</v>
      </c>
      <c r="J462" s="1">
        <v>1</v>
      </c>
    </row>
    <row r="463" spans="1:10" ht="15" x14ac:dyDescent="0.4">
      <c r="A463" s="1">
        <v>1462</v>
      </c>
      <c r="B463" s="2">
        <v>46166</v>
      </c>
      <c r="C463" s="1" t="s">
        <v>10</v>
      </c>
      <c r="D463" s="1" t="s">
        <v>14</v>
      </c>
      <c r="E463" s="4">
        <v>2</v>
      </c>
      <c r="F463" s="1" cm="1">
        <f t="array" ref="F463">_xlfn.IFS(D463="Tea", 40, D463="Coffee", 60, D463="Bakery", 100, D463="Beverages", 80)</f>
        <v>80</v>
      </c>
      <c r="G463" s="1">
        <f t="shared" si="7"/>
        <v>160</v>
      </c>
      <c r="H463" s="1" t="s">
        <v>21</v>
      </c>
      <c r="I463" s="1" t="s">
        <v>23</v>
      </c>
      <c r="J463" s="1">
        <v>5</v>
      </c>
    </row>
    <row r="464" spans="1:10" ht="15" x14ac:dyDescent="0.4">
      <c r="A464" s="1">
        <v>1463</v>
      </c>
      <c r="B464" s="2">
        <v>46195</v>
      </c>
      <c r="C464" s="1" t="s">
        <v>8</v>
      </c>
      <c r="D464" s="1" t="s">
        <v>13</v>
      </c>
      <c r="E464" s="4">
        <v>2</v>
      </c>
      <c r="F464" s="1" cm="1">
        <f t="array" ref="F464">_xlfn.IFS(D464="Tea", 40, D464="Coffee", 60, D464="Bakery", 100, D464="Beverages", 80)</f>
        <v>100</v>
      </c>
      <c r="G464" s="1">
        <f t="shared" si="7"/>
        <v>200</v>
      </c>
      <c r="H464" s="1" t="s">
        <v>21</v>
      </c>
      <c r="I464" s="1" t="s">
        <v>22</v>
      </c>
      <c r="J464" s="1">
        <v>3</v>
      </c>
    </row>
    <row r="465" spans="1:10" ht="15" x14ac:dyDescent="0.4">
      <c r="A465" s="1">
        <v>1464</v>
      </c>
      <c r="B465" s="2">
        <v>46120</v>
      </c>
      <c r="C465" s="1" t="s">
        <v>10</v>
      </c>
      <c r="D465" s="1" t="s">
        <v>14</v>
      </c>
      <c r="E465" s="4">
        <v>1</v>
      </c>
      <c r="F465" s="1" cm="1">
        <f t="array" ref="F465">_xlfn.IFS(D465="Tea", 40, D465="Coffee", 60, D465="Bakery", 100, D465="Beverages", 80)</f>
        <v>80</v>
      </c>
      <c r="G465" s="1">
        <f t="shared" si="7"/>
        <v>80</v>
      </c>
      <c r="H465" s="1" t="s">
        <v>24</v>
      </c>
      <c r="I465" s="1" t="s">
        <v>23</v>
      </c>
      <c r="J465" s="1">
        <v>1</v>
      </c>
    </row>
    <row r="466" spans="1:10" ht="15" x14ac:dyDescent="0.4">
      <c r="A466" s="1">
        <v>1465</v>
      </c>
      <c r="B466" s="2">
        <v>46034</v>
      </c>
      <c r="C466" s="1" t="s">
        <v>12</v>
      </c>
      <c r="D466" s="1" t="s">
        <v>14</v>
      </c>
      <c r="E466" s="4">
        <v>1</v>
      </c>
      <c r="F466" s="1" cm="1">
        <f t="array" ref="F466">_xlfn.IFS(D466="Tea", 40, D466="Coffee", 60, D466="Bakery", 100, D466="Beverages", 80)</f>
        <v>80</v>
      </c>
      <c r="G466" s="1">
        <f t="shared" si="7"/>
        <v>80</v>
      </c>
      <c r="H466" s="1" t="s">
        <v>24</v>
      </c>
      <c r="I466" s="1" t="s">
        <v>26</v>
      </c>
      <c r="J466" s="1">
        <v>1</v>
      </c>
    </row>
    <row r="467" spans="1:10" ht="15" x14ac:dyDescent="0.4">
      <c r="A467" s="1">
        <v>1466</v>
      </c>
      <c r="B467" s="2">
        <v>46112</v>
      </c>
      <c r="C467" s="1" t="s">
        <v>12</v>
      </c>
      <c r="D467" s="1" t="s">
        <v>13</v>
      </c>
      <c r="E467" s="4">
        <v>1</v>
      </c>
      <c r="F467" s="1" cm="1">
        <f t="array" ref="F467">_xlfn.IFS(D467="Tea", 40, D467="Coffee", 60, D467="Bakery", 100, D467="Beverages", 80)</f>
        <v>100</v>
      </c>
      <c r="G467" s="1">
        <f t="shared" si="7"/>
        <v>100</v>
      </c>
      <c r="H467" s="1" t="s">
        <v>25</v>
      </c>
      <c r="I467" s="1" t="s">
        <v>22</v>
      </c>
      <c r="J467" s="1">
        <v>1</v>
      </c>
    </row>
    <row r="468" spans="1:10" ht="15" x14ac:dyDescent="0.4">
      <c r="A468" s="1">
        <v>1467</v>
      </c>
      <c r="B468" s="2">
        <v>46166</v>
      </c>
      <c r="C468" s="1" t="s">
        <v>10</v>
      </c>
      <c r="D468" s="1" t="s">
        <v>9</v>
      </c>
      <c r="E468" s="4">
        <v>2</v>
      </c>
      <c r="F468" s="1" cm="1">
        <f t="array" ref="F468">_xlfn.IFS(D468="Tea", 40, D468="Coffee", 60, D468="Bakery", 100, D468="Beverages", 80)</f>
        <v>40</v>
      </c>
      <c r="G468" s="1">
        <f t="shared" si="7"/>
        <v>80</v>
      </c>
      <c r="H468" s="1" t="s">
        <v>24</v>
      </c>
      <c r="I468" s="1" t="s">
        <v>26</v>
      </c>
      <c r="J468" s="1">
        <v>5</v>
      </c>
    </row>
    <row r="469" spans="1:10" ht="15" x14ac:dyDescent="0.4">
      <c r="A469" s="1">
        <v>1468</v>
      </c>
      <c r="B469" s="2">
        <v>46092</v>
      </c>
      <c r="C469" s="1" t="s">
        <v>10</v>
      </c>
      <c r="D469" s="1" t="s">
        <v>11</v>
      </c>
      <c r="E469" s="4">
        <v>2</v>
      </c>
      <c r="F469" s="1" cm="1">
        <f t="array" ref="F469">_xlfn.IFS(D469="Tea", 40, D469="Coffee", 60, D469="Bakery", 100, D469="Beverages", 80)</f>
        <v>60</v>
      </c>
      <c r="G469" s="1">
        <f t="shared" si="7"/>
        <v>120</v>
      </c>
      <c r="H469" s="1" t="s">
        <v>25</v>
      </c>
      <c r="I469" s="1" t="s">
        <v>22</v>
      </c>
      <c r="J469" s="1">
        <v>2</v>
      </c>
    </row>
    <row r="470" spans="1:10" ht="15" x14ac:dyDescent="0.4">
      <c r="A470" s="1">
        <v>1469</v>
      </c>
      <c r="B470" s="2">
        <v>46128</v>
      </c>
      <c r="C470" s="1" t="s">
        <v>8</v>
      </c>
      <c r="D470" s="1" t="s">
        <v>14</v>
      </c>
      <c r="E470" s="4">
        <v>2</v>
      </c>
      <c r="F470" s="1" cm="1">
        <f t="array" ref="F470">_xlfn.IFS(D470="Tea", 40, D470="Coffee", 60, D470="Bakery", 100, D470="Beverages", 80)</f>
        <v>80</v>
      </c>
      <c r="G470" s="1">
        <f t="shared" si="7"/>
        <v>160</v>
      </c>
      <c r="H470" s="1" t="s">
        <v>24</v>
      </c>
      <c r="I470" s="1" t="s">
        <v>22</v>
      </c>
      <c r="J470" s="1">
        <v>5</v>
      </c>
    </row>
    <row r="471" spans="1:10" ht="15" x14ac:dyDescent="0.4">
      <c r="A471" s="1">
        <v>1470</v>
      </c>
      <c r="B471" s="2">
        <v>46199</v>
      </c>
      <c r="C471" s="1" t="s">
        <v>8</v>
      </c>
      <c r="D471" s="1" t="s">
        <v>13</v>
      </c>
      <c r="E471" s="4">
        <v>3</v>
      </c>
      <c r="F471" s="1" cm="1">
        <f t="array" ref="F471">_xlfn.IFS(D471="Tea", 40, D471="Coffee", 60, D471="Bakery", 100, D471="Beverages", 80)</f>
        <v>100</v>
      </c>
      <c r="G471" s="1">
        <f t="shared" si="7"/>
        <v>300</v>
      </c>
      <c r="H471" s="1" t="s">
        <v>25</v>
      </c>
      <c r="I471" s="1" t="s">
        <v>23</v>
      </c>
      <c r="J471" s="1">
        <v>4</v>
      </c>
    </row>
    <row r="472" spans="1:10" ht="15" x14ac:dyDescent="0.4">
      <c r="A472" s="1">
        <v>1471</v>
      </c>
      <c r="B472" s="2">
        <v>46110</v>
      </c>
      <c r="C472" s="1" t="s">
        <v>8</v>
      </c>
      <c r="D472" s="1" t="s">
        <v>11</v>
      </c>
      <c r="E472" s="4">
        <v>2</v>
      </c>
      <c r="F472" s="1" cm="1">
        <f t="array" ref="F472">_xlfn.IFS(D472="Tea", 40, D472="Coffee", 60, D472="Bakery", 100, D472="Beverages", 80)</f>
        <v>60</v>
      </c>
      <c r="G472" s="1">
        <f t="shared" si="7"/>
        <v>120</v>
      </c>
      <c r="H472" s="1" t="s">
        <v>25</v>
      </c>
      <c r="I472" s="1" t="s">
        <v>22</v>
      </c>
      <c r="J472" s="1">
        <v>2</v>
      </c>
    </row>
    <row r="473" spans="1:10" ht="15" x14ac:dyDescent="0.4">
      <c r="A473" s="1">
        <v>1472</v>
      </c>
      <c r="B473" s="2">
        <v>46083</v>
      </c>
      <c r="C473" s="1" t="s">
        <v>8</v>
      </c>
      <c r="D473" s="1" t="s">
        <v>9</v>
      </c>
      <c r="E473" s="4">
        <v>3</v>
      </c>
      <c r="F473" s="1" cm="1">
        <f t="array" ref="F473">_xlfn.IFS(D473="Tea", 40, D473="Coffee", 60, D473="Bakery", 100, D473="Beverages", 80)</f>
        <v>40</v>
      </c>
      <c r="G473" s="1">
        <f t="shared" si="7"/>
        <v>120</v>
      </c>
      <c r="H473" s="1" t="s">
        <v>25</v>
      </c>
      <c r="I473" s="1" t="s">
        <v>23</v>
      </c>
      <c r="J473" s="1">
        <v>1</v>
      </c>
    </row>
    <row r="474" spans="1:10" ht="15" x14ac:dyDescent="0.4">
      <c r="A474" s="1">
        <v>1473</v>
      </c>
      <c r="B474" s="2">
        <v>46036</v>
      </c>
      <c r="C474" s="1" t="s">
        <v>12</v>
      </c>
      <c r="D474" s="1" t="s">
        <v>9</v>
      </c>
      <c r="E474" s="4">
        <v>3</v>
      </c>
      <c r="F474" s="1" cm="1">
        <f t="array" ref="F474">_xlfn.IFS(D474="Tea", 40, D474="Coffee", 60, D474="Bakery", 100, D474="Beverages", 80)</f>
        <v>40</v>
      </c>
      <c r="G474" s="1">
        <f t="shared" si="7"/>
        <v>120</v>
      </c>
      <c r="H474" s="1" t="s">
        <v>25</v>
      </c>
      <c r="I474" s="1" t="s">
        <v>22</v>
      </c>
      <c r="J474" s="1">
        <v>4</v>
      </c>
    </row>
    <row r="475" spans="1:10" ht="15" x14ac:dyDescent="0.4">
      <c r="A475" s="1">
        <v>1474</v>
      </c>
      <c r="B475" s="2">
        <v>46049</v>
      </c>
      <c r="C475" s="1" t="s">
        <v>8</v>
      </c>
      <c r="D475" s="1" t="s">
        <v>11</v>
      </c>
      <c r="E475" s="4">
        <v>3</v>
      </c>
      <c r="F475" s="1" cm="1">
        <f t="array" ref="F475">_xlfn.IFS(D475="Tea", 40, D475="Coffee", 60, D475="Bakery", 100, D475="Beverages", 80)</f>
        <v>60</v>
      </c>
      <c r="G475" s="1">
        <f t="shared" si="7"/>
        <v>180</v>
      </c>
      <c r="H475" s="1" t="s">
        <v>25</v>
      </c>
      <c r="I475" s="1" t="s">
        <v>22</v>
      </c>
      <c r="J475" s="1">
        <v>5</v>
      </c>
    </row>
    <row r="476" spans="1:10" ht="15" x14ac:dyDescent="0.4">
      <c r="A476" s="1">
        <v>1475</v>
      </c>
      <c r="B476" s="2">
        <v>46199</v>
      </c>
      <c r="C476" s="1" t="s">
        <v>8</v>
      </c>
      <c r="D476" s="1" t="s">
        <v>13</v>
      </c>
      <c r="E476" s="4">
        <v>2</v>
      </c>
      <c r="F476" s="1" cm="1">
        <f t="array" ref="F476">_xlfn.IFS(D476="Tea", 40, D476="Coffee", 60, D476="Bakery", 100, D476="Beverages", 80)</f>
        <v>100</v>
      </c>
      <c r="G476" s="1">
        <f t="shared" si="7"/>
        <v>200</v>
      </c>
      <c r="H476" s="1" t="s">
        <v>21</v>
      </c>
      <c r="I476" s="1" t="s">
        <v>26</v>
      </c>
      <c r="J476" s="1">
        <v>2</v>
      </c>
    </row>
    <row r="477" spans="1:10" ht="15" x14ac:dyDescent="0.4">
      <c r="A477" s="1">
        <v>1476</v>
      </c>
      <c r="B477" s="2">
        <v>46079</v>
      </c>
      <c r="C477" s="1" t="s">
        <v>10</v>
      </c>
      <c r="D477" s="1" t="s">
        <v>9</v>
      </c>
      <c r="E477" s="4">
        <v>3</v>
      </c>
      <c r="F477" s="1" cm="1">
        <f t="array" ref="F477">_xlfn.IFS(D477="Tea", 40, D477="Coffee", 60, D477="Bakery", 100, D477="Beverages", 80)</f>
        <v>40</v>
      </c>
      <c r="G477" s="1">
        <f t="shared" si="7"/>
        <v>120</v>
      </c>
      <c r="H477" s="1" t="s">
        <v>24</v>
      </c>
      <c r="I477" s="1" t="s">
        <v>23</v>
      </c>
      <c r="J477" s="1">
        <v>4</v>
      </c>
    </row>
    <row r="478" spans="1:10" ht="15" x14ac:dyDescent="0.4">
      <c r="A478" s="1">
        <v>1477</v>
      </c>
      <c r="B478" s="2">
        <v>46111</v>
      </c>
      <c r="C478" s="1" t="s">
        <v>8</v>
      </c>
      <c r="D478" s="1" t="s">
        <v>13</v>
      </c>
      <c r="E478" s="4">
        <v>1</v>
      </c>
      <c r="F478" s="1" cm="1">
        <f t="array" ref="F478">_xlfn.IFS(D478="Tea", 40, D478="Coffee", 60, D478="Bakery", 100, D478="Beverages", 80)</f>
        <v>100</v>
      </c>
      <c r="G478" s="1">
        <f t="shared" si="7"/>
        <v>100</v>
      </c>
      <c r="H478" s="1" t="s">
        <v>21</v>
      </c>
      <c r="I478" s="1" t="s">
        <v>22</v>
      </c>
      <c r="J478" s="1">
        <v>4</v>
      </c>
    </row>
    <row r="479" spans="1:10" ht="15" x14ac:dyDescent="0.4">
      <c r="A479" s="1">
        <v>1478</v>
      </c>
      <c r="B479" s="2">
        <v>46197</v>
      </c>
      <c r="C479" s="1" t="s">
        <v>10</v>
      </c>
      <c r="D479" s="1" t="s">
        <v>13</v>
      </c>
      <c r="E479" s="4">
        <v>2</v>
      </c>
      <c r="F479" s="1" cm="1">
        <f t="array" ref="F479">_xlfn.IFS(D479="Tea", 40, D479="Coffee", 60, D479="Bakery", 100, D479="Beverages", 80)</f>
        <v>100</v>
      </c>
      <c r="G479" s="1">
        <f t="shared" si="7"/>
        <v>200</v>
      </c>
      <c r="H479" s="1" t="s">
        <v>24</v>
      </c>
      <c r="I479" s="1" t="s">
        <v>22</v>
      </c>
      <c r="J479" s="1">
        <v>5</v>
      </c>
    </row>
    <row r="480" spans="1:10" ht="15" x14ac:dyDescent="0.4">
      <c r="A480" s="1">
        <v>1479</v>
      </c>
      <c r="B480" s="2">
        <v>46142</v>
      </c>
      <c r="C480" s="1" t="s">
        <v>10</v>
      </c>
      <c r="D480" s="1" t="s">
        <v>13</v>
      </c>
      <c r="E480" s="4">
        <v>3</v>
      </c>
      <c r="F480" s="1" cm="1">
        <f t="array" ref="F480">_xlfn.IFS(D480="Tea", 40, D480="Coffee", 60, D480="Bakery", 100, D480="Beverages", 80)</f>
        <v>100</v>
      </c>
      <c r="G480" s="1">
        <f t="shared" si="7"/>
        <v>300</v>
      </c>
      <c r="H480" s="1" t="s">
        <v>25</v>
      </c>
      <c r="I480" s="1" t="s">
        <v>23</v>
      </c>
      <c r="J480" s="1">
        <v>2</v>
      </c>
    </row>
    <row r="481" spans="1:10" ht="15" x14ac:dyDescent="0.4">
      <c r="A481" s="1">
        <v>1480</v>
      </c>
      <c r="B481" s="2">
        <v>46165</v>
      </c>
      <c r="C481" s="1" t="s">
        <v>12</v>
      </c>
      <c r="D481" s="1" t="s">
        <v>14</v>
      </c>
      <c r="E481" s="4">
        <v>1</v>
      </c>
      <c r="F481" s="1" cm="1">
        <f t="array" ref="F481">_xlfn.IFS(D481="Tea", 40, D481="Coffee", 60, D481="Bakery", 100, D481="Beverages", 80)</f>
        <v>80</v>
      </c>
      <c r="G481" s="1">
        <f t="shared" si="7"/>
        <v>80</v>
      </c>
      <c r="H481" s="1" t="s">
        <v>24</v>
      </c>
      <c r="I481" s="1" t="s">
        <v>26</v>
      </c>
      <c r="J481" s="1">
        <v>1</v>
      </c>
    </row>
    <row r="482" spans="1:10" ht="15" x14ac:dyDescent="0.4">
      <c r="A482" s="1">
        <v>1481</v>
      </c>
      <c r="B482" s="2">
        <v>46047</v>
      </c>
      <c r="C482" s="1" t="s">
        <v>8</v>
      </c>
      <c r="D482" s="1" t="s">
        <v>14</v>
      </c>
      <c r="E482" s="4">
        <v>2</v>
      </c>
      <c r="F482" s="1" cm="1">
        <f t="array" ref="F482">_xlfn.IFS(D482="Tea", 40, D482="Coffee", 60, D482="Bakery", 100, D482="Beverages", 80)</f>
        <v>80</v>
      </c>
      <c r="G482" s="1">
        <f t="shared" si="7"/>
        <v>160</v>
      </c>
      <c r="H482" s="1" t="s">
        <v>24</v>
      </c>
      <c r="I482" s="1" t="s">
        <v>23</v>
      </c>
      <c r="J482" s="1">
        <v>4</v>
      </c>
    </row>
    <row r="483" spans="1:10" ht="15" x14ac:dyDescent="0.4">
      <c r="A483" s="1">
        <v>1482</v>
      </c>
      <c r="B483" s="2">
        <v>46048</v>
      </c>
      <c r="C483" s="1" t="s">
        <v>12</v>
      </c>
      <c r="D483" s="1" t="s">
        <v>13</v>
      </c>
      <c r="E483" s="4">
        <v>3</v>
      </c>
      <c r="F483" s="1" cm="1">
        <f t="array" ref="F483">_xlfn.IFS(D483="Tea", 40, D483="Coffee", 60, D483="Bakery", 100, D483="Beverages", 80)</f>
        <v>100</v>
      </c>
      <c r="G483" s="1">
        <f t="shared" si="7"/>
        <v>300</v>
      </c>
      <c r="H483" s="1" t="s">
        <v>21</v>
      </c>
      <c r="I483" s="1" t="s">
        <v>26</v>
      </c>
      <c r="J483" s="1">
        <v>4</v>
      </c>
    </row>
    <row r="484" spans="1:10" ht="15" x14ac:dyDescent="0.4">
      <c r="A484" s="1">
        <v>1483</v>
      </c>
      <c r="B484" s="2">
        <v>46130</v>
      </c>
      <c r="C484" s="1" t="s">
        <v>10</v>
      </c>
      <c r="D484" s="1" t="s">
        <v>9</v>
      </c>
      <c r="E484" s="4">
        <v>1</v>
      </c>
      <c r="F484" s="1" cm="1">
        <f t="array" ref="F484">_xlfn.IFS(D484="Tea", 40, D484="Coffee", 60, D484="Bakery", 100, D484="Beverages", 80)</f>
        <v>40</v>
      </c>
      <c r="G484" s="1">
        <f t="shared" si="7"/>
        <v>40</v>
      </c>
      <c r="H484" s="1" t="s">
        <v>25</v>
      </c>
      <c r="I484" s="1" t="s">
        <v>22</v>
      </c>
      <c r="J484" s="1">
        <v>2</v>
      </c>
    </row>
    <row r="485" spans="1:10" ht="15" x14ac:dyDescent="0.4">
      <c r="A485" s="1">
        <v>1484</v>
      </c>
      <c r="B485" s="2">
        <v>46191</v>
      </c>
      <c r="C485" s="1" t="s">
        <v>12</v>
      </c>
      <c r="D485" s="1" t="s">
        <v>13</v>
      </c>
      <c r="E485" s="4">
        <v>2</v>
      </c>
      <c r="F485" s="1" cm="1">
        <f t="array" ref="F485">_xlfn.IFS(D485="Tea", 40, D485="Coffee", 60, D485="Bakery", 100, D485="Beverages", 80)</f>
        <v>100</v>
      </c>
      <c r="G485" s="1">
        <f t="shared" si="7"/>
        <v>200</v>
      </c>
      <c r="H485" s="1" t="s">
        <v>25</v>
      </c>
      <c r="I485" s="1" t="s">
        <v>23</v>
      </c>
      <c r="J485" s="1">
        <v>4</v>
      </c>
    </row>
    <row r="486" spans="1:10" ht="15" x14ac:dyDescent="0.4">
      <c r="A486" s="1">
        <v>1485</v>
      </c>
      <c r="B486" s="2">
        <v>46074</v>
      </c>
      <c r="C486" s="1" t="s">
        <v>8</v>
      </c>
      <c r="D486" s="1" t="s">
        <v>14</v>
      </c>
      <c r="E486" s="4">
        <v>2</v>
      </c>
      <c r="F486" s="1" cm="1">
        <f t="array" ref="F486">_xlfn.IFS(D486="Tea", 40, D486="Coffee", 60, D486="Bakery", 100, D486="Beverages", 80)</f>
        <v>80</v>
      </c>
      <c r="G486" s="1">
        <f t="shared" si="7"/>
        <v>160</v>
      </c>
      <c r="H486" s="1" t="s">
        <v>21</v>
      </c>
      <c r="I486" s="1" t="s">
        <v>22</v>
      </c>
      <c r="J486" s="1">
        <v>1</v>
      </c>
    </row>
    <row r="487" spans="1:10" ht="15" x14ac:dyDescent="0.4">
      <c r="A487" s="1">
        <v>1486</v>
      </c>
      <c r="B487" s="2">
        <v>46075</v>
      </c>
      <c r="C487" s="1" t="s">
        <v>10</v>
      </c>
      <c r="D487" s="1" t="s">
        <v>9</v>
      </c>
      <c r="E487" s="4">
        <v>1</v>
      </c>
      <c r="F487" s="1" cm="1">
        <f t="array" ref="F487">_xlfn.IFS(D487="Tea", 40, D487="Coffee", 60, D487="Bakery", 100, D487="Beverages", 80)</f>
        <v>40</v>
      </c>
      <c r="G487" s="1">
        <f t="shared" si="7"/>
        <v>40</v>
      </c>
      <c r="H487" s="1" t="s">
        <v>25</v>
      </c>
      <c r="I487" s="1" t="s">
        <v>23</v>
      </c>
      <c r="J487" s="1">
        <v>1</v>
      </c>
    </row>
    <row r="488" spans="1:10" ht="15" x14ac:dyDescent="0.4">
      <c r="A488" s="1">
        <v>1487</v>
      </c>
      <c r="B488" s="2">
        <v>46178</v>
      </c>
      <c r="C488" s="1" t="s">
        <v>10</v>
      </c>
      <c r="D488" s="1" t="s">
        <v>14</v>
      </c>
      <c r="E488" s="4">
        <v>3</v>
      </c>
      <c r="F488" s="1" cm="1">
        <f t="array" ref="F488">_xlfn.IFS(D488="Tea", 40, D488="Coffee", 60, D488="Bakery", 100, D488="Beverages", 80)</f>
        <v>80</v>
      </c>
      <c r="G488" s="1">
        <f t="shared" si="7"/>
        <v>240</v>
      </c>
      <c r="H488" s="1" t="s">
        <v>24</v>
      </c>
      <c r="I488" s="1" t="s">
        <v>22</v>
      </c>
      <c r="J488" s="1">
        <v>4</v>
      </c>
    </row>
    <row r="489" spans="1:10" ht="15" x14ac:dyDescent="0.4">
      <c r="A489" s="1">
        <v>1488</v>
      </c>
      <c r="B489" s="2">
        <v>46056</v>
      </c>
      <c r="C489" s="1" t="s">
        <v>10</v>
      </c>
      <c r="D489" s="1" t="s">
        <v>9</v>
      </c>
      <c r="E489" s="4">
        <v>3</v>
      </c>
      <c r="F489" s="1" cm="1">
        <f t="array" ref="F489">_xlfn.IFS(D489="Tea", 40, D489="Coffee", 60, D489="Bakery", 100, D489="Beverages", 80)</f>
        <v>40</v>
      </c>
      <c r="G489" s="1">
        <f t="shared" si="7"/>
        <v>120</v>
      </c>
      <c r="H489" s="1" t="s">
        <v>24</v>
      </c>
      <c r="I489" s="1" t="s">
        <v>26</v>
      </c>
      <c r="J489" s="1">
        <v>1</v>
      </c>
    </row>
    <row r="490" spans="1:10" ht="15" x14ac:dyDescent="0.4">
      <c r="A490" s="1">
        <v>1489</v>
      </c>
      <c r="B490" s="2">
        <v>46123</v>
      </c>
      <c r="C490" s="1" t="s">
        <v>8</v>
      </c>
      <c r="D490" s="1" t="s">
        <v>11</v>
      </c>
      <c r="E490" s="4">
        <v>2</v>
      </c>
      <c r="F490" s="1" cm="1">
        <f t="array" ref="F490">_xlfn.IFS(D490="Tea", 40, D490="Coffee", 60, D490="Bakery", 100, D490="Beverages", 80)</f>
        <v>60</v>
      </c>
      <c r="G490" s="1">
        <f t="shared" si="7"/>
        <v>120</v>
      </c>
      <c r="H490" s="1" t="s">
        <v>25</v>
      </c>
      <c r="I490" s="1" t="s">
        <v>22</v>
      </c>
      <c r="J490" s="1">
        <v>2</v>
      </c>
    </row>
    <row r="491" spans="1:10" ht="15" x14ac:dyDescent="0.4">
      <c r="A491" s="1">
        <v>1490</v>
      </c>
      <c r="B491" s="2">
        <v>46051</v>
      </c>
      <c r="C491" s="1" t="s">
        <v>8</v>
      </c>
      <c r="D491" s="1" t="s">
        <v>9</v>
      </c>
      <c r="E491" s="4">
        <v>2</v>
      </c>
      <c r="F491" s="1" cm="1">
        <f t="array" ref="F491">_xlfn.IFS(D491="Tea", 40, D491="Coffee", 60, D491="Bakery", 100, D491="Beverages", 80)</f>
        <v>40</v>
      </c>
      <c r="G491" s="1">
        <f t="shared" si="7"/>
        <v>80</v>
      </c>
      <c r="H491" s="1" t="s">
        <v>25</v>
      </c>
      <c r="I491" s="1" t="s">
        <v>23</v>
      </c>
      <c r="J491" s="1">
        <v>5</v>
      </c>
    </row>
    <row r="492" spans="1:10" ht="15" x14ac:dyDescent="0.4">
      <c r="A492" s="1">
        <v>1491</v>
      </c>
      <c r="B492" s="2">
        <v>46133</v>
      </c>
      <c r="C492" s="1" t="s">
        <v>8</v>
      </c>
      <c r="D492" s="1" t="s">
        <v>13</v>
      </c>
      <c r="E492" s="4">
        <v>2</v>
      </c>
      <c r="F492" s="1" cm="1">
        <f t="array" ref="F492">_xlfn.IFS(D492="Tea", 40, D492="Coffee", 60, D492="Bakery", 100, D492="Beverages", 80)</f>
        <v>100</v>
      </c>
      <c r="G492" s="1">
        <f t="shared" si="7"/>
        <v>200</v>
      </c>
      <c r="H492" s="1" t="s">
        <v>21</v>
      </c>
      <c r="I492" s="1" t="s">
        <v>22</v>
      </c>
      <c r="J492" s="1">
        <v>1</v>
      </c>
    </row>
    <row r="493" spans="1:10" ht="15" x14ac:dyDescent="0.4">
      <c r="A493" s="1">
        <v>1492</v>
      </c>
      <c r="B493" s="2">
        <v>46113</v>
      </c>
      <c r="C493" s="1" t="s">
        <v>10</v>
      </c>
      <c r="D493" s="1" t="s">
        <v>13</v>
      </c>
      <c r="E493" s="4">
        <v>3</v>
      </c>
      <c r="F493" s="1" cm="1">
        <f t="array" ref="F493">_xlfn.IFS(D493="Tea", 40, D493="Coffee", 60, D493="Bakery", 100, D493="Beverages", 80)</f>
        <v>100</v>
      </c>
      <c r="G493" s="1">
        <f t="shared" si="7"/>
        <v>300</v>
      </c>
      <c r="H493" s="1" t="s">
        <v>21</v>
      </c>
      <c r="I493" s="1" t="s">
        <v>22</v>
      </c>
      <c r="J493" s="1">
        <v>3</v>
      </c>
    </row>
    <row r="494" spans="1:10" ht="15" x14ac:dyDescent="0.4">
      <c r="A494" s="1">
        <v>1493</v>
      </c>
      <c r="B494" s="2">
        <v>46069</v>
      </c>
      <c r="C494" s="1" t="s">
        <v>10</v>
      </c>
      <c r="D494" s="1" t="s">
        <v>11</v>
      </c>
      <c r="E494" s="4">
        <v>2</v>
      </c>
      <c r="F494" s="1" cm="1">
        <f t="array" ref="F494">_xlfn.IFS(D494="Tea", 40, D494="Coffee", 60, D494="Bakery", 100, D494="Beverages", 80)</f>
        <v>60</v>
      </c>
      <c r="G494" s="1">
        <f t="shared" si="7"/>
        <v>120</v>
      </c>
      <c r="H494" s="1" t="s">
        <v>25</v>
      </c>
      <c r="I494" s="1" t="s">
        <v>26</v>
      </c>
      <c r="J494" s="1">
        <v>3</v>
      </c>
    </row>
    <row r="495" spans="1:10" ht="15" x14ac:dyDescent="0.4">
      <c r="A495" s="1">
        <v>1494</v>
      </c>
      <c r="B495" s="2">
        <v>46090</v>
      </c>
      <c r="C495" s="1" t="s">
        <v>12</v>
      </c>
      <c r="D495" s="1" t="s">
        <v>13</v>
      </c>
      <c r="E495" s="4">
        <v>3</v>
      </c>
      <c r="F495" s="1" cm="1">
        <f t="array" ref="F495">_xlfn.IFS(D495="Tea", 40, D495="Coffee", 60, D495="Bakery", 100, D495="Beverages", 80)</f>
        <v>100</v>
      </c>
      <c r="G495" s="1">
        <f t="shared" si="7"/>
        <v>300</v>
      </c>
      <c r="H495" s="1" t="s">
        <v>25</v>
      </c>
      <c r="I495" s="1" t="s">
        <v>22</v>
      </c>
      <c r="J495" s="1">
        <v>2</v>
      </c>
    </row>
    <row r="496" spans="1:10" ht="15" x14ac:dyDescent="0.4">
      <c r="A496" s="1">
        <v>1495</v>
      </c>
      <c r="B496" s="2">
        <v>46024</v>
      </c>
      <c r="C496" s="1" t="s">
        <v>8</v>
      </c>
      <c r="D496" s="1" t="s">
        <v>11</v>
      </c>
      <c r="E496" s="4">
        <v>1</v>
      </c>
      <c r="F496" s="1" cm="1">
        <f t="array" ref="F496">_xlfn.IFS(D496="Tea", 40, D496="Coffee", 60, D496="Bakery", 100, D496="Beverages", 80)</f>
        <v>60</v>
      </c>
      <c r="G496" s="1">
        <f t="shared" si="7"/>
        <v>60</v>
      </c>
      <c r="H496" s="1" t="s">
        <v>24</v>
      </c>
      <c r="I496" s="1" t="s">
        <v>26</v>
      </c>
      <c r="J496" s="1">
        <v>5</v>
      </c>
    </row>
    <row r="497" spans="1:10" ht="15" x14ac:dyDescent="0.4">
      <c r="A497" s="1">
        <v>1496</v>
      </c>
      <c r="B497" s="2">
        <v>46118</v>
      </c>
      <c r="C497" s="1" t="s">
        <v>10</v>
      </c>
      <c r="D497" s="1" t="s">
        <v>11</v>
      </c>
      <c r="E497" s="4">
        <v>3</v>
      </c>
      <c r="F497" s="1" cm="1">
        <f t="array" ref="F497">_xlfn.IFS(D497="Tea", 40, D497="Coffee", 60, D497="Bakery", 100, D497="Beverages", 80)</f>
        <v>60</v>
      </c>
      <c r="G497" s="1">
        <f t="shared" si="7"/>
        <v>180</v>
      </c>
      <c r="H497" s="1" t="s">
        <v>24</v>
      </c>
      <c r="I497" s="1" t="s">
        <v>26</v>
      </c>
      <c r="J497" s="1">
        <v>2</v>
      </c>
    </row>
    <row r="498" spans="1:10" ht="15" x14ac:dyDescent="0.4">
      <c r="A498" s="1">
        <v>1497</v>
      </c>
      <c r="B498" s="2">
        <v>46078</v>
      </c>
      <c r="C498" s="1" t="s">
        <v>10</v>
      </c>
      <c r="D498" s="1" t="s">
        <v>13</v>
      </c>
      <c r="E498" s="4">
        <v>3</v>
      </c>
      <c r="F498" s="1" cm="1">
        <f t="array" ref="F498">_xlfn.IFS(D498="Tea", 40, D498="Coffee", 60, D498="Bakery", 100, D498="Beverages", 80)</f>
        <v>100</v>
      </c>
      <c r="G498" s="1">
        <f t="shared" si="7"/>
        <v>300</v>
      </c>
      <c r="H498" s="1" t="s">
        <v>21</v>
      </c>
      <c r="I498" s="1" t="s">
        <v>26</v>
      </c>
      <c r="J498" s="1">
        <v>3</v>
      </c>
    </row>
    <row r="499" spans="1:10" ht="15" x14ac:dyDescent="0.4">
      <c r="A499" s="1">
        <v>1498</v>
      </c>
      <c r="B499" s="2">
        <v>46035</v>
      </c>
      <c r="C499" s="1" t="s">
        <v>8</v>
      </c>
      <c r="D499" s="1" t="s">
        <v>9</v>
      </c>
      <c r="E499" s="4">
        <v>2</v>
      </c>
      <c r="F499" s="1" cm="1">
        <f t="array" ref="F499">_xlfn.IFS(D499="Tea", 40, D499="Coffee", 60, D499="Bakery", 100, D499="Beverages", 80)</f>
        <v>40</v>
      </c>
      <c r="G499" s="1">
        <f t="shared" si="7"/>
        <v>80</v>
      </c>
      <c r="H499" s="1" t="s">
        <v>24</v>
      </c>
      <c r="I499" s="1" t="s">
        <v>22</v>
      </c>
      <c r="J499" s="1">
        <v>4</v>
      </c>
    </row>
    <row r="500" spans="1:10" ht="15" x14ac:dyDescent="0.4">
      <c r="A500" s="1">
        <v>1499</v>
      </c>
      <c r="B500" s="2">
        <v>46090</v>
      </c>
      <c r="C500" s="1" t="s">
        <v>10</v>
      </c>
      <c r="D500" s="1" t="s">
        <v>11</v>
      </c>
      <c r="E500" s="4">
        <v>1</v>
      </c>
      <c r="F500" s="1" cm="1">
        <f t="array" ref="F500">_xlfn.IFS(D500="Tea", 40, D500="Coffee", 60, D500="Bakery", 100, D500="Beverages", 80)</f>
        <v>60</v>
      </c>
      <c r="G500" s="1">
        <f t="shared" si="7"/>
        <v>60</v>
      </c>
      <c r="H500" s="1" t="s">
        <v>24</v>
      </c>
      <c r="I500" s="1" t="s">
        <v>23</v>
      </c>
      <c r="J500" s="1">
        <v>3</v>
      </c>
    </row>
    <row r="501" spans="1:10" ht="15" x14ac:dyDescent="0.4">
      <c r="A501" s="1">
        <v>1500</v>
      </c>
      <c r="B501" s="2">
        <v>46046</v>
      </c>
      <c r="C501" s="1" t="s">
        <v>8</v>
      </c>
      <c r="D501" s="1" t="s">
        <v>9</v>
      </c>
      <c r="E501" s="4">
        <v>3</v>
      </c>
      <c r="F501" s="1" cm="1">
        <f t="array" ref="F501">_xlfn.IFS(D501="Tea", 40, D501="Coffee", 60, D501="Bakery", 100, D501="Beverages", 80)</f>
        <v>40</v>
      </c>
      <c r="G501" s="1">
        <f t="shared" si="7"/>
        <v>120</v>
      </c>
      <c r="H501" s="1" t="s">
        <v>24</v>
      </c>
      <c r="I501" s="1" t="s">
        <v>26</v>
      </c>
      <c r="J501" s="1">
        <v>1</v>
      </c>
    </row>
    <row r="502" spans="1:10" ht="15" x14ac:dyDescent="0.4">
      <c r="A502" s="1">
        <v>1501</v>
      </c>
      <c r="B502" s="2">
        <v>46084</v>
      </c>
      <c r="C502" s="1" t="s">
        <v>12</v>
      </c>
      <c r="D502" s="1" t="s">
        <v>14</v>
      </c>
      <c r="E502" s="4">
        <v>2</v>
      </c>
      <c r="F502" s="1" cm="1">
        <f t="array" ref="F502">_xlfn.IFS(D502="Tea", 40, D502="Coffee", 60, D502="Bakery", 100, D502="Beverages", 80)</f>
        <v>80</v>
      </c>
      <c r="G502" s="1">
        <f t="shared" si="7"/>
        <v>160</v>
      </c>
      <c r="H502" s="1" t="s">
        <v>24</v>
      </c>
      <c r="I502" s="1" t="s">
        <v>26</v>
      </c>
      <c r="J502" s="1">
        <v>4</v>
      </c>
    </row>
    <row r="503" spans="1:10" ht="15" x14ac:dyDescent="0.4">
      <c r="A503" s="1">
        <v>1502</v>
      </c>
      <c r="B503" s="2">
        <v>46079</v>
      </c>
      <c r="C503" s="1" t="s">
        <v>8</v>
      </c>
      <c r="D503" s="1" t="s">
        <v>13</v>
      </c>
      <c r="E503" s="4">
        <v>1</v>
      </c>
      <c r="F503" s="1" cm="1">
        <f t="array" ref="F503">_xlfn.IFS(D503="Tea", 40, D503="Coffee", 60, D503="Bakery", 100, D503="Beverages", 80)</f>
        <v>100</v>
      </c>
      <c r="G503" s="1">
        <f t="shared" si="7"/>
        <v>100</v>
      </c>
      <c r="H503" s="1" t="s">
        <v>21</v>
      </c>
      <c r="I503" s="1" t="s">
        <v>26</v>
      </c>
      <c r="J503" s="1">
        <v>2</v>
      </c>
    </row>
    <row r="504" spans="1:10" ht="15" x14ac:dyDescent="0.4">
      <c r="A504" s="1">
        <v>1503</v>
      </c>
      <c r="B504" s="2">
        <v>46173</v>
      </c>
      <c r="C504" s="1" t="s">
        <v>10</v>
      </c>
      <c r="D504" s="1" t="s">
        <v>11</v>
      </c>
      <c r="E504" s="4">
        <v>1</v>
      </c>
      <c r="F504" s="1" cm="1">
        <f t="array" ref="F504">_xlfn.IFS(D504="Tea", 40, D504="Coffee", 60, D504="Bakery", 100, D504="Beverages", 80)</f>
        <v>60</v>
      </c>
      <c r="G504" s="1">
        <f t="shared" si="7"/>
        <v>60</v>
      </c>
      <c r="H504" s="1" t="s">
        <v>21</v>
      </c>
      <c r="I504" s="1" t="s">
        <v>26</v>
      </c>
      <c r="J504" s="1">
        <v>5</v>
      </c>
    </row>
    <row r="505" spans="1:10" ht="15" x14ac:dyDescent="0.4">
      <c r="A505" s="1">
        <v>1504</v>
      </c>
      <c r="B505" s="2">
        <v>46050</v>
      </c>
      <c r="C505" s="1" t="s">
        <v>8</v>
      </c>
      <c r="D505" s="1" t="s">
        <v>11</v>
      </c>
      <c r="E505" s="4">
        <v>2</v>
      </c>
      <c r="F505" s="1" cm="1">
        <f t="array" ref="F505">_xlfn.IFS(D505="Tea", 40, D505="Coffee", 60, D505="Bakery", 100, D505="Beverages", 80)</f>
        <v>60</v>
      </c>
      <c r="G505" s="1">
        <f t="shared" si="7"/>
        <v>120</v>
      </c>
      <c r="H505" s="1" t="s">
        <v>24</v>
      </c>
      <c r="I505" s="1" t="s">
        <v>23</v>
      </c>
      <c r="J505" s="1">
        <v>3</v>
      </c>
    </row>
    <row r="506" spans="1:10" ht="15" x14ac:dyDescent="0.4">
      <c r="A506" s="1">
        <v>1505</v>
      </c>
      <c r="B506" s="2">
        <v>46158</v>
      </c>
      <c r="C506" s="1" t="s">
        <v>10</v>
      </c>
      <c r="D506" s="1" t="s">
        <v>14</v>
      </c>
      <c r="E506" s="4">
        <v>1</v>
      </c>
      <c r="F506" s="1" cm="1">
        <f t="array" ref="F506">_xlfn.IFS(D506="Tea", 40, D506="Coffee", 60, D506="Bakery", 100, D506="Beverages", 80)</f>
        <v>80</v>
      </c>
      <c r="G506" s="1">
        <f t="shared" si="7"/>
        <v>80</v>
      </c>
      <c r="H506" s="1" t="s">
        <v>25</v>
      </c>
      <c r="I506" s="1" t="s">
        <v>23</v>
      </c>
      <c r="J506" s="1">
        <v>1</v>
      </c>
    </row>
    <row r="507" spans="1:10" ht="15" x14ac:dyDescent="0.4">
      <c r="A507" s="1">
        <v>1506</v>
      </c>
      <c r="B507" s="2">
        <v>46187</v>
      </c>
      <c r="C507" s="1" t="s">
        <v>10</v>
      </c>
      <c r="D507" s="1" t="s">
        <v>9</v>
      </c>
      <c r="E507" s="4">
        <v>2</v>
      </c>
      <c r="F507" s="1" cm="1">
        <f t="array" ref="F507">_xlfn.IFS(D507="Tea", 40, D507="Coffee", 60, D507="Bakery", 100, D507="Beverages", 80)</f>
        <v>40</v>
      </c>
      <c r="G507" s="1">
        <f t="shared" si="7"/>
        <v>80</v>
      </c>
      <c r="H507" s="1" t="s">
        <v>24</v>
      </c>
      <c r="I507" s="1" t="s">
        <v>22</v>
      </c>
      <c r="J507" s="1">
        <v>1</v>
      </c>
    </row>
    <row r="508" spans="1:10" ht="15" x14ac:dyDescent="0.4">
      <c r="A508" s="1">
        <v>1507</v>
      </c>
      <c r="B508" s="2">
        <v>46139</v>
      </c>
      <c r="C508" s="1" t="s">
        <v>8</v>
      </c>
      <c r="D508" s="1" t="s">
        <v>9</v>
      </c>
      <c r="E508" s="4">
        <v>2</v>
      </c>
      <c r="F508" s="1" cm="1">
        <f t="array" ref="F508">_xlfn.IFS(D508="Tea", 40, D508="Coffee", 60, D508="Bakery", 100, D508="Beverages", 80)</f>
        <v>40</v>
      </c>
      <c r="G508" s="1">
        <f t="shared" si="7"/>
        <v>80</v>
      </c>
      <c r="H508" s="1" t="s">
        <v>25</v>
      </c>
      <c r="I508" s="1" t="s">
        <v>26</v>
      </c>
      <c r="J508" s="1">
        <v>5</v>
      </c>
    </row>
    <row r="509" spans="1:10" ht="15" x14ac:dyDescent="0.4">
      <c r="A509" s="1">
        <v>1508</v>
      </c>
      <c r="B509" s="2">
        <v>46077</v>
      </c>
      <c r="C509" s="1" t="s">
        <v>12</v>
      </c>
      <c r="D509" s="1" t="s">
        <v>9</v>
      </c>
      <c r="E509" s="4">
        <v>1</v>
      </c>
      <c r="F509" s="1" cm="1">
        <f t="array" ref="F509">_xlfn.IFS(D509="Tea", 40, D509="Coffee", 60, D509="Bakery", 100, D509="Beverages", 80)</f>
        <v>40</v>
      </c>
      <c r="G509" s="1">
        <f t="shared" si="7"/>
        <v>40</v>
      </c>
      <c r="H509" s="1" t="s">
        <v>25</v>
      </c>
      <c r="I509" s="1" t="s">
        <v>22</v>
      </c>
      <c r="J509" s="1">
        <v>5</v>
      </c>
    </row>
    <row r="510" spans="1:10" ht="15" x14ac:dyDescent="0.4">
      <c r="A510" s="1">
        <v>1509</v>
      </c>
      <c r="B510" s="2">
        <v>46201</v>
      </c>
      <c r="C510" s="1" t="s">
        <v>10</v>
      </c>
      <c r="D510" s="1" t="s">
        <v>9</v>
      </c>
      <c r="E510" s="4">
        <v>3</v>
      </c>
      <c r="F510" s="1" cm="1">
        <f t="array" ref="F510">_xlfn.IFS(D510="Tea", 40, D510="Coffee", 60, D510="Bakery", 100, D510="Beverages", 80)</f>
        <v>40</v>
      </c>
      <c r="G510" s="1">
        <f t="shared" si="7"/>
        <v>120</v>
      </c>
      <c r="H510" s="1" t="s">
        <v>24</v>
      </c>
      <c r="I510" s="1" t="s">
        <v>22</v>
      </c>
      <c r="J510" s="1">
        <v>1</v>
      </c>
    </row>
    <row r="511" spans="1:10" ht="15" x14ac:dyDescent="0.4">
      <c r="A511" s="1">
        <v>1510</v>
      </c>
      <c r="B511" s="2">
        <v>46052</v>
      </c>
      <c r="C511" s="1" t="s">
        <v>10</v>
      </c>
      <c r="D511" s="1" t="s">
        <v>11</v>
      </c>
      <c r="E511" s="4">
        <v>3</v>
      </c>
      <c r="F511" s="1" cm="1">
        <f t="array" ref="F511">_xlfn.IFS(D511="Tea", 40, D511="Coffee", 60, D511="Bakery", 100, D511="Beverages", 80)</f>
        <v>60</v>
      </c>
      <c r="G511" s="1">
        <f t="shared" si="7"/>
        <v>180</v>
      </c>
      <c r="H511" s="1" t="s">
        <v>24</v>
      </c>
      <c r="I511" s="1" t="s">
        <v>22</v>
      </c>
      <c r="J511" s="1">
        <v>1</v>
      </c>
    </row>
    <row r="512" spans="1:10" ht="15" x14ac:dyDescent="0.4">
      <c r="A512" s="1">
        <v>1511</v>
      </c>
      <c r="B512" s="2">
        <v>46100</v>
      </c>
      <c r="C512" s="1" t="s">
        <v>8</v>
      </c>
      <c r="D512" s="1" t="s">
        <v>14</v>
      </c>
      <c r="E512" s="4">
        <v>2</v>
      </c>
      <c r="F512" s="1" cm="1">
        <f t="array" ref="F512">_xlfn.IFS(D512="Tea", 40, D512="Coffee", 60, D512="Bakery", 100, D512="Beverages", 80)</f>
        <v>80</v>
      </c>
      <c r="G512" s="1">
        <f t="shared" si="7"/>
        <v>160</v>
      </c>
      <c r="H512" s="1" t="s">
        <v>24</v>
      </c>
      <c r="I512" s="1" t="s">
        <v>23</v>
      </c>
      <c r="J512" s="1">
        <v>2</v>
      </c>
    </row>
    <row r="513" spans="1:10" ht="15" x14ac:dyDescent="0.4">
      <c r="A513" s="1">
        <v>1512</v>
      </c>
      <c r="B513" s="2">
        <v>46169</v>
      </c>
      <c r="C513" s="1" t="s">
        <v>12</v>
      </c>
      <c r="D513" s="1" t="s">
        <v>14</v>
      </c>
      <c r="E513" s="4">
        <v>1</v>
      </c>
      <c r="F513" s="1" cm="1">
        <f t="array" ref="F513">_xlfn.IFS(D513="Tea", 40, D513="Coffee", 60, D513="Bakery", 100, D513="Beverages", 80)</f>
        <v>80</v>
      </c>
      <c r="G513" s="1">
        <f t="shared" si="7"/>
        <v>80</v>
      </c>
      <c r="H513" s="1" t="s">
        <v>21</v>
      </c>
      <c r="I513" s="1" t="s">
        <v>23</v>
      </c>
      <c r="J513" s="1">
        <v>5</v>
      </c>
    </row>
    <row r="514" spans="1:10" ht="15" x14ac:dyDescent="0.4">
      <c r="A514" s="1">
        <v>1513</v>
      </c>
      <c r="B514" s="2">
        <v>46066</v>
      </c>
      <c r="C514" s="1" t="s">
        <v>8</v>
      </c>
      <c r="D514" s="1" t="s">
        <v>11</v>
      </c>
      <c r="E514" s="4">
        <v>3</v>
      </c>
      <c r="F514" s="1" cm="1">
        <f t="array" ref="F514">_xlfn.IFS(D514="Tea", 40, D514="Coffee", 60, D514="Bakery", 100, D514="Beverages", 80)</f>
        <v>60</v>
      </c>
      <c r="G514" s="1">
        <f t="shared" si="7"/>
        <v>180</v>
      </c>
      <c r="H514" s="1" t="s">
        <v>25</v>
      </c>
      <c r="I514" s="1" t="s">
        <v>26</v>
      </c>
      <c r="J514" s="1">
        <v>1</v>
      </c>
    </row>
    <row r="515" spans="1:10" ht="15" x14ac:dyDescent="0.4">
      <c r="A515" s="1">
        <v>1514</v>
      </c>
      <c r="B515" s="2">
        <v>46036</v>
      </c>
      <c r="C515" s="1" t="s">
        <v>12</v>
      </c>
      <c r="D515" s="1" t="s">
        <v>14</v>
      </c>
      <c r="E515" s="4">
        <v>1</v>
      </c>
      <c r="F515" s="1" cm="1">
        <f t="array" ref="F515">_xlfn.IFS(D515="Tea", 40, D515="Coffee", 60, D515="Bakery", 100, D515="Beverages", 80)</f>
        <v>80</v>
      </c>
      <c r="G515" s="1">
        <f t="shared" ref="G515:G578" si="8">E515*F515</f>
        <v>80</v>
      </c>
      <c r="H515" s="1" t="s">
        <v>25</v>
      </c>
      <c r="I515" s="1" t="s">
        <v>22</v>
      </c>
      <c r="J515" s="1">
        <v>4</v>
      </c>
    </row>
    <row r="516" spans="1:10" ht="15" x14ac:dyDescent="0.4">
      <c r="A516" s="1">
        <v>1515</v>
      </c>
      <c r="B516" s="2">
        <v>46169</v>
      </c>
      <c r="C516" s="1" t="s">
        <v>8</v>
      </c>
      <c r="D516" s="1" t="s">
        <v>9</v>
      </c>
      <c r="E516" s="4">
        <v>1</v>
      </c>
      <c r="F516" s="1" cm="1">
        <f t="array" ref="F516">_xlfn.IFS(D516="Tea", 40, D516="Coffee", 60, D516="Bakery", 100, D516="Beverages", 80)</f>
        <v>40</v>
      </c>
      <c r="G516" s="1">
        <f t="shared" si="8"/>
        <v>40</v>
      </c>
      <c r="H516" s="1" t="s">
        <v>21</v>
      </c>
      <c r="I516" s="1" t="s">
        <v>22</v>
      </c>
      <c r="J516" s="1">
        <v>3</v>
      </c>
    </row>
    <row r="517" spans="1:10" ht="15" x14ac:dyDescent="0.4">
      <c r="A517" s="1">
        <v>1516</v>
      </c>
      <c r="B517" s="2">
        <v>46083</v>
      </c>
      <c r="C517" s="1" t="s">
        <v>8</v>
      </c>
      <c r="D517" s="1" t="s">
        <v>13</v>
      </c>
      <c r="E517" s="4">
        <v>1</v>
      </c>
      <c r="F517" s="1" cm="1">
        <f t="array" ref="F517">_xlfn.IFS(D517="Tea", 40, D517="Coffee", 60, D517="Bakery", 100, D517="Beverages", 80)</f>
        <v>100</v>
      </c>
      <c r="G517" s="1">
        <f t="shared" si="8"/>
        <v>100</v>
      </c>
      <c r="H517" s="1" t="s">
        <v>21</v>
      </c>
      <c r="I517" s="1" t="s">
        <v>22</v>
      </c>
      <c r="J517" s="1">
        <v>4</v>
      </c>
    </row>
    <row r="518" spans="1:10" ht="15" x14ac:dyDescent="0.4">
      <c r="A518" s="1">
        <v>1517</v>
      </c>
      <c r="B518" s="2">
        <v>46051</v>
      </c>
      <c r="C518" s="1" t="s">
        <v>10</v>
      </c>
      <c r="D518" s="1" t="s">
        <v>14</v>
      </c>
      <c r="E518" s="4">
        <v>3</v>
      </c>
      <c r="F518" s="1" cm="1">
        <f t="array" ref="F518">_xlfn.IFS(D518="Tea", 40, D518="Coffee", 60, D518="Bakery", 100, D518="Beverages", 80)</f>
        <v>80</v>
      </c>
      <c r="G518" s="1">
        <f t="shared" si="8"/>
        <v>240</v>
      </c>
      <c r="H518" s="1" t="s">
        <v>25</v>
      </c>
      <c r="I518" s="1" t="s">
        <v>23</v>
      </c>
      <c r="J518" s="1">
        <v>1</v>
      </c>
    </row>
    <row r="519" spans="1:10" ht="15" x14ac:dyDescent="0.4">
      <c r="A519" s="1">
        <v>1518</v>
      </c>
      <c r="B519" s="2">
        <v>46077</v>
      </c>
      <c r="C519" s="1" t="s">
        <v>10</v>
      </c>
      <c r="D519" s="1" t="s">
        <v>14</v>
      </c>
      <c r="E519" s="4">
        <v>2</v>
      </c>
      <c r="F519" s="1" cm="1">
        <f t="array" ref="F519">_xlfn.IFS(D519="Tea", 40, D519="Coffee", 60, D519="Bakery", 100, D519="Beverages", 80)</f>
        <v>80</v>
      </c>
      <c r="G519" s="1">
        <f t="shared" si="8"/>
        <v>160</v>
      </c>
      <c r="H519" s="1" t="s">
        <v>21</v>
      </c>
      <c r="I519" s="1" t="s">
        <v>22</v>
      </c>
      <c r="J519" s="1">
        <v>5</v>
      </c>
    </row>
    <row r="520" spans="1:10" ht="15" x14ac:dyDescent="0.4">
      <c r="A520" s="1">
        <v>1519</v>
      </c>
      <c r="B520" s="2">
        <v>46089</v>
      </c>
      <c r="C520" s="1" t="s">
        <v>8</v>
      </c>
      <c r="D520" s="1" t="s">
        <v>9</v>
      </c>
      <c r="E520" s="4">
        <v>2</v>
      </c>
      <c r="F520" s="1" cm="1">
        <f t="array" ref="F520">_xlfn.IFS(D520="Tea", 40, D520="Coffee", 60, D520="Bakery", 100, D520="Beverages", 80)</f>
        <v>40</v>
      </c>
      <c r="G520" s="1">
        <f t="shared" si="8"/>
        <v>80</v>
      </c>
      <c r="H520" s="1" t="s">
        <v>24</v>
      </c>
      <c r="I520" s="1" t="s">
        <v>23</v>
      </c>
      <c r="J520" s="1">
        <v>4</v>
      </c>
    </row>
    <row r="521" spans="1:10" ht="15" x14ac:dyDescent="0.4">
      <c r="A521" s="1">
        <v>1520</v>
      </c>
      <c r="B521" s="2">
        <v>46069</v>
      </c>
      <c r="C521" s="1" t="s">
        <v>8</v>
      </c>
      <c r="D521" s="1" t="s">
        <v>14</v>
      </c>
      <c r="E521" s="4">
        <v>1</v>
      </c>
      <c r="F521" s="1" cm="1">
        <f t="array" ref="F521">_xlfn.IFS(D521="Tea", 40, D521="Coffee", 60, D521="Bakery", 100, D521="Beverages", 80)</f>
        <v>80</v>
      </c>
      <c r="G521" s="1">
        <f t="shared" si="8"/>
        <v>80</v>
      </c>
      <c r="H521" s="1" t="s">
        <v>24</v>
      </c>
      <c r="I521" s="1" t="s">
        <v>22</v>
      </c>
      <c r="J521" s="1">
        <v>3</v>
      </c>
    </row>
    <row r="522" spans="1:10" ht="15" x14ac:dyDescent="0.4">
      <c r="A522" s="1">
        <v>1521</v>
      </c>
      <c r="B522" s="2">
        <v>46053</v>
      </c>
      <c r="C522" s="1" t="s">
        <v>12</v>
      </c>
      <c r="D522" s="1" t="s">
        <v>9</v>
      </c>
      <c r="E522" s="4">
        <v>2</v>
      </c>
      <c r="F522" s="1" cm="1">
        <f t="array" ref="F522">_xlfn.IFS(D522="Tea", 40, D522="Coffee", 60, D522="Bakery", 100, D522="Beverages", 80)</f>
        <v>40</v>
      </c>
      <c r="G522" s="1">
        <f t="shared" si="8"/>
        <v>80</v>
      </c>
      <c r="H522" s="1" t="s">
        <v>25</v>
      </c>
      <c r="I522" s="1" t="s">
        <v>23</v>
      </c>
      <c r="J522" s="1">
        <v>1</v>
      </c>
    </row>
    <row r="523" spans="1:10" ht="15" x14ac:dyDescent="0.4">
      <c r="A523" s="1">
        <v>1522</v>
      </c>
      <c r="B523" s="2">
        <v>46047</v>
      </c>
      <c r="C523" s="1" t="s">
        <v>12</v>
      </c>
      <c r="D523" s="1" t="s">
        <v>11</v>
      </c>
      <c r="E523" s="4">
        <v>2</v>
      </c>
      <c r="F523" s="1" cm="1">
        <f t="array" ref="F523">_xlfn.IFS(D523="Tea", 40, D523="Coffee", 60, D523="Bakery", 100, D523="Beverages", 80)</f>
        <v>60</v>
      </c>
      <c r="G523" s="1">
        <f t="shared" si="8"/>
        <v>120</v>
      </c>
      <c r="H523" s="1" t="s">
        <v>21</v>
      </c>
      <c r="I523" s="1" t="s">
        <v>22</v>
      </c>
      <c r="J523" s="1">
        <v>3</v>
      </c>
    </row>
    <row r="524" spans="1:10" ht="15" x14ac:dyDescent="0.4">
      <c r="A524" s="1">
        <v>1523</v>
      </c>
      <c r="B524" s="2">
        <v>46191</v>
      </c>
      <c r="C524" s="1" t="s">
        <v>10</v>
      </c>
      <c r="D524" s="1" t="s">
        <v>14</v>
      </c>
      <c r="E524" s="4">
        <v>3</v>
      </c>
      <c r="F524" s="1" cm="1">
        <f t="array" ref="F524">_xlfn.IFS(D524="Tea", 40, D524="Coffee", 60, D524="Bakery", 100, D524="Beverages", 80)</f>
        <v>80</v>
      </c>
      <c r="G524" s="1">
        <f t="shared" si="8"/>
        <v>240</v>
      </c>
      <c r="H524" s="1" t="s">
        <v>25</v>
      </c>
      <c r="I524" s="1" t="s">
        <v>23</v>
      </c>
      <c r="J524" s="1">
        <v>1</v>
      </c>
    </row>
    <row r="525" spans="1:10" ht="15" x14ac:dyDescent="0.4">
      <c r="A525" s="1">
        <v>1524</v>
      </c>
      <c r="B525" s="2">
        <v>46084</v>
      </c>
      <c r="C525" s="1" t="s">
        <v>10</v>
      </c>
      <c r="D525" s="1" t="s">
        <v>14</v>
      </c>
      <c r="E525" s="4">
        <v>3</v>
      </c>
      <c r="F525" s="1" cm="1">
        <f t="array" ref="F525">_xlfn.IFS(D525="Tea", 40, D525="Coffee", 60, D525="Bakery", 100, D525="Beverages", 80)</f>
        <v>80</v>
      </c>
      <c r="G525" s="1">
        <f t="shared" si="8"/>
        <v>240</v>
      </c>
      <c r="H525" s="1" t="s">
        <v>25</v>
      </c>
      <c r="I525" s="1" t="s">
        <v>23</v>
      </c>
      <c r="J525" s="1">
        <v>3</v>
      </c>
    </row>
    <row r="526" spans="1:10" ht="15" x14ac:dyDescent="0.4">
      <c r="A526" s="1">
        <v>1525</v>
      </c>
      <c r="B526" s="2">
        <v>46198</v>
      </c>
      <c r="C526" s="1" t="s">
        <v>12</v>
      </c>
      <c r="D526" s="1" t="s">
        <v>11</v>
      </c>
      <c r="E526" s="4">
        <v>3</v>
      </c>
      <c r="F526" s="1" cm="1">
        <f t="array" ref="F526">_xlfn.IFS(D526="Tea", 40, D526="Coffee", 60, D526="Bakery", 100, D526="Beverages", 80)</f>
        <v>60</v>
      </c>
      <c r="G526" s="1">
        <f t="shared" si="8"/>
        <v>180</v>
      </c>
      <c r="H526" s="1" t="s">
        <v>25</v>
      </c>
      <c r="I526" s="1" t="s">
        <v>26</v>
      </c>
      <c r="J526" s="1">
        <v>4</v>
      </c>
    </row>
    <row r="527" spans="1:10" ht="15" x14ac:dyDescent="0.4">
      <c r="A527" s="1">
        <v>1526</v>
      </c>
      <c r="B527" s="2">
        <v>46107</v>
      </c>
      <c r="C527" s="1" t="s">
        <v>8</v>
      </c>
      <c r="D527" s="1" t="s">
        <v>14</v>
      </c>
      <c r="E527" s="4">
        <v>2</v>
      </c>
      <c r="F527" s="1" cm="1">
        <f t="array" ref="F527">_xlfn.IFS(D527="Tea", 40, D527="Coffee", 60, D527="Bakery", 100, D527="Beverages", 80)</f>
        <v>80</v>
      </c>
      <c r="G527" s="1">
        <f t="shared" si="8"/>
        <v>160</v>
      </c>
      <c r="H527" s="1" t="s">
        <v>25</v>
      </c>
      <c r="I527" s="1" t="s">
        <v>26</v>
      </c>
      <c r="J527" s="1">
        <v>5</v>
      </c>
    </row>
    <row r="528" spans="1:10" ht="15" x14ac:dyDescent="0.4">
      <c r="A528" s="1">
        <v>1527</v>
      </c>
      <c r="B528" s="2">
        <v>46026</v>
      </c>
      <c r="C528" s="1" t="s">
        <v>8</v>
      </c>
      <c r="D528" s="1" t="s">
        <v>11</v>
      </c>
      <c r="E528" s="4">
        <v>3</v>
      </c>
      <c r="F528" s="1" cm="1">
        <f t="array" ref="F528">_xlfn.IFS(D528="Tea", 40, D528="Coffee", 60, D528="Bakery", 100, D528="Beverages", 80)</f>
        <v>60</v>
      </c>
      <c r="G528" s="1">
        <f t="shared" si="8"/>
        <v>180</v>
      </c>
      <c r="H528" s="1" t="s">
        <v>25</v>
      </c>
      <c r="I528" s="1" t="s">
        <v>23</v>
      </c>
      <c r="J528" s="1">
        <v>4</v>
      </c>
    </row>
    <row r="529" spans="1:10" ht="15" x14ac:dyDescent="0.4">
      <c r="A529" s="1">
        <v>1528</v>
      </c>
      <c r="B529" s="2">
        <v>46043</v>
      </c>
      <c r="C529" s="1" t="s">
        <v>12</v>
      </c>
      <c r="D529" s="1" t="s">
        <v>11</v>
      </c>
      <c r="E529" s="4">
        <v>3</v>
      </c>
      <c r="F529" s="1" cm="1">
        <f t="array" ref="F529">_xlfn.IFS(D529="Tea", 40, D529="Coffee", 60, D529="Bakery", 100, D529="Beverages", 80)</f>
        <v>60</v>
      </c>
      <c r="G529" s="1">
        <f t="shared" si="8"/>
        <v>180</v>
      </c>
      <c r="H529" s="1" t="s">
        <v>25</v>
      </c>
      <c r="I529" s="1" t="s">
        <v>26</v>
      </c>
      <c r="J529" s="1">
        <v>3</v>
      </c>
    </row>
    <row r="530" spans="1:10" ht="15" x14ac:dyDescent="0.4">
      <c r="A530" s="1">
        <v>1529</v>
      </c>
      <c r="B530" s="2">
        <v>46084</v>
      </c>
      <c r="C530" s="1" t="s">
        <v>8</v>
      </c>
      <c r="D530" s="1" t="s">
        <v>11</v>
      </c>
      <c r="E530" s="4">
        <v>3</v>
      </c>
      <c r="F530" s="1" cm="1">
        <f t="array" ref="F530">_xlfn.IFS(D530="Tea", 40, D530="Coffee", 60, D530="Bakery", 100, D530="Beverages", 80)</f>
        <v>60</v>
      </c>
      <c r="G530" s="1">
        <f t="shared" si="8"/>
        <v>180</v>
      </c>
      <c r="H530" s="1" t="s">
        <v>24</v>
      </c>
      <c r="I530" s="1" t="s">
        <v>26</v>
      </c>
      <c r="J530" s="1">
        <v>3</v>
      </c>
    </row>
    <row r="531" spans="1:10" ht="15" x14ac:dyDescent="0.4">
      <c r="A531" s="1">
        <v>1530</v>
      </c>
      <c r="B531" s="2">
        <v>46120</v>
      </c>
      <c r="C531" s="1" t="s">
        <v>10</v>
      </c>
      <c r="D531" s="1" t="s">
        <v>11</v>
      </c>
      <c r="E531" s="4">
        <v>2</v>
      </c>
      <c r="F531" s="1" cm="1">
        <f t="array" ref="F531">_xlfn.IFS(D531="Tea", 40, D531="Coffee", 60, D531="Bakery", 100, D531="Beverages", 80)</f>
        <v>60</v>
      </c>
      <c r="G531" s="1">
        <f t="shared" si="8"/>
        <v>120</v>
      </c>
      <c r="H531" s="1" t="s">
        <v>21</v>
      </c>
      <c r="I531" s="1" t="s">
        <v>26</v>
      </c>
      <c r="J531" s="1">
        <v>5</v>
      </c>
    </row>
    <row r="532" spans="1:10" ht="15" x14ac:dyDescent="0.4">
      <c r="A532" s="1">
        <v>1531</v>
      </c>
      <c r="B532" s="2">
        <v>46180</v>
      </c>
      <c r="C532" s="1" t="s">
        <v>8</v>
      </c>
      <c r="D532" s="1" t="s">
        <v>11</v>
      </c>
      <c r="E532" s="4">
        <v>1</v>
      </c>
      <c r="F532" s="1" cm="1">
        <f t="array" ref="F532">_xlfn.IFS(D532="Tea", 40, D532="Coffee", 60, D532="Bakery", 100, D532="Beverages", 80)</f>
        <v>60</v>
      </c>
      <c r="G532" s="1">
        <f t="shared" si="8"/>
        <v>60</v>
      </c>
      <c r="H532" s="1" t="s">
        <v>21</v>
      </c>
      <c r="I532" s="1" t="s">
        <v>22</v>
      </c>
      <c r="J532" s="1">
        <v>3</v>
      </c>
    </row>
    <row r="533" spans="1:10" ht="15" x14ac:dyDescent="0.4">
      <c r="A533" s="1">
        <v>1532</v>
      </c>
      <c r="B533" s="2">
        <v>46164</v>
      </c>
      <c r="C533" s="1" t="s">
        <v>8</v>
      </c>
      <c r="D533" s="1" t="s">
        <v>13</v>
      </c>
      <c r="E533" s="4">
        <v>1</v>
      </c>
      <c r="F533" s="1" cm="1">
        <f t="array" ref="F533">_xlfn.IFS(D533="Tea", 40, D533="Coffee", 60, D533="Bakery", 100, D533="Beverages", 80)</f>
        <v>100</v>
      </c>
      <c r="G533" s="1">
        <f t="shared" si="8"/>
        <v>100</v>
      </c>
      <c r="H533" s="1" t="s">
        <v>25</v>
      </c>
      <c r="I533" s="1" t="s">
        <v>23</v>
      </c>
      <c r="J533" s="1">
        <v>4</v>
      </c>
    </row>
    <row r="534" spans="1:10" ht="15" x14ac:dyDescent="0.4">
      <c r="A534" s="1">
        <v>1533</v>
      </c>
      <c r="B534" s="2">
        <v>46152</v>
      </c>
      <c r="C534" s="1" t="s">
        <v>12</v>
      </c>
      <c r="D534" s="1" t="s">
        <v>14</v>
      </c>
      <c r="E534" s="4">
        <v>3</v>
      </c>
      <c r="F534" s="1" cm="1">
        <f t="array" ref="F534">_xlfn.IFS(D534="Tea", 40, D534="Coffee", 60, D534="Bakery", 100, D534="Beverages", 80)</f>
        <v>80</v>
      </c>
      <c r="G534" s="1">
        <f t="shared" si="8"/>
        <v>240</v>
      </c>
      <c r="H534" s="1" t="s">
        <v>25</v>
      </c>
      <c r="I534" s="1" t="s">
        <v>22</v>
      </c>
      <c r="J534" s="1">
        <v>4</v>
      </c>
    </row>
    <row r="535" spans="1:10" ht="15" x14ac:dyDescent="0.4">
      <c r="A535" s="1">
        <v>1534</v>
      </c>
      <c r="B535" s="2">
        <v>46159</v>
      </c>
      <c r="C535" s="1" t="s">
        <v>12</v>
      </c>
      <c r="D535" s="1" t="s">
        <v>14</v>
      </c>
      <c r="E535" s="4">
        <v>1</v>
      </c>
      <c r="F535" s="1" cm="1">
        <f t="array" ref="F535">_xlfn.IFS(D535="Tea", 40, D535="Coffee", 60, D535="Bakery", 100, D535="Beverages", 80)</f>
        <v>80</v>
      </c>
      <c r="G535" s="1">
        <f t="shared" si="8"/>
        <v>80</v>
      </c>
      <c r="H535" s="1" t="s">
        <v>21</v>
      </c>
      <c r="I535" s="1" t="s">
        <v>23</v>
      </c>
      <c r="J535" s="1">
        <v>5</v>
      </c>
    </row>
    <row r="536" spans="1:10" ht="15" x14ac:dyDescent="0.4">
      <c r="A536" s="1">
        <v>1535</v>
      </c>
      <c r="B536" s="2">
        <v>46147</v>
      </c>
      <c r="C536" s="1" t="s">
        <v>10</v>
      </c>
      <c r="D536" s="1" t="s">
        <v>11</v>
      </c>
      <c r="E536" s="4">
        <v>2</v>
      </c>
      <c r="F536" s="1" cm="1">
        <f t="array" ref="F536">_xlfn.IFS(D536="Tea", 40, D536="Coffee", 60, D536="Bakery", 100, D536="Beverages", 80)</f>
        <v>60</v>
      </c>
      <c r="G536" s="1">
        <f t="shared" si="8"/>
        <v>120</v>
      </c>
      <c r="H536" s="1" t="s">
        <v>21</v>
      </c>
      <c r="I536" s="1" t="s">
        <v>22</v>
      </c>
      <c r="J536" s="1">
        <v>2</v>
      </c>
    </row>
    <row r="537" spans="1:10" ht="15" x14ac:dyDescent="0.4">
      <c r="A537" s="1">
        <v>1536</v>
      </c>
      <c r="B537" s="2">
        <v>46064</v>
      </c>
      <c r="C537" s="1" t="s">
        <v>8</v>
      </c>
      <c r="D537" s="1" t="s">
        <v>11</v>
      </c>
      <c r="E537" s="4">
        <v>1</v>
      </c>
      <c r="F537" s="1" cm="1">
        <f t="array" ref="F537">_xlfn.IFS(D537="Tea", 40, D537="Coffee", 60, D537="Bakery", 100, D537="Beverages", 80)</f>
        <v>60</v>
      </c>
      <c r="G537" s="1">
        <f t="shared" si="8"/>
        <v>60</v>
      </c>
      <c r="H537" s="1" t="s">
        <v>25</v>
      </c>
      <c r="I537" s="1" t="s">
        <v>23</v>
      </c>
      <c r="J537" s="1">
        <v>5</v>
      </c>
    </row>
    <row r="538" spans="1:10" ht="15" x14ac:dyDescent="0.4">
      <c r="A538" s="1">
        <v>1537</v>
      </c>
      <c r="B538" s="2">
        <v>46065</v>
      </c>
      <c r="C538" s="1" t="s">
        <v>10</v>
      </c>
      <c r="D538" s="1" t="s">
        <v>14</v>
      </c>
      <c r="E538" s="4">
        <v>2</v>
      </c>
      <c r="F538" s="1" cm="1">
        <f t="array" ref="F538">_xlfn.IFS(D538="Tea", 40, D538="Coffee", 60, D538="Bakery", 100, D538="Beverages", 80)</f>
        <v>80</v>
      </c>
      <c r="G538" s="1">
        <f t="shared" si="8"/>
        <v>160</v>
      </c>
      <c r="H538" s="1" t="s">
        <v>24</v>
      </c>
      <c r="I538" s="1" t="s">
        <v>23</v>
      </c>
      <c r="J538" s="1">
        <v>3</v>
      </c>
    </row>
    <row r="539" spans="1:10" ht="15" x14ac:dyDescent="0.4">
      <c r="A539" s="1">
        <v>1538</v>
      </c>
      <c r="B539" s="2">
        <v>46105</v>
      </c>
      <c r="C539" s="1" t="s">
        <v>12</v>
      </c>
      <c r="D539" s="1" t="s">
        <v>9</v>
      </c>
      <c r="E539" s="4">
        <v>2</v>
      </c>
      <c r="F539" s="1" cm="1">
        <f t="array" ref="F539">_xlfn.IFS(D539="Tea", 40, D539="Coffee", 60, D539="Bakery", 100, D539="Beverages", 80)</f>
        <v>40</v>
      </c>
      <c r="G539" s="1">
        <f t="shared" si="8"/>
        <v>80</v>
      </c>
      <c r="H539" s="1" t="s">
        <v>21</v>
      </c>
      <c r="I539" s="1" t="s">
        <v>26</v>
      </c>
      <c r="J539" s="1">
        <v>3</v>
      </c>
    </row>
    <row r="540" spans="1:10" ht="15" x14ac:dyDescent="0.4">
      <c r="A540" s="1">
        <v>1539</v>
      </c>
      <c r="B540" s="2">
        <v>46177</v>
      </c>
      <c r="C540" s="1" t="s">
        <v>12</v>
      </c>
      <c r="D540" s="1" t="s">
        <v>13</v>
      </c>
      <c r="E540" s="4">
        <v>2</v>
      </c>
      <c r="F540" s="1" cm="1">
        <f t="array" ref="F540">_xlfn.IFS(D540="Tea", 40, D540="Coffee", 60, D540="Bakery", 100, D540="Beverages", 80)</f>
        <v>100</v>
      </c>
      <c r="G540" s="1">
        <f t="shared" si="8"/>
        <v>200</v>
      </c>
      <c r="H540" s="1" t="s">
        <v>24</v>
      </c>
      <c r="I540" s="1" t="s">
        <v>26</v>
      </c>
      <c r="J540" s="1">
        <v>3</v>
      </c>
    </row>
    <row r="541" spans="1:10" ht="15" x14ac:dyDescent="0.4">
      <c r="A541" s="1">
        <v>1540</v>
      </c>
      <c r="B541" s="2">
        <v>46190</v>
      </c>
      <c r="C541" s="1" t="s">
        <v>10</v>
      </c>
      <c r="D541" s="1" t="s">
        <v>9</v>
      </c>
      <c r="E541" s="4">
        <v>1</v>
      </c>
      <c r="F541" s="1" cm="1">
        <f t="array" ref="F541">_xlfn.IFS(D541="Tea", 40, D541="Coffee", 60, D541="Bakery", 100, D541="Beverages", 80)</f>
        <v>40</v>
      </c>
      <c r="G541" s="1">
        <f t="shared" si="8"/>
        <v>40</v>
      </c>
      <c r="H541" s="1" t="s">
        <v>25</v>
      </c>
      <c r="I541" s="1" t="s">
        <v>22</v>
      </c>
      <c r="J541" s="1">
        <v>2</v>
      </c>
    </row>
    <row r="542" spans="1:10" ht="15" x14ac:dyDescent="0.4">
      <c r="A542" s="1">
        <v>1541</v>
      </c>
      <c r="B542" s="2">
        <v>46037</v>
      </c>
      <c r="C542" s="1" t="s">
        <v>8</v>
      </c>
      <c r="D542" s="1" t="s">
        <v>11</v>
      </c>
      <c r="E542" s="4">
        <v>2</v>
      </c>
      <c r="F542" s="1" cm="1">
        <f t="array" ref="F542">_xlfn.IFS(D542="Tea", 40, D542="Coffee", 60, D542="Bakery", 100, D542="Beverages", 80)</f>
        <v>60</v>
      </c>
      <c r="G542" s="1">
        <f t="shared" si="8"/>
        <v>120</v>
      </c>
      <c r="H542" s="1" t="s">
        <v>24</v>
      </c>
      <c r="I542" s="1" t="s">
        <v>26</v>
      </c>
      <c r="J542" s="1">
        <v>1</v>
      </c>
    </row>
    <row r="543" spans="1:10" ht="15" x14ac:dyDescent="0.4">
      <c r="A543" s="1">
        <v>1542</v>
      </c>
      <c r="B543" s="2">
        <v>46196</v>
      </c>
      <c r="C543" s="1" t="s">
        <v>10</v>
      </c>
      <c r="D543" s="1" t="s">
        <v>14</v>
      </c>
      <c r="E543" s="4">
        <v>1</v>
      </c>
      <c r="F543" s="1" cm="1">
        <f t="array" ref="F543">_xlfn.IFS(D543="Tea", 40, D543="Coffee", 60, D543="Bakery", 100, D543="Beverages", 80)</f>
        <v>80</v>
      </c>
      <c r="G543" s="1">
        <f t="shared" si="8"/>
        <v>80</v>
      </c>
      <c r="H543" s="1" t="s">
        <v>21</v>
      </c>
      <c r="I543" s="1" t="s">
        <v>23</v>
      </c>
      <c r="J543" s="1">
        <v>1</v>
      </c>
    </row>
    <row r="544" spans="1:10" ht="15" x14ac:dyDescent="0.4">
      <c r="A544" s="1">
        <v>1543</v>
      </c>
      <c r="B544" s="2">
        <v>46171</v>
      </c>
      <c r="C544" s="1" t="s">
        <v>8</v>
      </c>
      <c r="D544" s="1" t="s">
        <v>13</v>
      </c>
      <c r="E544" s="4">
        <v>2</v>
      </c>
      <c r="F544" s="1" cm="1">
        <f t="array" ref="F544">_xlfn.IFS(D544="Tea", 40, D544="Coffee", 60, D544="Bakery", 100, D544="Beverages", 80)</f>
        <v>100</v>
      </c>
      <c r="G544" s="1">
        <f t="shared" si="8"/>
        <v>200</v>
      </c>
      <c r="H544" s="1" t="s">
        <v>24</v>
      </c>
      <c r="I544" s="1" t="s">
        <v>22</v>
      </c>
      <c r="J544" s="1">
        <v>5</v>
      </c>
    </row>
    <row r="545" spans="1:10" ht="15" x14ac:dyDescent="0.4">
      <c r="A545" s="1">
        <v>1544</v>
      </c>
      <c r="B545" s="2">
        <v>46126</v>
      </c>
      <c r="C545" s="1" t="s">
        <v>8</v>
      </c>
      <c r="D545" s="1" t="s">
        <v>9</v>
      </c>
      <c r="E545" s="4">
        <v>3</v>
      </c>
      <c r="F545" s="1" cm="1">
        <f t="array" ref="F545">_xlfn.IFS(D545="Tea", 40, D545="Coffee", 60, D545="Bakery", 100, D545="Beverages", 80)</f>
        <v>40</v>
      </c>
      <c r="G545" s="1">
        <f t="shared" si="8"/>
        <v>120</v>
      </c>
      <c r="H545" s="1" t="s">
        <v>25</v>
      </c>
      <c r="I545" s="1" t="s">
        <v>23</v>
      </c>
      <c r="J545" s="1">
        <v>2</v>
      </c>
    </row>
    <row r="546" spans="1:10" ht="15" x14ac:dyDescent="0.4">
      <c r="A546" s="1">
        <v>1545</v>
      </c>
      <c r="B546" s="2">
        <v>46107</v>
      </c>
      <c r="C546" s="1" t="s">
        <v>12</v>
      </c>
      <c r="D546" s="1" t="s">
        <v>9</v>
      </c>
      <c r="E546" s="4">
        <v>1</v>
      </c>
      <c r="F546" s="1" cm="1">
        <f t="array" ref="F546">_xlfn.IFS(D546="Tea", 40, D546="Coffee", 60, D546="Bakery", 100, D546="Beverages", 80)</f>
        <v>40</v>
      </c>
      <c r="G546" s="1">
        <f t="shared" si="8"/>
        <v>40</v>
      </c>
      <c r="H546" s="1" t="s">
        <v>21</v>
      </c>
      <c r="I546" s="1" t="s">
        <v>26</v>
      </c>
      <c r="J546" s="1">
        <v>4</v>
      </c>
    </row>
    <row r="547" spans="1:10" ht="15" x14ac:dyDescent="0.4">
      <c r="A547" s="1">
        <v>1546</v>
      </c>
      <c r="B547" s="2">
        <v>46137</v>
      </c>
      <c r="C547" s="1" t="s">
        <v>10</v>
      </c>
      <c r="D547" s="1" t="s">
        <v>9</v>
      </c>
      <c r="E547" s="4">
        <v>3</v>
      </c>
      <c r="F547" s="1" cm="1">
        <f t="array" ref="F547">_xlfn.IFS(D547="Tea", 40, D547="Coffee", 60, D547="Bakery", 100, D547="Beverages", 80)</f>
        <v>40</v>
      </c>
      <c r="G547" s="1">
        <f t="shared" si="8"/>
        <v>120</v>
      </c>
      <c r="H547" s="1" t="s">
        <v>24</v>
      </c>
      <c r="I547" s="1" t="s">
        <v>22</v>
      </c>
      <c r="J547" s="1">
        <v>5</v>
      </c>
    </row>
    <row r="548" spans="1:10" ht="15" x14ac:dyDescent="0.4">
      <c r="A548" s="1">
        <v>1547</v>
      </c>
      <c r="B548" s="2">
        <v>46092</v>
      </c>
      <c r="C548" s="1" t="s">
        <v>10</v>
      </c>
      <c r="D548" s="1" t="s">
        <v>14</v>
      </c>
      <c r="E548" s="4">
        <v>2</v>
      </c>
      <c r="F548" s="1" cm="1">
        <f t="array" ref="F548">_xlfn.IFS(D548="Tea", 40, D548="Coffee", 60, D548="Bakery", 100, D548="Beverages", 80)</f>
        <v>80</v>
      </c>
      <c r="G548" s="1">
        <f t="shared" si="8"/>
        <v>160</v>
      </c>
      <c r="H548" s="1" t="s">
        <v>24</v>
      </c>
      <c r="I548" s="1" t="s">
        <v>26</v>
      </c>
      <c r="J548" s="1">
        <v>3</v>
      </c>
    </row>
    <row r="549" spans="1:10" ht="15" x14ac:dyDescent="0.4">
      <c r="A549" s="1">
        <v>1548</v>
      </c>
      <c r="B549" s="2">
        <v>46054</v>
      </c>
      <c r="C549" s="1" t="s">
        <v>8</v>
      </c>
      <c r="D549" s="1" t="s">
        <v>13</v>
      </c>
      <c r="E549" s="4">
        <v>3</v>
      </c>
      <c r="F549" s="1" cm="1">
        <f t="array" ref="F549">_xlfn.IFS(D549="Tea", 40, D549="Coffee", 60, D549="Bakery", 100, D549="Beverages", 80)</f>
        <v>100</v>
      </c>
      <c r="G549" s="1">
        <f t="shared" si="8"/>
        <v>300</v>
      </c>
      <c r="H549" s="1" t="s">
        <v>24</v>
      </c>
      <c r="I549" s="1" t="s">
        <v>23</v>
      </c>
      <c r="J549" s="1">
        <v>1</v>
      </c>
    </row>
    <row r="550" spans="1:10" ht="15" x14ac:dyDescent="0.4">
      <c r="A550" s="1">
        <v>1549</v>
      </c>
      <c r="B550" s="2">
        <v>46153</v>
      </c>
      <c r="C550" s="1" t="s">
        <v>8</v>
      </c>
      <c r="D550" s="1" t="s">
        <v>9</v>
      </c>
      <c r="E550" s="4">
        <v>2</v>
      </c>
      <c r="F550" s="1" cm="1">
        <f t="array" ref="F550">_xlfn.IFS(D550="Tea", 40, D550="Coffee", 60, D550="Bakery", 100, D550="Beverages", 80)</f>
        <v>40</v>
      </c>
      <c r="G550" s="1">
        <f t="shared" si="8"/>
        <v>80</v>
      </c>
      <c r="H550" s="1" t="s">
        <v>24</v>
      </c>
      <c r="I550" s="1" t="s">
        <v>22</v>
      </c>
      <c r="J550" s="1">
        <v>5</v>
      </c>
    </row>
    <row r="551" spans="1:10" ht="15" x14ac:dyDescent="0.4">
      <c r="A551" s="1">
        <v>1550</v>
      </c>
      <c r="B551" s="2">
        <v>46093</v>
      </c>
      <c r="C551" s="1" t="s">
        <v>8</v>
      </c>
      <c r="D551" s="1" t="s">
        <v>14</v>
      </c>
      <c r="E551" s="4">
        <v>2</v>
      </c>
      <c r="F551" s="1" cm="1">
        <f t="array" ref="F551">_xlfn.IFS(D551="Tea", 40, D551="Coffee", 60, D551="Bakery", 100, D551="Beverages", 80)</f>
        <v>80</v>
      </c>
      <c r="G551" s="1">
        <f t="shared" si="8"/>
        <v>160</v>
      </c>
      <c r="H551" s="1" t="s">
        <v>21</v>
      </c>
      <c r="I551" s="1" t="s">
        <v>22</v>
      </c>
      <c r="J551" s="1">
        <v>1</v>
      </c>
    </row>
    <row r="552" spans="1:10" ht="15" x14ac:dyDescent="0.4">
      <c r="A552" s="1">
        <v>1551</v>
      </c>
      <c r="B552" s="2">
        <v>46071</v>
      </c>
      <c r="C552" s="1" t="s">
        <v>10</v>
      </c>
      <c r="D552" s="1" t="s">
        <v>11</v>
      </c>
      <c r="E552" s="4">
        <v>2</v>
      </c>
      <c r="F552" s="1" cm="1">
        <f t="array" ref="F552">_xlfn.IFS(D552="Tea", 40, D552="Coffee", 60, D552="Bakery", 100, D552="Beverages", 80)</f>
        <v>60</v>
      </c>
      <c r="G552" s="1">
        <f t="shared" si="8"/>
        <v>120</v>
      </c>
      <c r="H552" s="1" t="s">
        <v>25</v>
      </c>
      <c r="I552" s="1" t="s">
        <v>26</v>
      </c>
      <c r="J552" s="1">
        <v>1</v>
      </c>
    </row>
    <row r="553" spans="1:10" ht="15" x14ac:dyDescent="0.4">
      <c r="A553" s="1">
        <v>1552</v>
      </c>
      <c r="B553" s="2">
        <v>46035</v>
      </c>
      <c r="C553" s="1" t="s">
        <v>10</v>
      </c>
      <c r="D553" s="1" t="s">
        <v>11</v>
      </c>
      <c r="E553" s="4">
        <v>3</v>
      </c>
      <c r="F553" s="1" cm="1">
        <f t="array" ref="F553">_xlfn.IFS(D553="Tea", 40, D553="Coffee", 60, D553="Bakery", 100, D553="Beverages", 80)</f>
        <v>60</v>
      </c>
      <c r="G553" s="1">
        <f t="shared" si="8"/>
        <v>180</v>
      </c>
      <c r="H553" s="1" t="s">
        <v>21</v>
      </c>
      <c r="I553" s="1" t="s">
        <v>26</v>
      </c>
      <c r="J553" s="1">
        <v>3</v>
      </c>
    </row>
    <row r="554" spans="1:10" ht="15" x14ac:dyDescent="0.4">
      <c r="A554" s="1">
        <v>1553</v>
      </c>
      <c r="B554" s="2">
        <v>46092</v>
      </c>
      <c r="C554" s="1" t="s">
        <v>10</v>
      </c>
      <c r="D554" s="1" t="s">
        <v>14</v>
      </c>
      <c r="E554" s="4">
        <v>1</v>
      </c>
      <c r="F554" s="1" cm="1">
        <f t="array" ref="F554">_xlfn.IFS(D554="Tea", 40, D554="Coffee", 60, D554="Bakery", 100, D554="Beverages", 80)</f>
        <v>80</v>
      </c>
      <c r="G554" s="1">
        <f t="shared" si="8"/>
        <v>80</v>
      </c>
      <c r="H554" s="1" t="s">
        <v>21</v>
      </c>
      <c r="I554" s="1" t="s">
        <v>26</v>
      </c>
      <c r="J554" s="1">
        <v>4</v>
      </c>
    </row>
    <row r="555" spans="1:10" ht="15" x14ac:dyDescent="0.4">
      <c r="A555" s="1">
        <v>1554</v>
      </c>
      <c r="B555" s="2">
        <v>46111</v>
      </c>
      <c r="C555" s="1" t="s">
        <v>10</v>
      </c>
      <c r="D555" s="1" t="s">
        <v>13</v>
      </c>
      <c r="E555" s="4">
        <v>2</v>
      </c>
      <c r="F555" s="1" cm="1">
        <f t="array" ref="F555">_xlfn.IFS(D555="Tea", 40, D555="Coffee", 60, D555="Bakery", 100, D555="Beverages", 80)</f>
        <v>100</v>
      </c>
      <c r="G555" s="1">
        <f t="shared" si="8"/>
        <v>200</v>
      </c>
      <c r="H555" s="1" t="s">
        <v>25</v>
      </c>
      <c r="I555" s="1" t="s">
        <v>26</v>
      </c>
      <c r="J555" s="1">
        <v>3</v>
      </c>
    </row>
    <row r="556" spans="1:10" ht="15" x14ac:dyDescent="0.4">
      <c r="A556" s="1">
        <v>1555</v>
      </c>
      <c r="B556" s="2">
        <v>46043</v>
      </c>
      <c r="C556" s="1" t="s">
        <v>10</v>
      </c>
      <c r="D556" s="1" t="s">
        <v>13</v>
      </c>
      <c r="E556" s="4">
        <v>3</v>
      </c>
      <c r="F556" s="1" cm="1">
        <f t="array" ref="F556">_xlfn.IFS(D556="Tea", 40, D556="Coffee", 60, D556="Bakery", 100, D556="Beverages", 80)</f>
        <v>100</v>
      </c>
      <c r="G556" s="1">
        <f t="shared" si="8"/>
        <v>300</v>
      </c>
      <c r="H556" s="1" t="s">
        <v>25</v>
      </c>
      <c r="I556" s="1" t="s">
        <v>26</v>
      </c>
      <c r="J556" s="1">
        <v>2</v>
      </c>
    </row>
    <row r="557" spans="1:10" ht="15" x14ac:dyDescent="0.4">
      <c r="A557" s="1">
        <v>1556</v>
      </c>
      <c r="B557" s="2">
        <v>46091</v>
      </c>
      <c r="C557" s="1" t="s">
        <v>12</v>
      </c>
      <c r="D557" s="1" t="s">
        <v>14</v>
      </c>
      <c r="E557" s="4">
        <v>1</v>
      </c>
      <c r="F557" s="1" cm="1">
        <f t="array" ref="F557">_xlfn.IFS(D557="Tea", 40, D557="Coffee", 60, D557="Bakery", 100, D557="Beverages", 80)</f>
        <v>80</v>
      </c>
      <c r="G557" s="1">
        <f t="shared" si="8"/>
        <v>80</v>
      </c>
      <c r="H557" s="1" t="s">
        <v>25</v>
      </c>
      <c r="I557" s="1" t="s">
        <v>26</v>
      </c>
      <c r="J557" s="1">
        <v>1</v>
      </c>
    </row>
    <row r="558" spans="1:10" ht="15" x14ac:dyDescent="0.4">
      <c r="A558" s="1">
        <v>1557</v>
      </c>
      <c r="B558" s="2">
        <v>46132</v>
      </c>
      <c r="C558" s="1" t="s">
        <v>8</v>
      </c>
      <c r="D558" s="1" t="s">
        <v>11</v>
      </c>
      <c r="E558" s="4">
        <v>1</v>
      </c>
      <c r="F558" s="1" cm="1">
        <f t="array" ref="F558">_xlfn.IFS(D558="Tea", 40, D558="Coffee", 60, D558="Bakery", 100, D558="Beverages", 80)</f>
        <v>60</v>
      </c>
      <c r="G558" s="1">
        <f t="shared" si="8"/>
        <v>60</v>
      </c>
      <c r="H558" s="1" t="s">
        <v>21</v>
      </c>
      <c r="I558" s="1" t="s">
        <v>23</v>
      </c>
      <c r="J558" s="1">
        <v>4</v>
      </c>
    </row>
    <row r="559" spans="1:10" ht="15" x14ac:dyDescent="0.4">
      <c r="A559" s="1">
        <v>1558</v>
      </c>
      <c r="B559" s="2">
        <v>46042</v>
      </c>
      <c r="C559" s="1" t="s">
        <v>12</v>
      </c>
      <c r="D559" s="1" t="s">
        <v>11</v>
      </c>
      <c r="E559" s="4">
        <v>3</v>
      </c>
      <c r="F559" s="1" cm="1">
        <f t="array" ref="F559">_xlfn.IFS(D559="Tea", 40, D559="Coffee", 60, D559="Bakery", 100, D559="Beverages", 80)</f>
        <v>60</v>
      </c>
      <c r="G559" s="1">
        <f t="shared" si="8"/>
        <v>180</v>
      </c>
      <c r="H559" s="1" t="s">
        <v>21</v>
      </c>
      <c r="I559" s="1" t="s">
        <v>26</v>
      </c>
      <c r="J559" s="1">
        <v>4</v>
      </c>
    </row>
    <row r="560" spans="1:10" ht="15" x14ac:dyDescent="0.4">
      <c r="A560" s="1">
        <v>1559</v>
      </c>
      <c r="B560" s="2">
        <v>46035</v>
      </c>
      <c r="C560" s="1" t="s">
        <v>10</v>
      </c>
      <c r="D560" s="1" t="s">
        <v>11</v>
      </c>
      <c r="E560" s="4">
        <v>1</v>
      </c>
      <c r="F560" s="1" cm="1">
        <f t="array" ref="F560">_xlfn.IFS(D560="Tea", 40, D560="Coffee", 60, D560="Bakery", 100, D560="Beverages", 80)</f>
        <v>60</v>
      </c>
      <c r="G560" s="1">
        <f t="shared" si="8"/>
        <v>60</v>
      </c>
      <c r="H560" s="1" t="s">
        <v>25</v>
      </c>
      <c r="I560" s="1" t="s">
        <v>26</v>
      </c>
      <c r="J560" s="1">
        <v>4</v>
      </c>
    </row>
    <row r="561" spans="1:10" ht="15" x14ac:dyDescent="0.4">
      <c r="A561" s="1">
        <v>1560</v>
      </c>
      <c r="B561" s="2">
        <v>46187</v>
      </c>
      <c r="C561" s="1" t="s">
        <v>8</v>
      </c>
      <c r="D561" s="1" t="s">
        <v>11</v>
      </c>
      <c r="E561" s="4">
        <v>1</v>
      </c>
      <c r="F561" s="1" cm="1">
        <f t="array" ref="F561">_xlfn.IFS(D561="Tea", 40, D561="Coffee", 60, D561="Bakery", 100, D561="Beverages", 80)</f>
        <v>60</v>
      </c>
      <c r="G561" s="1">
        <f t="shared" si="8"/>
        <v>60</v>
      </c>
      <c r="H561" s="1" t="s">
        <v>24</v>
      </c>
      <c r="I561" s="1" t="s">
        <v>26</v>
      </c>
      <c r="J561" s="1">
        <v>3</v>
      </c>
    </row>
    <row r="562" spans="1:10" ht="15" x14ac:dyDescent="0.4">
      <c r="A562" s="1">
        <v>1561</v>
      </c>
      <c r="B562" s="2">
        <v>46054</v>
      </c>
      <c r="C562" s="1" t="s">
        <v>10</v>
      </c>
      <c r="D562" s="1" t="s">
        <v>11</v>
      </c>
      <c r="E562" s="4">
        <v>3</v>
      </c>
      <c r="F562" s="1" cm="1">
        <f t="array" ref="F562">_xlfn.IFS(D562="Tea", 40, D562="Coffee", 60, D562="Bakery", 100, D562="Beverages", 80)</f>
        <v>60</v>
      </c>
      <c r="G562" s="1">
        <f t="shared" si="8"/>
        <v>180</v>
      </c>
      <c r="H562" s="1" t="s">
        <v>24</v>
      </c>
      <c r="I562" s="1" t="s">
        <v>23</v>
      </c>
      <c r="J562" s="1">
        <v>2</v>
      </c>
    </row>
    <row r="563" spans="1:10" ht="15" x14ac:dyDescent="0.4">
      <c r="A563" s="1">
        <v>1562</v>
      </c>
      <c r="B563" s="2">
        <v>46200</v>
      </c>
      <c r="C563" s="1" t="s">
        <v>12</v>
      </c>
      <c r="D563" s="1" t="s">
        <v>13</v>
      </c>
      <c r="E563" s="4">
        <v>3</v>
      </c>
      <c r="F563" s="1" cm="1">
        <f t="array" ref="F563">_xlfn.IFS(D563="Tea", 40, D563="Coffee", 60, D563="Bakery", 100, D563="Beverages", 80)</f>
        <v>100</v>
      </c>
      <c r="G563" s="1">
        <f t="shared" si="8"/>
        <v>300</v>
      </c>
      <c r="H563" s="1" t="s">
        <v>24</v>
      </c>
      <c r="I563" s="1" t="s">
        <v>23</v>
      </c>
      <c r="J563" s="1">
        <v>3</v>
      </c>
    </row>
    <row r="564" spans="1:10" ht="15" x14ac:dyDescent="0.4">
      <c r="A564" s="1">
        <v>1563</v>
      </c>
      <c r="B564" s="2">
        <v>46161</v>
      </c>
      <c r="C564" s="1" t="s">
        <v>10</v>
      </c>
      <c r="D564" s="1" t="s">
        <v>14</v>
      </c>
      <c r="E564" s="4">
        <v>1</v>
      </c>
      <c r="F564" s="1" cm="1">
        <f t="array" ref="F564">_xlfn.IFS(D564="Tea", 40, D564="Coffee", 60, D564="Bakery", 100, D564="Beverages", 80)</f>
        <v>80</v>
      </c>
      <c r="G564" s="1">
        <f t="shared" si="8"/>
        <v>80</v>
      </c>
      <c r="H564" s="1" t="s">
        <v>24</v>
      </c>
      <c r="I564" s="1" t="s">
        <v>26</v>
      </c>
      <c r="J564" s="1">
        <v>3</v>
      </c>
    </row>
    <row r="565" spans="1:10" ht="15" x14ac:dyDescent="0.4">
      <c r="A565" s="1">
        <v>1564</v>
      </c>
      <c r="B565" s="2">
        <v>46059</v>
      </c>
      <c r="C565" s="1" t="s">
        <v>10</v>
      </c>
      <c r="D565" s="1" t="s">
        <v>13</v>
      </c>
      <c r="E565" s="4">
        <v>2</v>
      </c>
      <c r="F565" s="1" cm="1">
        <f t="array" ref="F565">_xlfn.IFS(D565="Tea", 40, D565="Coffee", 60, D565="Bakery", 100, D565="Beverages", 80)</f>
        <v>100</v>
      </c>
      <c r="G565" s="1">
        <f t="shared" si="8"/>
        <v>200</v>
      </c>
      <c r="H565" s="1" t="s">
        <v>25</v>
      </c>
      <c r="I565" s="1" t="s">
        <v>22</v>
      </c>
      <c r="J565" s="1">
        <v>5</v>
      </c>
    </row>
    <row r="566" spans="1:10" ht="15" x14ac:dyDescent="0.4">
      <c r="A566" s="1">
        <v>1565</v>
      </c>
      <c r="B566" s="2">
        <v>46112</v>
      </c>
      <c r="C566" s="1" t="s">
        <v>12</v>
      </c>
      <c r="D566" s="1" t="s">
        <v>11</v>
      </c>
      <c r="E566" s="4">
        <v>3</v>
      </c>
      <c r="F566" s="1" cm="1">
        <f t="array" ref="F566">_xlfn.IFS(D566="Tea", 40, D566="Coffee", 60, D566="Bakery", 100, D566="Beverages", 80)</f>
        <v>60</v>
      </c>
      <c r="G566" s="1">
        <f t="shared" si="8"/>
        <v>180</v>
      </c>
      <c r="H566" s="1" t="s">
        <v>24</v>
      </c>
      <c r="I566" s="1" t="s">
        <v>23</v>
      </c>
      <c r="J566" s="1">
        <v>5</v>
      </c>
    </row>
    <row r="567" spans="1:10" ht="15" x14ac:dyDescent="0.4">
      <c r="A567" s="1">
        <v>1566</v>
      </c>
      <c r="B567" s="2">
        <v>46090</v>
      </c>
      <c r="C567" s="1" t="s">
        <v>12</v>
      </c>
      <c r="D567" s="1" t="s">
        <v>13</v>
      </c>
      <c r="E567" s="4">
        <v>3</v>
      </c>
      <c r="F567" s="1" cm="1">
        <f t="array" ref="F567">_xlfn.IFS(D567="Tea", 40, D567="Coffee", 60, D567="Bakery", 100, D567="Beverages", 80)</f>
        <v>100</v>
      </c>
      <c r="G567" s="1">
        <f t="shared" si="8"/>
        <v>300</v>
      </c>
      <c r="H567" s="1" t="s">
        <v>25</v>
      </c>
      <c r="I567" s="1" t="s">
        <v>22</v>
      </c>
      <c r="J567" s="1">
        <v>4</v>
      </c>
    </row>
    <row r="568" spans="1:10" ht="15" x14ac:dyDescent="0.4">
      <c r="A568" s="1">
        <v>1567</v>
      </c>
      <c r="B568" s="2">
        <v>46162</v>
      </c>
      <c r="C568" s="1" t="s">
        <v>12</v>
      </c>
      <c r="D568" s="1" t="s">
        <v>13</v>
      </c>
      <c r="E568" s="4">
        <v>1</v>
      </c>
      <c r="F568" s="1" cm="1">
        <f t="array" ref="F568">_xlfn.IFS(D568="Tea", 40, D568="Coffee", 60, D568="Bakery", 100, D568="Beverages", 80)</f>
        <v>100</v>
      </c>
      <c r="G568" s="1">
        <f t="shared" si="8"/>
        <v>100</v>
      </c>
      <c r="H568" s="1" t="s">
        <v>25</v>
      </c>
      <c r="I568" s="1" t="s">
        <v>26</v>
      </c>
      <c r="J568" s="1">
        <v>2</v>
      </c>
    </row>
    <row r="569" spans="1:10" ht="15" x14ac:dyDescent="0.4">
      <c r="A569" s="1">
        <v>1568</v>
      </c>
      <c r="B569" s="2">
        <v>46062</v>
      </c>
      <c r="C569" s="1" t="s">
        <v>8</v>
      </c>
      <c r="D569" s="1" t="s">
        <v>11</v>
      </c>
      <c r="E569" s="4">
        <v>2</v>
      </c>
      <c r="F569" s="1" cm="1">
        <f t="array" ref="F569">_xlfn.IFS(D569="Tea", 40, D569="Coffee", 60, D569="Bakery", 100, D569="Beverages", 80)</f>
        <v>60</v>
      </c>
      <c r="G569" s="1">
        <f t="shared" si="8"/>
        <v>120</v>
      </c>
      <c r="H569" s="1" t="s">
        <v>25</v>
      </c>
      <c r="I569" s="1" t="s">
        <v>23</v>
      </c>
      <c r="J569" s="1">
        <v>5</v>
      </c>
    </row>
    <row r="570" spans="1:10" ht="15" x14ac:dyDescent="0.4">
      <c r="A570" s="1">
        <v>1569</v>
      </c>
      <c r="B570" s="2">
        <v>46075</v>
      </c>
      <c r="C570" s="1" t="s">
        <v>12</v>
      </c>
      <c r="D570" s="1" t="s">
        <v>13</v>
      </c>
      <c r="E570" s="4">
        <v>1</v>
      </c>
      <c r="F570" s="1" cm="1">
        <f t="array" ref="F570">_xlfn.IFS(D570="Tea", 40, D570="Coffee", 60, D570="Bakery", 100, D570="Beverages", 80)</f>
        <v>100</v>
      </c>
      <c r="G570" s="1">
        <f t="shared" si="8"/>
        <v>100</v>
      </c>
      <c r="H570" s="1" t="s">
        <v>25</v>
      </c>
      <c r="I570" s="1" t="s">
        <v>23</v>
      </c>
      <c r="J570" s="1">
        <v>5</v>
      </c>
    </row>
    <row r="571" spans="1:10" ht="15" x14ac:dyDescent="0.4">
      <c r="A571" s="1">
        <v>1570</v>
      </c>
      <c r="B571" s="2">
        <v>46192</v>
      </c>
      <c r="C571" s="1" t="s">
        <v>10</v>
      </c>
      <c r="D571" s="1" t="s">
        <v>9</v>
      </c>
      <c r="E571" s="4">
        <v>3</v>
      </c>
      <c r="F571" s="1" cm="1">
        <f t="array" ref="F571">_xlfn.IFS(D571="Tea", 40, D571="Coffee", 60, D571="Bakery", 100, D571="Beverages", 80)</f>
        <v>40</v>
      </c>
      <c r="G571" s="1">
        <f t="shared" si="8"/>
        <v>120</v>
      </c>
      <c r="H571" s="1" t="s">
        <v>24</v>
      </c>
      <c r="I571" s="1" t="s">
        <v>26</v>
      </c>
      <c r="J571" s="1">
        <v>3</v>
      </c>
    </row>
    <row r="572" spans="1:10" ht="15" x14ac:dyDescent="0.4">
      <c r="A572" s="1">
        <v>1571</v>
      </c>
      <c r="B572" s="2">
        <v>46175</v>
      </c>
      <c r="C572" s="1" t="s">
        <v>12</v>
      </c>
      <c r="D572" s="1" t="s">
        <v>13</v>
      </c>
      <c r="E572" s="4">
        <v>2</v>
      </c>
      <c r="F572" s="1" cm="1">
        <f t="array" ref="F572">_xlfn.IFS(D572="Tea", 40, D572="Coffee", 60, D572="Bakery", 100, D572="Beverages", 80)</f>
        <v>100</v>
      </c>
      <c r="G572" s="1">
        <f t="shared" si="8"/>
        <v>200</v>
      </c>
      <c r="H572" s="1" t="s">
        <v>24</v>
      </c>
      <c r="I572" s="1" t="s">
        <v>23</v>
      </c>
      <c r="J572" s="1">
        <v>3</v>
      </c>
    </row>
    <row r="573" spans="1:10" ht="15" x14ac:dyDescent="0.4">
      <c r="A573" s="1">
        <v>1572</v>
      </c>
      <c r="B573" s="2">
        <v>46152</v>
      </c>
      <c r="C573" s="1" t="s">
        <v>10</v>
      </c>
      <c r="D573" s="1" t="s">
        <v>11</v>
      </c>
      <c r="E573" s="4">
        <v>1</v>
      </c>
      <c r="F573" s="1" cm="1">
        <f t="array" ref="F573">_xlfn.IFS(D573="Tea", 40, D573="Coffee", 60, D573="Bakery", 100, D573="Beverages", 80)</f>
        <v>60</v>
      </c>
      <c r="G573" s="1">
        <f t="shared" si="8"/>
        <v>60</v>
      </c>
      <c r="H573" s="1" t="s">
        <v>25</v>
      </c>
      <c r="I573" s="1" t="s">
        <v>23</v>
      </c>
      <c r="J573" s="1">
        <v>3</v>
      </c>
    </row>
    <row r="574" spans="1:10" ht="15" x14ac:dyDescent="0.4">
      <c r="A574" s="1">
        <v>1573</v>
      </c>
      <c r="B574" s="2">
        <v>46191</v>
      </c>
      <c r="C574" s="1" t="s">
        <v>8</v>
      </c>
      <c r="D574" s="1" t="s">
        <v>9</v>
      </c>
      <c r="E574" s="4">
        <v>3</v>
      </c>
      <c r="F574" s="1" cm="1">
        <f t="array" ref="F574">_xlfn.IFS(D574="Tea", 40, D574="Coffee", 60, D574="Bakery", 100, D574="Beverages", 80)</f>
        <v>40</v>
      </c>
      <c r="G574" s="1">
        <f t="shared" si="8"/>
        <v>120</v>
      </c>
      <c r="H574" s="1" t="s">
        <v>24</v>
      </c>
      <c r="I574" s="1" t="s">
        <v>22</v>
      </c>
      <c r="J574" s="1">
        <v>2</v>
      </c>
    </row>
    <row r="575" spans="1:10" ht="15" x14ac:dyDescent="0.4">
      <c r="A575" s="1">
        <v>1574</v>
      </c>
      <c r="B575" s="2">
        <v>46101</v>
      </c>
      <c r="C575" s="1" t="s">
        <v>8</v>
      </c>
      <c r="D575" s="1" t="s">
        <v>14</v>
      </c>
      <c r="E575" s="4">
        <v>3</v>
      </c>
      <c r="F575" s="1" cm="1">
        <f t="array" ref="F575">_xlfn.IFS(D575="Tea", 40, D575="Coffee", 60, D575="Bakery", 100, D575="Beverages", 80)</f>
        <v>80</v>
      </c>
      <c r="G575" s="1">
        <f t="shared" si="8"/>
        <v>240</v>
      </c>
      <c r="H575" s="1" t="s">
        <v>24</v>
      </c>
      <c r="I575" s="1" t="s">
        <v>22</v>
      </c>
      <c r="J575" s="1">
        <v>2</v>
      </c>
    </row>
    <row r="576" spans="1:10" ht="15" x14ac:dyDescent="0.4">
      <c r="A576" s="1">
        <v>1575</v>
      </c>
      <c r="B576" s="2">
        <v>46183</v>
      </c>
      <c r="C576" s="1" t="s">
        <v>8</v>
      </c>
      <c r="D576" s="1" t="s">
        <v>11</v>
      </c>
      <c r="E576" s="4">
        <v>2</v>
      </c>
      <c r="F576" s="1" cm="1">
        <f t="array" ref="F576">_xlfn.IFS(D576="Tea", 40, D576="Coffee", 60, D576="Bakery", 100, D576="Beverages", 80)</f>
        <v>60</v>
      </c>
      <c r="G576" s="1">
        <f t="shared" si="8"/>
        <v>120</v>
      </c>
      <c r="H576" s="1" t="s">
        <v>24</v>
      </c>
      <c r="I576" s="1" t="s">
        <v>23</v>
      </c>
      <c r="J576" s="1">
        <v>2</v>
      </c>
    </row>
    <row r="577" spans="1:10" ht="15" x14ac:dyDescent="0.4">
      <c r="A577" s="1">
        <v>1576</v>
      </c>
      <c r="B577" s="2">
        <v>46138</v>
      </c>
      <c r="C577" s="1" t="s">
        <v>8</v>
      </c>
      <c r="D577" s="1" t="s">
        <v>11</v>
      </c>
      <c r="E577" s="4">
        <v>1</v>
      </c>
      <c r="F577" s="1" cm="1">
        <f t="array" ref="F577">_xlfn.IFS(D577="Tea", 40, D577="Coffee", 60, D577="Bakery", 100, D577="Beverages", 80)</f>
        <v>60</v>
      </c>
      <c r="G577" s="1">
        <f t="shared" si="8"/>
        <v>60</v>
      </c>
      <c r="H577" s="1" t="s">
        <v>21</v>
      </c>
      <c r="I577" s="1" t="s">
        <v>23</v>
      </c>
      <c r="J577" s="1">
        <v>1</v>
      </c>
    </row>
    <row r="578" spans="1:10" ht="15" x14ac:dyDescent="0.4">
      <c r="A578" s="1">
        <v>1577</v>
      </c>
      <c r="B578" s="2">
        <v>46055</v>
      </c>
      <c r="C578" s="1" t="s">
        <v>10</v>
      </c>
      <c r="D578" s="1" t="s">
        <v>9</v>
      </c>
      <c r="E578" s="4">
        <v>2</v>
      </c>
      <c r="F578" s="1" cm="1">
        <f t="array" ref="F578">_xlfn.IFS(D578="Tea", 40, D578="Coffee", 60, D578="Bakery", 100, D578="Beverages", 80)</f>
        <v>40</v>
      </c>
      <c r="G578" s="1">
        <f t="shared" si="8"/>
        <v>80</v>
      </c>
      <c r="H578" s="1" t="s">
        <v>24</v>
      </c>
      <c r="I578" s="1" t="s">
        <v>22</v>
      </c>
      <c r="J578" s="1">
        <v>5</v>
      </c>
    </row>
    <row r="579" spans="1:10" ht="15" x14ac:dyDescent="0.4">
      <c r="A579" s="1">
        <v>1578</v>
      </c>
      <c r="B579" s="2">
        <v>46025</v>
      </c>
      <c r="C579" s="1" t="s">
        <v>8</v>
      </c>
      <c r="D579" s="1" t="s">
        <v>11</v>
      </c>
      <c r="E579" s="4">
        <v>3</v>
      </c>
      <c r="F579" s="1" cm="1">
        <f t="array" ref="F579">_xlfn.IFS(D579="Tea", 40, D579="Coffee", 60, D579="Bakery", 100, D579="Beverages", 80)</f>
        <v>60</v>
      </c>
      <c r="G579" s="1">
        <f t="shared" ref="G579:G642" si="9">E579*F579</f>
        <v>180</v>
      </c>
      <c r="H579" s="1" t="s">
        <v>24</v>
      </c>
      <c r="I579" s="1" t="s">
        <v>23</v>
      </c>
      <c r="J579" s="1">
        <v>2</v>
      </c>
    </row>
    <row r="580" spans="1:10" ht="15" x14ac:dyDescent="0.4">
      <c r="A580" s="1">
        <v>1579</v>
      </c>
      <c r="B580" s="2">
        <v>46054</v>
      </c>
      <c r="C580" s="1" t="s">
        <v>10</v>
      </c>
      <c r="D580" s="1" t="s">
        <v>14</v>
      </c>
      <c r="E580" s="4">
        <v>3</v>
      </c>
      <c r="F580" s="1" cm="1">
        <f t="array" ref="F580">_xlfn.IFS(D580="Tea", 40, D580="Coffee", 60, D580="Bakery", 100, D580="Beverages", 80)</f>
        <v>80</v>
      </c>
      <c r="G580" s="1">
        <f t="shared" si="9"/>
        <v>240</v>
      </c>
      <c r="H580" s="1" t="s">
        <v>24</v>
      </c>
      <c r="I580" s="1" t="s">
        <v>26</v>
      </c>
      <c r="J580" s="1">
        <v>2</v>
      </c>
    </row>
    <row r="581" spans="1:10" ht="15" x14ac:dyDescent="0.4">
      <c r="A581" s="1">
        <v>1580</v>
      </c>
      <c r="B581" s="2">
        <v>46150</v>
      </c>
      <c r="C581" s="1" t="s">
        <v>12</v>
      </c>
      <c r="D581" s="1" t="s">
        <v>14</v>
      </c>
      <c r="E581" s="4">
        <v>2</v>
      </c>
      <c r="F581" s="1" cm="1">
        <f t="array" ref="F581">_xlfn.IFS(D581="Tea", 40, D581="Coffee", 60, D581="Bakery", 100, D581="Beverages", 80)</f>
        <v>80</v>
      </c>
      <c r="G581" s="1">
        <f t="shared" si="9"/>
        <v>160</v>
      </c>
      <c r="H581" s="1" t="s">
        <v>25</v>
      </c>
      <c r="I581" s="1" t="s">
        <v>22</v>
      </c>
      <c r="J581" s="1">
        <v>1</v>
      </c>
    </row>
    <row r="582" spans="1:10" ht="15" x14ac:dyDescent="0.4">
      <c r="A582" s="1">
        <v>1581</v>
      </c>
      <c r="B582" s="2">
        <v>46187</v>
      </c>
      <c r="C582" s="1" t="s">
        <v>12</v>
      </c>
      <c r="D582" s="1" t="s">
        <v>14</v>
      </c>
      <c r="E582" s="4">
        <v>1</v>
      </c>
      <c r="F582" s="1" cm="1">
        <f t="array" ref="F582">_xlfn.IFS(D582="Tea", 40, D582="Coffee", 60, D582="Bakery", 100, D582="Beverages", 80)</f>
        <v>80</v>
      </c>
      <c r="G582" s="1">
        <f t="shared" si="9"/>
        <v>80</v>
      </c>
      <c r="H582" s="1" t="s">
        <v>25</v>
      </c>
      <c r="I582" s="1" t="s">
        <v>23</v>
      </c>
      <c r="J582" s="1">
        <v>2</v>
      </c>
    </row>
    <row r="583" spans="1:10" ht="15" x14ac:dyDescent="0.4">
      <c r="A583" s="1">
        <v>1582</v>
      </c>
      <c r="B583" s="2">
        <v>46167</v>
      </c>
      <c r="C583" s="1" t="s">
        <v>10</v>
      </c>
      <c r="D583" s="1" t="s">
        <v>14</v>
      </c>
      <c r="E583" s="4">
        <v>1</v>
      </c>
      <c r="F583" s="1" cm="1">
        <f t="array" ref="F583">_xlfn.IFS(D583="Tea", 40, D583="Coffee", 60, D583="Bakery", 100, D583="Beverages", 80)</f>
        <v>80</v>
      </c>
      <c r="G583" s="1">
        <f t="shared" si="9"/>
        <v>80</v>
      </c>
      <c r="H583" s="1" t="s">
        <v>21</v>
      </c>
      <c r="I583" s="1" t="s">
        <v>26</v>
      </c>
      <c r="J583" s="1">
        <v>5</v>
      </c>
    </row>
    <row r="584" spans="1:10" ht="15" x14ac:dyDescent="0.4">
      <c r="A584" s="1">
        <v>1583</v>
      </c>
      <c r="B584" s="2">
        <v>46038</v>
      </c>
      <c r="C584" s="1" t="s">
        <v>10</v>
      </c>
      <c r="D584" s="1" t="s">
        <v>13</v>
      </c>
      <c r="E584" s="4">
        <v>3</v>
      </c>
      <c r="F584" s="1" cm="1">
        <f t="array" ref="F584">_xlfn.IFS(D584="Tea", 40, D584="Coffee", 60, D584="Bakery", 100, D584="Beverages", 80)</f>
        <v>100</v>
      </c>
      <c r="G584" s="1">
        <f t="shared" si="9"/>
        <v>300</v>
      </c>
      <c r="H584" s="1" t="s">
        <v>21</v>
      </c>
      <c r="I584" s="1" t="s">
        <v>26</v>
      </c>
      <c r="J584" s="1">
        <v>2</v>
      </c>
    </row>
    <row r="585" spans="1:10" ht="15" x14ac:dyDescent="0.4">
      <c r="A585" s="1">
        <v>1584</v>
      </c>
      <c r="B585" s="2">
        <v>46201</v>
      </c>
      <c r="C585" s="1" t="s">
        <v>12</v>
      </c>
      <c r="D585" s="1" t="s">
        <v>11</v>
      </c>
      <c r="E585" s="4">
        <v>3</v>
      </c>
      <c r="F585" s="1" cm="1">
        <f t="array" ref="F585">_xlfn.IFS(D585="Tea", 40, D585="Coffee", 60, D585="Bakery", 100, D585="Beverages", 80)</f>
        <v>60</v>
      </c>
      <c r="G585" s="1">
        <f t="shared" si="9"/>
        <v>180</v>
      </c>
      <c r="H585" s="1" t="s">
        <v>21</v>
      </c>
      <c r="I585" s="1" t="s">
        <v>23</v>
      </c>
      <c r="J585" s="1">
        <v>3</v>
      </c>
    </row>
    <row r="586" spans="1:10" ht="15" x14ac:dyDescent="0.4">
      <c r="A586" s="1">
        <v>1585</v>
      </c>
      <c r="B586" s="2">
        <v>46061</v>
      </c>
      <c r="C586" s="1" t="s">
        <v>8</v>
      </c>
      <c r="D586" s="1" t="s">
        <v>11</v>
      </c>
      <c r="E586" s="4">
        <v>2</v>
      </c>
      <c r="F586" s="1" cm="1">
        <f t="array" ref="F586">_xlfn.IFS(D586="Tea", 40, D586="Coffee", 60, D586="Bakery", 100, D586="Beverages", 80)</f>
        <v>60</v>
      </c>
      <c r="G586" s="1">
        <f t="shared" si="9"/>
        <v>120</v>
      </c>
      <c r="H586" s="1" t="s">
        <v>25</v>
      </c>
      <c r="I586" s="1" t="s">
        <v>26</v>
      </c>
      <c r="J586" s="1">
        <v>2</v>
      </c>
    </row>
    <row r="587" spans="1:10" ht="15" x14ac:dyDescent="0.4">
      <c r="A587" s="1">
        <v>1586</v>
      </c>
      <c r="B587" s="2">
        <v>46141</v>
      </c>
      <c r="C587" s="1" t="s">
        <v>8</v>
      </c>
      <c r="D587" s="1" t="s">
        <v>11</v>
      </c>
      <c r="E587" s="4">
        <v>1</v>
      </c>
      <c r="F587" s="1" cm="1">
        <f t="array" ref="F587">_xlfn.IFS(D587="Tea", 40, D587="Coffee", 60, D587="Bakery", 100, D587="Beverages", 80)</f>
        <v>60</v>
      </c>
      <c r="G587" s="1">
        <f t="shared" si="9"/>
        <v>60</v>
      </c>
      <c r="H587" s="1" t="s">
        <v>25</v>
      </c>
      <c r="I587" s="1" t="s">
        <v>26</v>
      </c>
      <c r="J587" s="1">
        <v>2</v>
      </c>
    </row>
    <row r="588" spans="1:10" ht="15" x14ac:dyDescent="0.4">
      <c r="A588" s="1">
        <v>1587</v>
      </c>
      <c r="B588" s="2">
        <v>46201</v>
      </c>
      <c r="C588" s="1" t="s">
        <v>12</v>
      </c>
      <c r="D588" s="1" t="s">
        <v>11</v>
      </c>
      <c r="E588" s="4">
        <v>3</v>
      </c>
      <c r="F588" s="1" cm="1">
        <f t="array" ref="F588">_xlfn.IFS(D588="Tea", 40, D588="Coffee", 60, D588="Bakery", 100, D588="Beverages", 80)</f>
        <v>60</v>
      </c>
      <c r="G588" s="1">
        <f t="shared" si="9"/>
        <v>180</v>
      </c>
      <c r="H588" s="1" t="s">
        <v>25</v>
      </c>
      <c r="I588" s="1" t="s">
        <v>22</v>
      </c>
      <c r="J588" s="1">
        <v>5</v>
      </c>
    </row>
    <row r="589" spans="1:10" ht="15" x14ac:dyDescent="0.4">
      <c r="A589" s="1">
        <v>1588</v>
      </c>
      <c r="B589" s="2">
        <v>46026</v>
      </c>
      <c r="C589" s="1" t="s">
        <v>8</v>
      </c>
      <c r="D589" s="1" t="s">
        <v>9</v>
      </c>
      <c r="E589" s="4">
        <v>2</v>
      </c>
      <c r="F589" s="1" cm="1">
        <f t="array" ref="F589">_xlfn.IFS(D589="Tea", 40, D589="Coffee", 60, D589="Bakery", 100, D589="Beverages", 80)</f>
        <v>40</v>
      </c>
      <c r="G589" s="1">
        <f t="shared" si="9"/>
        <v>80</v>
      </c>
      <c r="H589" s="1" t="s">
        <v>21</v>
      </c>
      <c r="I589" s="1" t="s">
        <v>26</v>
      </c>
      <c r="J589" s="1">
        <v>1</v>
      </c>
    </row>
    <row r="590" spans="1:10" ht="15" x14ac:dyDescent="0.4">
      <c r="A590" s="1">
        <v>1589</v>
      </c>
      <c r="B590" s="2">
        <v>46098</v>
      </c>
      <c r="C590" s="1" t="s">
        <v>8</v>
      </c>
      <c r="D590" s="1" t="s">
        <v>13</v>
      </c>
      <c r="E590" s="4">
        <v>3</v>
      </c>
      <c r="F590" s="1" cm="1">
        <f t="array" ref="F590">_xlfn.IFS(D590="Tea", 40, D590="Coffee", 60, D590="Bakery", 100, D590="Beverages", 80)</f>
        <v>100</v>
      </c>
      <c r="G590" s="1">
        <f t="shared" si="9"/>
        <v>300</v>
      </c>
      <c r="H590" s="1" t="s">
        <v>24</v>
      </c>
      <c r="I590" s="1" t="s">
        <v>23</v>
      </c>
      <c r="J590" s="1">
        <v>1</v>
      </c>
    </row>
    <row r="591" spans="1:10" ht="15" x14ac:dyDescent="0.4">
      <c r="A591" s="1">
        <v>1590</v>
      </c>
      <c r="B591" s="2">
        <v>46033</v>
      </c>
      <c r="C591" s="1" t="s">
        <v>8</v>
      </c>
      <c r="D591" s="1" t="s">
        <v>11</v>
      </c>
      <c r="E591" s="4">
        <v>2</v>
      </c>
      <c r="F591" s="1" cm="1">
        <f t="array" ref="F591">_xlfn.IFS(D591="Tea", 40, D591="Coffee", 60, D591="Bakery", 100, D591="Beverages", 80)</f>
        <v>60</v>
      </c>
      <c r="G591" s="1">
        <f t="shared" si="9"/>
        <v>120</v>
      </c>
      <c r="H591" s="1" t="s">
        <v>21</v>
      </c>
      <c r="I591" s="1" t="s">
        <v>22</v>
      </c>
      <c r="J591" s="1">
        <v>1</v>
      </c>
    </row>
    <row r="592" spans="1:10" ht="15" x14ac:dyDescent="0.4">
      <c r="A592" s="1">
        <v>1591</v>
      </c>
      <c r="B592" s="2">
        <v>46052</v>
      </c>
      <c r="C592" s="1" t="s">
        <v>10</v>
      </c>
      <c r="D592" s="1" t="s">
        <v>14</v>
      </c>
      <c r="E592" s="4">
        <v>2</v>
      </c>
      <c r="F592" s="1" cm="1">
        <f t="array" ref="F592">_xlfn.IFS(D592="Tea", 40, D592="Coffee", 60, D592="Bakery", 100, D592="Beverages", 80)</f>
        <v>80</v>
      </c>
      <c r="G592" s="1">
        <f t="shared" si="9"/>
        <v>160</v>
      </c>
      <c r="H592" s="1" t="s">
        <v>21</v>
      </c>
      <c r="I592" s="1" t="s">
        <v>23</v>
      </c>
      <c r="J592" s="1">
        <v>5</v>
      </c>
    </row>
    <row r="593" spans="1:10" ht="15" x14ac:dyDescent="0.4">
      <c r="A593" s="1">
        <v>1592</v>
      </c>
      <c r="B593" s="2">
        <v>46071</v>
      </c>
      <c r="C593" s="1" t="s">
        <v>10</v>
      </c>
      <c r="D593" s="1" t="s">
        <v>13</v>
      </c>
      <c r="E593" s="4">
        <v>3</v>
      </c>
      <c r="F593" s="1" cm="1">
        <f t="array" ref="F593">_xlfn.IFS(D593="Tea", 40, D593="Coffee", 60, D593="Bakery", 100, D593="Beverages", 80)</f>
        <v>100</v>
      </c>
      <c r="G593" s="1">
        <f t="shared" si="9"/>
        <v>300</v>
      </c>
      <c r="H593" s="1" t="s">
        <v>25</v>
      </c>
      <c r="I593" s="1" t="s">
        <v>22</v>
      </c>
      <c r="J593" s="1">
        <v>1</v>
      </c>
    </row>
    <row r="594" spans="1:10" ht="15" x14ac:dyDescent="0.4">
      <c r="A594" s="1">
        <v>1593</v>
      </c>
      <c r="B594" s="2">
        <v>46128</v>
      </c>
      <c r="C594" s="1" t="s">
        <v>10</v>
      </c>
      <c r="D594" s="1" t="s">
        <v>11</v>
      </c>
      <c r="E594" s="4">
        <v>2</v>
      </c>
      <c r="F594" s="1" cm="1">
        <f t="array" ref="F594">_xlfn.IFS(D594="Tea", 40, D594="Coffee", 60, D594="Bakery", 100, D594="Beverages", 80)</f>
        <v>60</v>
      </c>
      <c r="G594" s="1">
        <f t="shared" si="9"/>
        <v>120</v>
      </c>
      <c r="H594" s="1" t="s">
        <v>24</v>
      </c>
      <c r="I594" s="1" t="s">
        <v>22</v>
      </c>
      <c r="J594" s="1">
        <v>1</v>
      </c>
    </row>
    <row r="595" spans="1:10" ht="15" x14ac:dyDescent="0.4">
      <c r="A595" s="1">
        <v>1594</v>
      </c>
      <c r="B595" s="2">
        <v>46093</v>
      </c>
      <c r="C595" s="1" t="s">
        <v>10</v>
      </c>
      <c r="D595" s="1" t="s">
        <v>11</v>
      </c>
      <c r="E595" s="4">
        <v>3</v>
      </c>
      <c r="F595" s="1" cm="1">
        <f t="array" ref="F595">_xlfn.IFS(D595="Tea", 40, D595="Coffee", 60, D595="Bakery", 100, D595="Beverages", 80)</f>
        <v>60</v>
      </c>
      <c r="G595" s="1">
        <f t="shared" si="9"/>
        <v>180</v>
      </c>
      <c r="H595" s="1" t="s">
        <v>25</v>
      </c>
      <c r="I595" s="1" t="s">
        <v>23</v>
      </c>
      <c r="J595" s="1">
        <v>5</v>
      </c>
    </row>
    <row r="596" spans="1:10" ht="15" x14ac:dyDescent="0.4">
      <c r="A596" s="1">
        <v>1595</v>
      </c>
      <c r="B596" s="2">
        <v>46049</v>
      </c>
      <c r="C596" s="1" t="s">
        <v>12</v>
      </c>
      <c r="D596" s="1" t="s">
        <v>13</v>
      </c>
      <c r="E596" s="4">
        <v>2</v>
      </c>
      <c r="F596" s="1" cm="1">
        <f t="array" ref="F596">_xlfn.IFS(D596="Tea", 40, D596="Coffee", 60, D596="Bakery", 100, D596="Beverages", 80)</f>
        <v>100</v>
      </c>
      <c r="G596" s="1">
        <f t="shared" si="9"/>
        <v>200</v>
      </c>
      <c r="H596" s="1" t="s">
        <v>25</v>
      </c>
      <c r="I596" s="1" t="s">
        <v>23</v>
      </c>
      <c r="J596" s="1">
        <v>2</v>
      </c>
    </row>
    <row r="597" spans="1:10" ht="15" x14ac:dyDescent="0.4">
      <c r="A597" s="1">
        <v>1596</v>
      </c>
      <c r="B597" s="2">
        <v>46146</v>
      </c>
      <c r="C597" s="1" t="s">
        <v>8</v>
      </c>
      <c r="D597" s="1" t="s">
        <v>13</v>
      </c>
      <c r="E597" s="4">
        <v>3</v>
      </c>
      <c r="F597" s="1" cm="1">
        <f t="array" ref="F597">_xlfn.IFS(D597="Tea", 40, D597="Coffee", 60, D597="Bakery", 100, D597="Beverages", 80)</f>
        <v>100</v>
      </c>
      <c r="G597" s="1">
        <f t="shared" si="9"/>
        <v>300</v>
      </c>
      <c r="H597" s="1" t="s">
        <v>21</v>
      </c>
      <c r="I597" s="1" t="s">
        <v>23</v>
      </c>
      <c r="J597" s="1">
        <v>4</v>
      </c>
    </row>
    <row r="598" spans="1:10" ht="15" x14ac:dyDescent="0.4">
      <c r="A598" s="1">
        <v>1597</v>
      </c>
      <c r="B598" s="2">
        <v>46195</v>
      </c>
      <c r="C598" s="1" t="s">
        <v>10</v>
      </c>
      <c r="D598" s="1" t="s">
        <v>14</v>
      </c>
      <c r="E598" s="4">
        <v>1</v>
      </c>
      <c r="F598" s="1" cm="1">
        <f t="array" ref="F598">_xlfn.IFS(D598="Tea", 40, D598="Coffee", 60, D598="Bakery", 100, D598="Beverages", 80)</f>
        <v>80</v>
      </c>
      <c r="G598" s="1">
        <f t="shared" si="9"/>
        <v>80</v>
      </c>
      <c r="H598" s="1" t="s">
        <v>25</v>
      </c>
      <c r="I598" s="1" t="s">
        <v>26</v>
      </c>
      <c r="J598" s="1">
        <v>2</v>
      </c>
    </row>
    <row r="599" spans="1:10" ht="15" x14ac:dyDescent="0.4">
      <c r="A599" s="1">
        <v>1598</v>
      </c>
      <c r="B599" s="2">
        <v>46188</v>
      </c>
      <c r="C599" s="1" t="s">
        <v>10</v>
      </c>
      <c r="D599" s="1" t="s">
        <v>11</v>
      </c>
      <c r="E599" s="4">
        <v>2</v>
      </c>
      <c r="F599" s="1" cm="1">
        <f t="array" ref="F599">_xlfn.IFS(D599="Tea", 40, D599="Coffee", 60, D599="Bakery", 100, D599="Beverages", 80)</f>
        <v>60</v>
      </c>
      <c r="G599" s="1">
        <f t="shared" si="9"/>
        <v>120</v>
      </c>
      <c r="H599" s="1" t="s">
        <v>21</v>
      </c>
      <c r="I599" s="1" t="s">
        <v>23</v>
      </c>
      <c r="J599" s="1">
        <v>2</v>
      </c>
    </row>
    <row r="600" spans="1:10" ht="15" x14ac:dyDescent="0.4">
      <c r="A600" s="1">
        <v>1599</v>
      </c>
      <c r="B600" s="2">
        <v>46059</v>
      </c>
      <c r="C600" s="1" t="s">
        <v>10</v>
      </c>
      <c r="D600" s="1" t="s">
        <v>14</v>
      </c>
      <c r="E600" s="4">
        <v>3</v>
      </c>
      <c r="F600" s="1" cm="1">
        <f t="array" ref="F600">_xlfn.IFS(D600="Tea", 40, D600="Coffee", 60, D600="Bakery", 100, D600="Beverages", 80)</f>
        <v>80</v>
      </c>
      <c r="G600" s="1">
        <f t="shared" si="9"/>
        <v>240</v>
      </c>
      <c r="H600" s="1" t="s">
        <v>25</v>
      </c>
      <c r="I600" s="1" t="s">
        <v>22</v>
      </c>
      <c r="J600" s="1">
        <v>3</v>
      </c>
    </row>
    <row r="601" spans="1:10" ht="15" x14ac:dyDescent="0.4">
      <c r="A601" s="1">
        <v>1600</v>
      </c>
      <c r="B601" s="2">
        <v>46072</v>
      </c>
      <c r="C601" s="1" t="s">
        <v>12</v>
      </c>
      <c r="D601" s="1" t="s">
        <v>14</v>
      </c>
      <c r="E601" s="4">
        <v>2</v>
      </c>
      <c r="F601" s="1" cm="1">
        <f t="array" ref="F601">_xlfn.IFS(D601="Tea", 40, D601="Coffee", 60, D601="Bakery", 100, D601="Beverages", 80)</f>
        <v>80</v>
      </c>
      <c r="G601" s="1">
        <f t="shared" si="9"/>
        <v>160</v>
      </c>
      <c r="H601" s="1" t="s">
        <v>24</v>
      </c>
      <c r="I601" s="1" t="s">
        <v>22</v>
      </c>
      <c r="J601" s="1">
        <v>4</v>
      </c>
    </row>
    <row r="602" spans="1:10" ht="15" x14ac:dyDescent="0.4">
      <c r="A602" s="1">
        <v>1601</v>
      </c>
      <c r="B602" s="2">
        <v>46162</v>
      </c>
      <c r="C602" s="1" t="s">
        <v>8</v>
      </c>
      <c r="D602" s="1" t="s">
        <v>11</v>
      </c>
      <c r="E602" s="4">
        <v>2</v>
      </c>
      <c r="F602" s="1" cm="1">
        <f t="array" ref="F602">_xlfn.IFS(D602="Tea", 40, D602="Coffee", 60, D602="Bakery", 100, D602="Beverages", 80)</f>
        <v>60</v>
      </c>
      <c r="G602" s="1">
        <f t="shared" si="9"/>
        <v>120</v>
      </c>
      <c r="H602" s="1" t="s">
        <v>24</v>
      </c>
      <c r="I602" s="1" t="s">
        <v>23</v>
      </c>
      <c r="J602" s="1">
        <v>1</v>
      </c>
    </row>
    <row r="603" spans="1:10" ht="15" x14ac:dyDescent="0.4">
      <c r="A603" s="1">
        <v>1602</v>
      </c>
      <c r="B603" s="2">
        <v>46106</v>
      </c>
      <c r="C603" s="1" t="s">
        <v>12</v>
      </c>
      <c r="D603" s="1" t="s">
        <v>11</v>
      </c>
      <c r="E603" s="4">
        <v>2</v>
      </c>
      <c r="F603" s="1" cm="1">
        <f t="array" ref="F603">_xlfn.IFS(D603="Tea", 40, D603="Coffee", 60, D603="Bakery", 100, D603="Beverages", 80)</f>
        <v>60</v>
      </c>
      <c r="G603" s="1">
        <f t="shared" si="9"/>
        <v>120</v>
      </c>
      <c r="H603" s="1" t="s">
        <v>21</v>
      </c>
      <c r="I603" s="1" t="s">
        <v>26</v>
      </c>
      <c r="J603" s="1">
        <v>2</v>
      </c>
    </row>
    <row r="604" spans="1:10" ht="15" x14ac:dyDescent="0.4">
      <c r="A604" s="1">
        <v>1603</v>
      </c>
      <c r="B604" s="2">
        <v>46182</v>
      </c>
      <c r="C604" s="1" t="s">
        <v>10</v>
      </c>
      <c r="D604" s="1" t="s">
        <v>13</v>
      </c>
      <c r="E604" s="4">
        <v>1</v>
      </c>
      <c r="F604" s="1" cm="1">
        <f t="array" ref="F604">_xlfn.IFS(D604="Tea", 40, D604="Coffee", 60, D604="Bakery", 100, D604="Beverages", 80)</f>
        <v>100</v>
      </c>
      <c r="G604" s="1">
        <f t="shared" si="9"/>
        <v>100</v>
      </c>
      <c r="H604" s="1" t="s">
        <v>25</v>
      </c>
      <c r="I604" s="1" t="s">
        <v>26</v>
      </c>
      <c r="J604" s="1">
        <v>1</v>
      </c>
    </row>
    <row r="605" spans="1:10" ht="15" x14ac:dyDescent="0.4">
      <c r="A605" s="1">
        <v>1604</v>
      </c>
      <c r="B605" s="2">
        <v>46189</v>
      </c>
      <c r="C605" s="1" t="s">
        <v>12</v>
      </c>
      <c r="D605" s="1" t="s">
        <v>9</v>
      </c>
      <c r="E605" s="4">
        <v>3</v>
      </c>
      <c r="F605" s="1" cm="1">
        <f t="array" ref="F605">_xlfn.IFS(D605="Tea", 40, D605="Coffee", 60, D605="Bakery", 100, D605="Beverages", 80)</f>
        <v>40</v>
      </c>
      <c r="G605" s="1">
        <f t="shared" si="9"/>
        <v>120</v>
      </c>
      <c r="H605" s="1" t="s">
        <v>24</v>
      </c>
      <c r="I605" s="1" t="s">
        <v>26</v>
      </c>
      <c r="J605" s="1">
        <v>1</v>
      </c>
    </row>
    <row r="606" spans="1:10" ht="15" x14ac:dyDescent="0.4">
      <c r="A606" s="1">
        <v>1605</v>
      </c>
      <c r="B606" s="2">
        <v>46033</v>
      </c>
      <c r="C606" s="1" t="s">
        <v>12</v>
      </c>
      <c r="D606" s="1" t="s">
        <v>14</v>
      </c>
      <c r="E606" s="4">
        <v>3</v>
      </c>
      <c r="F606" s="1" cm="1">
        <f t="array" ref="F606">_xlfn.IFS(D606="Tea", 40, D606="Coffee", 60, D606="Bakery", 100, D606="Beverages", 80)</f>
        <v>80</v>
      </c>
      <c r="G606" s="1">
        <f t="shared" si="9"/>
        <v>240</v>
      </c>
      <c r="H606" s="1" t="s">
        <v>24</v>
      </c>
      <c r="I606" s="1" t="s">
        <v>26</v>
      </c>
      <c r="J606" s="1">
        <v>5</v>
      </c>
    </row>
    <row r="607" spans="1:10" ht="15" x14ac:dyDescent="0.4">
      <c r="A607" s="1">
        <v>1606</v>
      </c>
      <c r="B607" s="2">
        <v>46145</v>
      </c>
      <c r="C607" s="1" t="s">
        <v>8</v>
      </c>
      <c r="D607" s="1" t="s">
        <v>9</v>
      </c>
      <c r="E607" s="4">
        <v>2</v>
      </c>
      <c r="F607" s="1" cm="1">
        <f t="array" ref="F607">_xlfn.IFS(D607="Tea", 40, D607="Coffee", 60, D607="Bakery", 100, D607="Beverages", 80)</f>
        <v>40</v>
      </c>
      <c r="G607" s="1">
        <f t="shared" si="9"/>
        <v>80</v>
      </c>
      <c r="H607" s="1" t="s">
        <v>21</v>
      </c>
      <c r="I607" s="1" t="s">
        <v>22</v>
      </c>
      <c r="J607" s="1">
        <v>5</v>
      </c>
    </row>
    <row r="608" spans="1:10" ht="15" x14ac:dyDescent="0.4">
      <c r="A608" s="1">
        <v>1607</v>
      </c>
      <c r="B608" s="2">
        <v>46034</v>
      </c>
      <c r="C608" s="1" t="s">
        <v>12</v>
      </c>
      <c r="D608" s="1" t="s">
        <v>11</v>
      </c>
      <c r="E608" s="4">
        <v>2</v>
      </c>
      <c r="F608" s="1" cm="1">
        <f t="array" ref="F608">_xlfn.IFS(D608="Tea", 40, D608="Coffee", 60, D608="Bakery", 100, D608="Beverages", 80)</f>
        <v>60</v>
      </c>
      <c r="G608" s="1">
        <f t="shared" si="9"/>
        <v>120</v>
      </c>
      <c r="H608" s="1" t="s">
        <v>24</v>
      </c>
      <c r="I608" s="1" t="s">
        <v>22</v>
      </c>
      <c r="J608" s="1">
        <v>2</v>
      </c>
    </row>
    <row r="609" spans="1:10" ht="15" x14ac:dyDescent="0.4">
      <c r="A609" s="1">
        <v>1608</v>
      </c>
      <c r="B609" s="2">
        <v>46102</v>
      </c>
      <c r="C609" s="1" t="s">
        <v>8</v>
      </c>
      <c r="D609" s="1" t="s">
        <v>14</v>
      </c>
      <c r="E609" s="4">
        <v>2</v>
      </c>
      <c r="F609" s="1" cm="1">
        <f t="array" ref="F609">_xlfn.IFS(D609="Tea", 40, D609="Coffee", 60, D609="Bakery", 100, D609="Beverages", 80)</f>
        <v>80</v>
      </c>
      <c r="G609" s="1">
        <f t="shared" si="9"/>
        <v>160</v>
      </c>
      <c r="H609" s="1" t="s">
        <v>25</v>
      </c>
      <c r="I609" s="1" t="s">
        <v>26</v>
      </c>
      <c r="J609" s="1">
        <v>2</v>
      </c>
    </row>
    <row r="610" spans="1:10" ht="15" x14ac:dyDescent="0.4">
      <c r="A610" s="1">
        <v>1609</v>
      </c>
      <c r="B610" s="2">
        <v>46055</v>
      </c>
      <c r="C610" s="1" t="s">
        <v>10</v>
      </c>
      <c r="D610" s="1" t="s">
        <v>11</v>
      </c>
      <c r="E610" s="4">
        <v>3</v>
      </c>
      <c r="F610" s="1" cm="1">
        <f t="array" ref="F610">_xlfn.IFS(D610="Tea", 40, D610="Coffee", 60, D610="Bakery", 100, D610="Beverages", 80)</f>
        <v>60</v>
      </c>
      <c r="G610" s="1">
        <f t="shared" si="9"/>
        <v>180</v>
      </c>
      <c r="H610" s="1" t="s">
        <v>24</v>
      </c>
      <c r="I610" s="1" t="s">
        <v>22</v>
      </c>
      <c r="J610" s="1">
        <v>3</v>
      </c>
    </row>
    <row r="611" spans="1:10" ht="15" x14ac:dyDescent="0.4">
      <c r="A611" s="1">
        <v>1610</v>
      </c>
      <c r="B611" s="2">
        <v>46052</v>
      </c>
      <c r="C611" s="1" t="s">
        <v>8</v>
      </c>
      <c r="D611" s="1" t="s">
        <v>14</v>
      </c>
      <c r="E611" s="4">
        <v>2</v>
      </c>
      <c r="F611" s="1" cm="1">
        <f t="array" ref="F611">_xlfn.IFS(D611="Tea", 40, D611="Coffee", 60, D611="Bakery", 100, D611="Beverages", 80)</f>
        <v>80</v>
      </c>
      <c r="G611" s="1">
        <f t="shared" si="9"/>
        <v>160</v>
      </c>
      <c r="H611" s="1" t="s">
        <v>25</v>
      </c>
      <c r="I611" s="1" t="s">
        <v>26</v>
      </c>
      <c r="J611" s="1">
        <v>3</v>
      </c>
    </row>
    <row r="612" spans="1:10" ht="15" x14ac:dyDescent="0.4">
      <c r="A612" s="1">
        <v>1611</v>
      </c>
      <c r="B612" s="2">
        <v>46186</v>
      </c>
      <c r="C612" s="1" t="s">
        <v>10</v>
      </c>
      <c r="D612" s="1" t="s">
        <v>13</v>
      </c>
      <c r="E612" s="4">
        <v>1</v>
      </c>
      <c r="F612" s="1" cm="1">
        <f t="array" ref="F612">_xlfn.IFS(D612="Tea", 40, D612="Coffee", 60, D612="Bakery", 100, D612="Beverages", 80)</f>
        <v>100</v>
      </c>
      <c r="G612" s="1">
        <f t="shared" si="9"/>
        <v>100</v>
      </c>
      <c r="H612" s="1" t="s">
        <v>21</v>
      </c>
      <c r="I612" s="1" t="s">
        <v>22</v>
      </c>
      <c r="J612" s="1">
        <v>5</v>
      </c>
    </row>
    <row r="613" spans="1:10" ht="15" x14ac:dyDescent="0.4">
      <c r="A613" s="1">
        <v>1612</v>
      </c>
      <c r="B613" s="2">
        <v>46172</v>
      </c>
      <c r="C613" s="1" t="s">
        <v>10</v>
      </c>
      <c r="D613" s="1" t="s">
        <v>13</v>
      </c>
      <c r="E613" s="4">
        <v>1</v>
      </c>
      <c r="F613" s="1" cm="1">
        <f t="array" ref="F613">_xlfn.IFS(D613="Tea", 40, D613="Coffee", 60, D613="Bakery", 100, D613="Beverages", 80)</f>
        <v>100</v>
      </c>
      <c r="G613" s="1">
        <f t="shared" si="9"/>
        <v>100</v>
      </c>
      <c r="H613" s="1" t="s">
        <v>21</v>
      </c>
      <c r="I613" s="1" t="s">
        <v>22</v>
      </c>
      <c r="J613" s="1">
        <v>4</v>
      </c>
    </row>
    <row r="614" spans="1:10" ht="15" x14ac:dyDescent="0.4">
      <c r="A614" s="1">
        <v>1613</v>
      </c>
      <c r="B614" s="2">
        <v>46189</v>
      </c>
      <c r="C614" s="1" t="s">
        <v>12</v>
      </c>
      <c r="D614" s="1" t="s">
        <v>11</v>
      </c>
      <c r="E614" s="4">
        <v>2</v>
      </c>
      <c r="F614" s="1" cm="1">
        <f t="array" ref="F614">_xlfn.IFS(D614="Tea", 40, D614="Coffee", 60, D614="Bakery", 100, D614="Beverages", 80)</f>
        <v>60</v>
      </c>
      <c r="G614" s="1">
        <f t="shared" si="9"/>
        <v>120</v>
      </c>
      <c r="H614" s="1" t="s">
        <v>25</v>
      </c>
      <c r="I614" s="1" t="s">
        <v>23</v>
      </c>
      <c r="J614" s="1">
        <v>5</v>
      </c>
    </row>
    <row r="615" spans="1:10" ht="15" x14ac:dyDescent="0.4">
      <c r="A615" s="1">
        <v>1614</v>
      </c>
      <c r="B615" s="2">
        <v>46064</v>
      </c>
      <c r="C615" s="1" t="s">
        <v>8</v>
      </c>
      <c r="D615" s="1" t="s">
        <v>9</v>
      </c>
      <c r="E615" s="4">
        <v>1</v>
      </c>
      <c r="F615" s="1" cm="1">
        <f t="array" ref="F615">_xlfn.IFS(D615="Tea", 40, D615="Coffee", 60, D615="Bakery", 100, D615="Beverages", 80)</f>
        <v>40</v>
      </c>
      <c r="G615" s="1">
        <f t="shared" si="9"/>
        <v>40</v>
      </c>
      <c r="H615" s="1" t="s">
        <v>25</v>
      </c>
      <c r="I615" s="1" t="s">
        <v>22</v>
      </c>
      <c r="J615" s="1">
        <v>4</v>
      </c>
    </row>
    <row r="616" spans="1:10" ht="15" x14ac:dyDescent="0.4">
      <c r="A616" s="1">
        <v>1615</v>
      </c>
      <c r="B616" s="2">
        <v>46043</v>
      </c>
      <c r="C616" s="1" t="s">
        <v>10</v>
      </c>
      <c r="D616" s="1" t="s">
        <v>14</v>
      </c>
      <c r="E616" s="4">
        <v>2</v>
      </c>
      <c r="F616" s="1" cm="1">
        <f t="array" ref="F616">_xlfn.IFS(D616="Tea", 40, D616="Coffee", 60, D616="Bakery", 100, D616="Beverages", 80)</f>
        <v>80</v>
      </c>
      <c r="G616" s="1">
        <f t="shared" si="9"/>
        <v>160</v>
      </c>
      <c r="H616" s="1" t="s">
        <v>25</v>
      </c>
      <c r="I616" s="1" t="s">
        <v>23</v>
      </c>
      <c r="J616" s="1">
        <v>2</v>
      </c>
    </row>
    <row r="617" spans="1:10" ht="15" x14ac:dyDescent="0.4">
      <c r="A617" s="1">
        <v>1616</v>
      </c>
      <c r="B617" s="2">
        <v>46034</v>
      </c>
      <c r="C617" s="1" t="s">
        <v>12</v>
      </c>
      <c r="D617" s="1" t="s">
        <v>9</v>
      </c>
      <c r="E617" s="4">
        <v>3</v>
      </c>
      <c r="F617" s="1" cm="1">
        <f t="array" ref="F617">_xlfn.IFS(D617="Tea", 40, D617="Coffee", 60, D617="Bakery", 100, D617="Beverages", 80)</f>
        <v>40</v>
      </c>
      <c r="G617" s="1">
        <f t="shared" si="9"/>
        <v>120</v>
      </c>
      <c r="H617" s="1" t="s">
        <v>24</v>
      </c>
      <c r="I617" s="1" t="s">
        <v>23</v>
      </c>
      <c r="J617" s="1">
        <v>3</v>
      </c>
    </row>
    <row r="618" spans="1:10" ht="15" x14ac:dyDescent="0.4">
      <c r="A618" s="1">
        <v>1617</v>
      </c>
      <c r="B618" s="2">
        <v>46126</v>
      </c>
      <c r="C618" s="1" t="s">
        <v>12</v>
      </c>
      <c r="D618" s="1" t="s">
        <v>9</v>
      </c>
      <c r="E618" s="4">
        <v>2</v>
      </c>
      <c r="F618" s="1" cm="1">
        <f t="array" ref="F618">_xlfn.IFS(D618="Tea", 40, D618="Coffee", 60, D618="Bakery", 100, D618="Beverages", 80)</f>
        <v>40</v>
      </c>
      <c r="G618" s="1">
        <f t="shared" si="9"/>
        <v>80</v>
      </c>
      <c r="H618" s="1" t="s">
        <v>25</v>
      </c>
      <c r="I618" s="1" t="s">
        <v>22</v>
      </c>
      <c r="J618" s="1">
        <v>4</v>
      </c>
    </row>
    <row r="619" spans="1:10" ht="15" x14ac:dyDescent="0.4">
      <c r="A619" s="1">
        <v>1618</v>
      </c>
      <c r="B619" s="2">
        <v>46192</v>
      </c>
      <c r="C619" s="1" t="s">
        <v>10</v>
      </c>
      <c r="D619" s="1" t="s">
        <v>13</v>
      </c>
      <c r="E619" s="4">
        <v>3</v>
      </c>
      <c r="F619" s="1" cm="1">
        <f t="array" ref="F619">_xlfn.IFS(D619="Tea", 40, D619="Coffee", 60, D619="Bakery", 100, D619="Beverages", 80)</f>
        <v>100</v>
      </c>
      <c r="G619" s="1">
        <f t="shared" si="9"/>
        <v>300</v>
      </c>
      <c r="H619" s="1" t="s">
        <v>25</v>
      </c>
      <c r="I619" s="1" t="s">
        <v>23</v>
      </c>
      <c r="J619" s="1">
        <v>5</v>
      </c>
    </row>
    <row r="620" spans="1:10" ht="15" x14ac:dyDescent="0.4">
      <c r="A620" s="1">
        <v>1619</v>
      </c>
      <c r="B620" s="2">
        <v>46201</v>
      </c>
      <c r="C620" s="1" t="s">
        <v>8</v>
      </c>
      <c r="D620" s="1" t="s">
        <v>13</v>
      </c>
      <c r="E620" s="4">
        <v>3</v>
      </c>
      <c r="F620" s="1" cm="1">
        <f t="array" ref="F620">_xlfn.IFS(D620="Tea", 40, D620="Coffee", 60, D620="Bakery", 100, D620="Beverages", 80)</f>
        <v>100</v>
      </c>
      <c r="G620" s="1">
        <f t="shared" si="9"/>
        <v>300</v>
      </c>
      <c r="H620" s="1" t="s">
        <v>25</v>
      </c>
      <c r="I620" s="1" t="s">
        <v>22</v>
      </c>
      <c r="J620" s="1">
        <v>3</v>
      </c>
    </row>
    <row r="621" spans="1:10" ht="15" x14ac:dyDescent="0.4">
      <c r="A621" s="1">
        <v>1620</v>
      </c>
      <c r="B621" s="2">
        <v>46087</v>
      </c>
      <c r="C621" s="1" t="s">
        <v>12</v>
      </c>
      <c r="D621" s="1" t="s">
        <v>13</v>
      </c>
      <c r="E621" s="4">
        <v>2</v>
      </c>
      <c r="F621" s="1" cm="1">
        <f t="array" ref="F621">_xlfn.IFS(D621="Tea", 40, D621="Coffee", 60, D621="Bakery", 100, D621="Beverages", 80)</f>
        <v>100</v>
      </c>
      <c r="G621" s="1">
        <f t="shared" si="9"/>
        <v>200</v>
      </c>
      <c r="H621" s="1" t="s">
        <v>21</v>
      </c>
      <c r="I621" s="1" t="s">
        <v>26</v>
      </c>
      <c r="J621" s="1">
        <v>2</v>
      </c>
    </row>
    <row r="622" spans="1:10" ht="15" x14ac:dyDescent="0.4">
      <c r="A622" s="1">
        <v>1621</v>
      </c>
      <c r="B622" s="2">
        <v>46044</v>
      </c>
      <c r="C622" s="1" t="s">
        <v>10</v>
      </c>
      <c r="D622" s="1" t="s">
        <v>14</v>
      </c>
      <c r="E622" s="4">
        <v>2</v>
      </c>
      <c r="F622" s="1" cm="1">
        <f t="array" ref="F622">_xlfn.IFS(D622="Tea", 40, D622="Coffee", 60, D622="Bakery", 100, D622="Beverages", 80)</f>
        <v>80</v>
      </c>
      <c r="G622" s="1">
        <f t="shared" si="9"/>
        <v>160</v>
      </c>
      <c r="H622" s="1" t="s">
        <v>24</v>
      </c>
      <c r="I622" s="1" t="s">
        <v>26</v>
      </c>
      <c r="J622" s="1">
        <v>2</v>
      </c>
    </row>
    <row r="623" spans="1:10" ht="15" x14ac:dyDescent="0.4">
      <c r="A623" s="1">
        <v>1622</v>
      </c>
      <c r="B623" s="2">
        <v>46164</v>
      </c>
      <c r="C623" s="1" t="s">
        <v>8</v>
      </c>
      <c r="D623" s="1" t="s">
        <v>13</v>
      </c>
      <c r="E623" s="4">
        <v>2</v>
      </c>
      <c r="F623" s="1" cm="1">
        <f t="array" ref="F623">_xlfn.IFS(D623="Tea", 40, D623="Coffee", 60, D623="Bakery", 100, D623="Beverages", 80)</f>
        <v>100</v>
      </c>
      <c r="G623" s="1">
        <f t="shared" si="9"/>
        <v>200</v>
      </c>
      <c r="H623" s="1" t="s">
        <v>25</v>
      </c>
      <c r="I623" s="1" t="s">
        <v>23</v>
      </c>
      <c r="J623" s="1">
        <v>3</v>
      </c>
    </row>
    <row r="624" spans="1:10" ht="15" x14ac:dyDescent="0.4">
      <c r="A624" s="1">
        <v>1623</v>
      </c>
      <c r="B624" s="2">
        <v>46129</v>
      </c>
      <c r="C624" s="1" t="s">
        <v>10</v>
      </c>
      <c r="D624" s="1" t="s">
        <v>14</v>
      </c>
      <c r="E624" s="4">
        <v>1</v>
      </c>
      <c r="F624" s="1" cm="1">
        <f t="array" ref="F624">_xlfn.IFS(D624="Tea", 40, D624="Coffee", 60, D624="Bakery", 100, D624="Beverages", 80)</f>
        <v>80</v>
      </c>
      <c r="G624" s="1">
        <f t="shared" si="9"/>
        <v>80</v>
      </c>
      <c r="H624" s="1" t="s">
        <v>24</v>
      </c>
      <c r="I624" s="1" t="s">
        <v>26</v>
      </c>
      <c r="J624" s="1">
        <v>2</v>
      </c>
    </row>
    <row r="625" spans="1:10" ht="15" x14ac:dyDescent="0.4">
      <c r="A625" s="1">
        <v>1624</v>
      </c>
      <c r="B625" s="2">
        <v>46082</v>
      </c>
      <c r="C625" s="1" t="s">
        <v>10</v>
      </c>
      <c r="D625" s="1" t="s">
        <v>11</v>
      </c>
      <c r="E625" s="4">
        <v>2</v>
      </c>
      <c r="F625" s="1" cm="1">
        <f t="array" ref="F625">_xlfn.IFS(D625="Tea", 40, D625="Coffee", 60, D625="Bakery", 100, D625="Beverages", 80)</f>
        <v>60</v>
      </c>
      <c r="G625" s="1">
        <f t="shared" si="9"/>
        <v>120</v>
      </c>
      <c r="H625" s="1" t="s">
        <v>25</v>
      </c>
      <c r="I625" s="1" t="s">
        <v>26</v>
      </c>
      <c r="J625" s="1">
        <v>1</v>
      </c>
    </row>
    <row r="626" spans="1:10" ht="15" x14ac:dyDescent="0.4">
      <c r="A626" s="1">
        <v>1625</v>
      </c>
      <c r="B626" s="2">
        <v>46074</v>
      </c>
      <c r="C626" s="1" t="s">
        <v>8</v>
      </c>
      <c r="D626" s="1" t="s">
        <v>14</v>
      </c>
      <c r="E626" s="4">
        <v>1</v>
      </c>
      <c r="F626" s="1" cm="1">
        <f t="array" ref="F626">_xlfn.IFS(D626="Tea", 40, D626="Coffee", 60, D626="Bakery", 100, D626="Beverages", 80)</f>
        <v>80</v>
      </c>
      <c r="G626" s="1">
        <f t="shared" si="9"/>
        <v>80</v>
      </c>
      <c r="H626" s="1" t="s">
        <v>24</v>
      </c>
      <c r="I626" s="1" t="s">
        <v>26</v>
      </c>
      <c r="J626" s="1">
        <v>1</v>
      </c>
    </row>
    <row r="627" spans="1:10" ht="15" x14ac:dyDescent="0.4">
      <c r="A627" s="1">
        <v>1626</v>
      </c>
      <c r="B627" s="2">
        <v>46157</v>
      </c>
      <c r="C627" s="1" t="s">
        <v>8</v>
      </c>
      <c r="D627" s="1" t="s">
        <v>9</v>
      </c>
      <c r="E627" s="4">
        <v>3</v>
      </c>
      <c r="F627" s="1" cm="1">
        <f t="array" ref="F627">_xlfn.IFS(D627="Tea", 40, D627="Coffee", 60, D627="Bakery", 100, D627="Beverages", 80)</f>
        <v>40</v>
      </c>
      <c r="G627" s="1">
        <f t="shared" si="9"/>
        <v>120</v>
      </c>
      <c r="H627" s="1" t="s">
        <v>21</v>
      </c>
      <c r="I627" s="1" t="s">
        <v>26</v>
      </c>
      <c r="J627" s="1">
        <v>4</v>
      </c>
    </row>
    <row r="628" spans="1:10" ht="15" x14ac:dyDescent="0.4">
      <c r="A628" s="1">
        <v>1627</v>
      </c>
      <c r="B628" s="2">
        <v>46200</v>
      </c>
      <c r="C628" s="1" t="s">
        <v>12</v>
      </c>
      <c r="D628" s="1" t="s">
        <v>14</v>
      </c>
      <c r="E628" s="4">
        <v>3</v>
      </c>
      <c r="F628" s="1" cm="1">
        <f t="array" ref="F628">_xlfn.IFS(D628="Tea", 40, D628="Coffee", 60, D628="Bakery", 100, D628="Beverages", 80)</f>
        <v>80</v>
      </c>
      <c r="G628" s="1">
        <f t="shared" si="9"/>
        <v>240</v>
      </c>
      <c r="H628" s="1" t="s">
        <v>21</v>
      </c>
      <c r="I628" s="1" t="s">
        <v>26</v>
      </c>
      <c r="J628" s="1">
        <v>1</v>
      </c>
    </row>
    <row r="629" spans="1:10" ht="15" x14ac:dyDescent="0.4">
      <c r="A629" s="1">
        <v>1628</v>
      </c>
      <c r="B629" s="2">
        <v>46072</v>
      </c>
      <c r="C629" s="1" t="s">
        <v>10</v>
      </c>
      <c r="D629" s="1" t="s">
        <v>11</v>
      </c>
      <c r="E629" s="4">
        <v>3</v>
      </c>
      <c r="F629" s="1" cm="1">
        <f t="array" ref="F629">_xlfn.IFS(D629="Tea", 40, D629="Coffee", 60, D629="Bakery", 100, D629="Beverages", 80)</f>
        <v>60</v>
      </c>
      <c r="G629" s="1">
        <f t="shared" si="9"/>
        <v>180</v>
      </c>
      <c r="H629" s="1" t="s">
        <v>25</v>
      </c>
      <c r="I629" s="1" t="s">
        <v>23</v>
      </c>
      <c r="J629" s="1">
        <v>4</v>
      </c>
    </row>
    <row r="630" spans="1:10" ht="15" x14ac:dyDescent="0.4">
      <c r="A630" s="1">
        <v>1629</v>
      </c>
      <c r="B630" s="2">
        <v>46068</v>
      </c>
      <c r="C630" s="1" t="s">
        <v>8</v>
      </c>
      <c r="D630" s="1" t="s">
        <v>14</v>
      </c>
      <c r="E630" s="4">
        <v>1</v>
      </c>
      <c r="F630" s="1" cm="1">
        <f t="array" ref="F630">_xlfn.IFS(D630="Tea", 40, D630="Coffee", 60, D630="Bakery", 100, D630="Beverages", 80)</f>
        <v>80</v>
      </c>
      <c r="G630" s="1">
        <f t="shared" si="9"/>
        <v>80</v>
      </c>
      <c r="H630" s="1" t="s">
        <v>24</v>
      </c>
      <c r="I630" s="1" t="s">
        <v>23</v>
      </c>
      <c r="J630" s="1">
        <v>5</v>
      </c>
    </row>
    <row r="631" spans="1:10" ht="15" x14ac:dyDescent="0.4">
      <c r="A631" s="1">
        <v>1630</v>
      </c>
      <c r="B631" s="2">
        <v>46171</v>
      </c>
      <c r="C631" s="1" t="s">
        <v>8</v>
      </c>
      <c r="D631" s="1" t="s">
        <v>13</v>
      </c>
      <c r="E631" s="4">
        <v>3</v>
      </c>
      <c r="F631" s="1" cm="1">
        <f t="array" ref="F631">_xlfn.IFS(D631="Tea", 40, D631="Coffee", 60, D631="Bakery", 100, D631="Beverages", 80)</f>
        <v>100</v>
      </c>
      <c r="G631" s="1">
        <f t="shared" si="9"/>
        <v>300</v>
      </c>
      <c r="H631" s="1" t="s">
        <v>25</v>
      </c>
      <c r="I631" s="1" t="s">
        <v>22</v>
      </c>
      <c r="J631" s="1">
        <v>3</v>
      </c>
    </row>
    <row r="632" spans="1:10" ht="15" x14ac:dyDescent="0.4">
      <c r="A632" s="1">
        <v>1631</v>
      </c>
      <c r="B632" s="2">
        <v>46173</v>
      </c>
      <c r="C632" s="1" t="s">
        <v>8</v>
      </c>
      <c r="D632" s="1" t="s">
        <v>13</v>
      </c>
      <c r="E632" s="4">
        <v>3</v>
      </c>
      <c r="F632" s="1" cm="1">
        <f t="array" ref="F632">_xlfn.IFS(D632="Tea", 40, D632="Coffee", 60, D632="Bakery", 100, D632="Beverages", 80)</f>
        <v>100</v>
      </c>
      <c r="G632" s="1">
        <f t="shared" si="9"/>
        <v>300</v>
      </c>
      <c r="H632" s="1" t="s">
        <v>21</v>
      </c>
      <c r="I632" s="1" t="s">
        <v>26</v>
      </c>
      <c r="J632" s="1">
        <v>4</v>
      </c>
    </row>
    <row r="633" spans="1:10" ht="15" x14ac:dyDescent="0.4">
      <c r="A633" s="1">
        <v>1632</v>
      </c>
      <c r="B633" s="2">
        <v>46053</v>
      </c>
      <c r="C633" s="1" t="s">
        <v>8</v>
      </c>
      <c r="D633" s="1" t="s">
        <v>11</v>
      </c>
      <c r="E633" s="4">
        <v>3</v>
      </c>
      <c r="F633" s="1" cm="1">
        <f t="array" ref="F633">_xlfn.IFS(D633="Tea", 40, D633="Coffee", 60, D633="Bakery", 100, D633="Beverages", 80)</f>
        <v>60</v>
      </c>
      <c r="G633" s="1">
        <f t="shared" si="9"/>
        <v>180</v>
      </c>
      <c r="H633" s="1" t="s">
        <v>21</v>
      </c>
      <c r="I633" s="1" t="s">
        <v>23</v>
      </c>
      <c r="J633" s="1">
        <v>5</v>
      </c>
    </row>
    <row r="634" spans="1:10" ht="15" x14ac:dyDescent="0.4">
      <c r="A634" s="1">
        <v>1633</v>
      </c>
      <c r="B634" s="2">
        <v>46108</v>
      </c>
      <c r="C634" s="1" t="s">
        <v>12</v>
      </c>
      <c r="D634" s="1" t="s">
        <v>14</v>
      </c>
      <c r="E634" s="4">
        <v>2</v>
      </c>
      <c r="F634" s="1" cm="1">
        <f t="array" ref="F634">_xlfn.IFS(D634="Tea", 40, D634="Coffee", 60, D634="Bakery", 100, D634="Beverages", 80)</f>
        <v>80</v>
      </c>
      <c r="G634" s="1">
        <f t="shared" si="9"/>
        <v>160</v>
      </c>
      <c r="H634" s="1" t="s">
        <v>21</v>
      </c>
      <c r="I634" s="1" t="s">
        <v>23</v>
      </c>
      <c r="J634" s="1">
        <v>5</v>
      </c>
    </row>
    <row r="635" spans="1:10" ht="15" x14ac:dyDescent="0.4">
      <c r="A635" s="1">
        <v>1634</v>
      </c>
      <c r="B635" s="2">
        <v>46083</v>
      </c>
      <c r="C635" s="1" t="s">
        <v>8</v>
      </c>
      <c r="D635" s="1" t="s">
        <v>9</v>
      </c>
      <c r="E635" s="4">
        <v>3</v>
      </c>
      <c r="F635" s="1" cm="1">
        <f t="array" ref="F635">_xlfn.IFS(D635="Tea", 40, D635="Coffee", 60, D635="Bakery", 100, D635="Beverages", 80)</f>
        <v>40</v>
      </c>
      <c r="G635" s="1">
        <f t="shared" si="9"/>
        <v>120</v>
      </c>
      <c r="H635" s="1" t="s">
        <v>21</v>
      </c>
      <c r="I635" s="1" t="s">
        <v>23</v>
      </c>
      <c r="J635" s="1">
        <v>3</v>
      </c>
    </row>
    <row r="636" spans="1:10" ht="15" x14ac:dyDescent="0.4">
      <c r="A636" s="1">
        <v>1635</v>
      </c>
      <c r="B636" s="2">
        <v>46060</v>
      </c>
      <c r="C636" s="1" t="s">
        <v>10</v>
      </c>
      <c r="D636" s="1" t="s">
        <v>11</v>
      </c>
      <c r="E636" s="4">
        <v>3</v>
      </c>
      <c r="F636" s="1" cm="1">
        <f t="array" ref="F636">_xlfn.IFS(D636="Tea", 40, D636="Coffee", 60, D636="Bakery", 100, D636="Beverages", 80)</f>
        <v>60</v>
      </c>
      <c r="G636" s="1">
        <f t="shared" si="9"/>
        <v>180</v>
      </c>
      <c r="H636" s="1" t="s">
        <v>25</v>
      </c>
      <c r="I636" s="1" t="s">
        <v>26</v>
      </c>
      <c r="J636" s="1">
        <v>1</v>
      </c>
    </row>
    <row r="637" spans="1:10" ht="15" x14ac:dyDescent="0.4">
      <c r="A637" s="1">
        <v>1636</v>
      </c>
      <c r="B637" s="2">
        <v>46155</v>
      </c>
      <c r="C637" s="1" t="s">
        <v>12</v>
      </c>
      <c r="D637" s="1" t="s">
        <v>14</v>
      </c>
      <c r="E637" s="4">
        <v>3</v>
      </c>
      <c r="F637" s="1" cm="1">
        <f t="array" ref="F637">_xlfn.IFS(D637="Tea", 40, D637="Coffee", 60, D637="Bakery", 100, D637="Beverages", 80)</f>
        <v>80</v>
      </c>
      <c r="G637" s="1">
        <f t="shared" si="9"/>
        <v>240</v>
      </c>
      <c r="H637" s="1" t="s">
        <v>24</v>
      </c>
      <c r="I637" s="1" t="s">
        <v>26</v>
      </c>
      <c r="J637" s="1">
        <v>4</v>
      </c>
    </row>
    <row r="638" spans="1:10" ht="15" x14ac:dyDescent="0.4">
      <c r="A638" s="1">
        <v>1637</v>
      </c>
      <c r="B638" s="2">
        <v>46119</v>
      </c>
      <c r="C638" s="1" t="s">
        <v>8</v>
      </c>
      <c r="D638" s="1" t="s">
        <v>11</v>
      </c>
      <c r="E638" s="4">
        <v>3</v>
      </c>
      <c r="F638" s="1" cm="1">
        <f t="array" ref="F638">_xlfn.IFS(D638="Tea", 40, D638="Coffee", 60, D638="Bakery", 100, D638="Beverages", 80)</f>
        <v>60</v>
      </c>
      <c r="G638" s="1">
        <f t="shared" si="9"/>
        <v>180</v>
      </c>
      <c r="H638" s="1" t="s">
        <v>24</v>
      </c>
      <c r="I638" s="1" t="s">
        <v>23</v>
      </c>
      <c r="J638" s="1">
        <v>4</v>
      </c>
    </row>
    <row r="639" spans="1:10" ht="15" x14ac:dyDescent="0.4">
      <c r="A639" s="1">
        <v>1638</v>
      </c>
      <c r="B639" s="2">
        <v>46059</v>
      </c>
      <c r="C639" s="1" t="s">
        <v>12</v>
      </c>
      <c r="D639" s="1" t="s">
        <v>14</v>
      </c>
      <c r="E639" s="4">
        <v>3</v>
      </c>
      <c r="F639" s="1" cm="1">
        <f t="array" ref="F639">_xlfn.IFS(D639="Tea", 40, D639="Coffee", 60, D639="Bakery", 100, D639="Beverages", 80)</f>
        <v>80</v>
      </c>
      <c r="G639" s="1">
        <f t="shared" si="9"/>
        <v>240</v>
      </c>
      <c r="H639" s="1" t="s">
        <v>25</v>
      </c>
      <c r="I639" s="1" t="s">
        <v>26</v>
      </c>
      <c r="J639" s="1">
        <v>5</v>
      </c>
    </row>
    <row r="640" spans="1:10" ht="15" x14ac:dyDescent="0.4">
      <c r="A640" s="1">
        <v>1639</v>
      </c>
      <c r="B640" s="2">
        <v>46126</v>
      </c>
      <c r="C640" s="1" t="s">
        <v>10</v>
      </c>
      <c r="D640" s="1" t="s">
        <v>13</v>
      </c>
      <c r="E640" s="4">
        <v>2</v>
      </c>
      <c r="F640" s="1" cm="1">
        <f t="array" ref="F640">_xlfn.IFS(D640="Tea", 40, D640="Coffee", 60, D640="Bakery", 100, D640="Beverages", 80)</f>
        <v>100</v>
      </c>
      <c r="G640" s="1">
        <f t="shared" si="9"/>
        <v>200</v>
      </c>
      <c r="H640" s="1" t="s">
        <v>21</v>
      </c>
      <c r="I640" s="1" t="s">
        <v>23</v>
      </c>
      <c r="J640" s="1">
        <v>3</v>
      </c>
    </row>
    <row r="641" spans="1:10" ht="15" x14ac:dyDescent="0.4">
      <c r="A641" s="1">
        <v>1640</v>
      </c>
      <c r="B641" s="2">
        <v>46179</v>
      </c>
      <c r="C641" s="1" t="s">
        <v>12</v>
      </c>
      <c r="D641" s="1" t="s">
        <v>9</v>
      </c>
      <c r="E641" s="4">
        <v>3</v>
      </c>
      <c r="F641" s="1" cm="1">
        <f t="array" ref="F641">_xlfn.IFS(D641="Tea", 40, D641="Coffee", 60, D641="Bakery", 100, D641="Beverages", 80)</f>
        <v>40</v>
      </c>
      <c r="G641" s="1">
        <f t="shared" si="9"/>
        <v>120</v>
      </c>
      <c r="H641" s="1" t="s">
        <v>24</v>
      </c>
      <c r="I641" s="1" t="s">
        <v>22</v>
      </c>
      <c r="J641" s="1">
        <v>3</v>
      </c>
    </row>
    <row r="642" spans="1:10" ht="15" x14ac:dyDescent="0.4">
      <c r="A642" s="1">
        <v>1641</v>
      </c>
      <c r="B642" s="2">
        <v>46115</v>
      </c>
      <c r="C642" s="1" t="s">
        <v>12</v>
      </c>
      <c r="D642" s="1" t="s">
        <v>14</v>
      </c>
      <c r="E642" s="4">
        <v>3</v>
      </c>
      <c r="F642" s="1" cm="1">
        <f t="array" ref="F642">_xlfn.IFS(D642="Tea", 40, D642="Coffee", 60, D642="Bakery", 100, D642="Beverages", 80)</f>
        <v>80</v>
      </c>
      <c r="G642" s="1">
        <f t="shared" si="9"/>
        <v>240</v>
      </c>
      <c r="H642" s="1" t="s">
        <v>21</v>
      </c>
      <c r="I642" s="1" t="s">
        <v>26</v>
      </c>
      <c r="J642" s="1">
        <v>1</v>
      </c>
    </row>
    <row r="643" spans="1:10" ht="15" x14ac:dyDescent="0.4">
      <c r="A643" s="1">
        <v>1642</v>
      </c>
      <c r="B643" s="2">
        <v>46175</v>
      </c>
      <c r="C643" s="1" t="s">
        <v>8</v>
      </c>
      <c r="D643" s="1" t="s">
        <v>13</v>
      </c>
      <c r="E643" s="4">
        <v>2</v>
      </c>
      <c r="F643" s="1" cm="1">
        <f t="array" ref="F643">_xlfn.IFS(D643="Tea", 40, D643="Coffee", 60, D643="Bakery", 100, D643="Beverages", 80)</f>
        <v>100</v>
      </c>
      <c r="G643" s="1">
        <f t="shared" ref="G643:G706" si="10">E643*F643</f>
        <v>200</v>
      </c>
      <c r="H643" s="1" t="s">
        <v>25</v>
      </c>
      <c r="I643" s="1" t="s">
        <v>22</v>
      </c>
      <c r="J643" s="1">
        <v>4</v>
      </c>
    </row>
    <row r="644" spans="1:10" ht="15" x14ac:dyDescent="0.4">
      <c r="A644" s="1">
        <v>1643</v>
      </c>
      <c r="B644" s="2">
        <v>46135</v>
      </c>
      <c r="C644" s="1" t="s">
        <v>8</v>
      </c>
      <c r="D644" s="1" t="s">
        <v>14</v>
      </c>
      <c r="E644" s="4">
        <v>3</v>
      </c>
      <c r="F644" s="1" cm="1">
        <f t="array" ref="F644">_xlfn.IFS(D644="Tea", 40, D644="Coffee", 60, D644="Bakery", 100, D644="Beverages", 80)</f>
        <v>80</v>
      </c>
      <c r="G644" s="1">
        <f t="shared" si="10"/>
        <v>240</v>
      </c>
      <c r="H644" s="1" t="s">
        <v>24</v>
      </c>
      <c r="I644" s="1" t="s">
        <v>22</v>
      </c>
      <c r="J644" s="1">
        <v>5</v>
      </c>
    </row>
    <row r="645" spans="1:10" ht="15" x14ac:dyDescent="0.4">
      <c r="A645" s="1">
        <v>1644</v>
      </c>
      <c r="B645" s="2">
        <v>46026</v>
      </c>
      <c r="C645" s="1" t="s">
        <v>10</v>
      </c>
      <c r="D645" s="1" t="s">
        <v>9</v>
      </c>
      <c r="E645" s="4">
        <v>1</v>
      </c>
      <c r="F645" s="1" cm="1">
        <f t="array" ref="F645">_xlfn.IFS(D645="Tea", 40, D645="Coffee", 60, D645="Bakery", 100, D645="Beverages", 80)</f>
        <v>40</v>
      </c>
      <c r="G645" s="1">
        <f t="shared" si="10"/>
        <v>40</v>
      </c>
      <c r="H645" s="1" t="s">
        <v>21</v>
      </c>
      <c r="I645" s="1" t="s">
        <v>22</v>
      </c>
      <c r="J645" s="1">
        <v>3</v>
      </c>
    </row>
    <row r="646" spans="1:10" ht="15" x14ac:dyDescent="0.4">
      <c r="A646" s="1">
        <v>1645</v>
      </c>
      <c r="B646" s="2">
        <v>46108</v>
      </c>
      <c r="C646" s="1" t="s">
        <v>10</v>
      </c>
      <c r="D646" s="1" t="s">
        <v>14</v>
      </c>
      <c r="E646" s="4">
        <v>1</v>
      </c>
      <c r="F646" s="1" cm="1">
        <f t="array" ref="F646">_xlfn.IFS(D646="Tea", 40, D646="Coffee", 60, D646="Bakery", 100, D646="Beverages", 80)</f>
        <v>80</v>
      </c>
      <c r="G646" s="1">
        <f t="shared" si="10"/>
        <v>80</v>
      </c>
      <c r="H646" s="1" t="s">
        <v>25</v>
      </c>
      <c r="I646" s="1" t="s">
        <v>23</v>
      </c>
      <c r="J646" s="1">
        <v>1</v>
      </c>
    </row>
    <row r="647" spans="1:10" ht="15" x14ac:dyDescent="0.4">
      <c r="A647" s="1">
        <v>1646</v>
      </c>
      <c r="B647" s="2">
        <v>46193</v>
      </c>
      <c r="C647" s="1" t="s">
        <v>10</v>
      </c>
      <c r="D647" s="1" t="s">
        <v>9</v>
      </c>
      <c r="E647" s="4">
        <v>2</v>
      </c>
      <c r="F647" s="1" cm="1">
        <f t="array" ref="F647">_xlfn.IFS(D647="Tea", 40, D647="Coffee", 60, D647="Bakery", 100, D647="Beverages", 80)</f>
        <v>40</v>
      </c>
      <c r="G647" s="1">
        <f t="shared" si="10"/>
        <v>80</v>
      </c>
      <c r="H647" s="1" t="s">
        <v>25</v>
      </c>
      <c r="I647" s="1" t="s">
        <v>22</v>
      </c>
      <c r="J647" s="1">
        <v>5</v>
      </c>
    </row>
    <row r="648" spans="1:10" ht="15" x14ac:dyDescent="0.4">
      <c r="A648" s="1">
        <v>1647</v>
      </c>
      <c r="B648" s="2">
        <v>46053</v>
      </c>
      <c r="C648" s="1" t="s">
        <v>12</v>
      </c>
      <c r="D648" s="1" t="s">
        <v>9</v>
      </c>
      <c r="E648" s="4">
        <v>2</v>
      </c>
      <c r="F648" s="1" cm="1">
        <f t="array" ref="F648">_xlfn.IFS(D648="Tea", 40, D648="Coffee", 60, D648="Bakery", 100, D648="Beverages", 80)</f>
        <v>40</v>
      </c>
      <c r="G648" s="1">
        <f t="shared" si="10"/>
        <v>80</v>
      </c>
      <c r="H648" s="1" t="s">
        <v>21</v>
      </c>
      <c r="I648" s="1" t="s">
        <v>23</v>
      </c>
      <c r="J648" s="1">
        <v>5</v>
      </c>
    </row>
    <row r="649" spans="1:10" ht="15" x14ac:dyDescent="0.4">
      <c r="A649" s="1">
        <v>1648</v>
      </c>
      <c r="B649" s="2">
        <v>46156</v>
      </c>
      <c r="C649" s="1" t="s">
        <v>8</v>
      </c>
      <c r="D649" s="1" t="s">
        <v>14</v>
      </c>
      <c r="E649" s="4">
        <v>2</v>
      </c>
      <c r="F649" s="1" cm="1">
        <f t="array" ref="F649">_xlfn.IFS(D649="Tea", 40, D649="Coffee", 60, D649="Bakery", 100, D649="Beverages", 80)</f>
        <v>80</v>
      </c>
      <c r="G649" s="1">
        <f t="shared" si="10"/>
        <v>160</v>
      </c>
      <c r="H649" s="1" t="s">
        <v>25</v>
      </c>
      <c r="I649" s="1" t="s">
        <v>26</v>
      </c>
      <c r="J649" s="1">
        <v>2</v>
      </c>
    </row>
    <row r="650" spans="1:10" ht="15" x14ac:dyDescent="0.4">
      <c r="A650" s="1">
        <v>1649</v>
      </c>
      <c r="B650" s="2">
        <v>46122</v>
      </c>
      <c r="C650" s="1" t="s">
        <v>12</v>
      </c>
      <c r="D650" s="1" t="s">
        <v>9</v>
      </c>
      <c r="E650" s="4">
        <v>2</v>
      </c>
      <c r="F650" s="1" cm="1">
        <f t="array" ref="F650">_xlfn.IFS(D650="Tea", 40, D650="Coffee", 60, D650="Bakery", 100, D650="Beverages", 80)</f>
        <v>40</v>
      </c>
      <c r="G650" s="1">
        <f t="shared" si="10"/>
        <v>80</v>
      </c>
      <c r="H650" s="1" t="s">
        <v>24</v>
      </c>
      <c r="I650" s="1" t="s">
        <v>23</v>
      </c>
      <c r="J650" s="1">
        <v>3</v>
      </c>
    </row>
    <row r="651" spans="1:10" ht="15" x14ac:dyDescent="0.4">
      <c r="A651" s="1">
        <v>1650</v>
      </c>
      <c r="B651" s="2">
        <v>46161</v>
      </c>
      <c r="C651" s="1" t="s">
        <v>8</v>
      </c>
      <c r="D651" s="1" t="s">
        <v>13</v>
      </c>
      <c r="E651" s="4">
        <v>1</v>
      </c>
      <c r="F651" s="1" cm="1">
        <f t="array" ref="F651">_xlfn.IFS(D651="Tea", 40, D651="Coffee", 60, D651="Bakery", 100, D651="Beverages", 80)</f>
        <v>100</v>
      </c>
      <c r="G651" s="1">
        <f t="shared" si="10"/>
        <v>100</v>
      </c>
      <c r="H651" s="1" t="s">
        <v>24</v>
      </c>
      <c r="I651" s="1" t="s">
        <v>22</v>
      </c>
      <c r="J651" s="1">
        <v>1</v>
      </c>
    </row>
    <row r="652" spans="1:10" ht="15" x14ac:dyDescent="0.4">
      <c r="A652" s="1">
        <v>1651</v>
      </c>
      <c r="B652" s="2">
        <v>46122</v>
      </c>
      <c r="C652" s="1" t="s">
        <v>10</v>
      </c>
      <c r="D652" s="1" t="s">
        <v>11</v>
      </c>
      <c r="E652" s="4">
        <v>3</v>
      </c>
      <c r="F652" s="1" cm="1">
        <f t="array" ref="F652">_xlfn.IFS(D652="Tea", 40, D652="Coffee", 60, D652="Bakery", 100, D652="Beverages", 80)</f>
        <v>60</v>
      </c>
      <c r="G652" s="1">
        <f t="shared" si="10"/>
        <v>180</v>
      </c>
      <c r="H652" s="1" t="s">
        <v>25</v>
      </c>
      <c r="I652" s="1" t="s">
        <v>26</v>
      </c>
      <c r="J652" s="1">
        <v>1</v>
      </c>
    </row>
    <row r="653" spans="1:10" ht="15" x14ac:dyDescent="0.4">
      <c r="A653" s="1">
        <v>1652</v>
      </c>
      <c r="B653" s="2">
        <v>46188</v>
      </c>
      <c r="C653" s="1" t="s">
        <v>10</v>
      </c>
      <c r="D653" s="1" t="s">
        <v>14</v>
      </c>
      <c r="E653" s="4">
        <v>1</v>
      </c>
      <c r="F653" s="1" cm="1">
        <f t="array" ref="F653">_xlfn.IFS(D653="Tea", 40, D653="Coffee", 60, D653="Bakery", 100, D653="Beverages", 80)</f>
        <v>80</v>
      </c>
      <c r="G653" s="1">
        <f t="shared" si="10"/>
        <v>80</v>
      </c>
      <c r="H653" s="1" t="s">
        <v>25</v>
      </c>
      <c r="I653" s="1" t="s">
        <v>26</v>
      </c>
      <c r="J653" s="1">
        <v>3</v>
      </c>
    </row>
    <row r="654" spans="1:10" ht="15" x14ac:dyDescent="0.4">
      <c r="A654" s="1">
        <v>1653</v>
      </c>
      <c r="B654" s="2">
        <v>46025</v>
      </c>
      <c r="C654" s="1" t="s">
        <v>12</v>
      </c>
      <c r="D654" s="1" t="s">
        <v>13</v>
      </c>
      <c r="E654" s="4">
        <v>2</v>
      </c>
      <c r="F654" s="1" cm="1">
        <f t="array" ref="F654">_xlfn.IFS(D654="Tea", 40, D654="Coffee", 60, D654="Bakery", 100, D654="Beverages", 80)</f>
        <v>100</v>
      </c>
      <c r="G654" s="1">
        <f t="shared" si="10"/>
        <v>200</v>
      </c>
      <c r="H654" s="1" t="s">
        <v>24</v>
      </c>
      <c r="I654" s="1" t="s">
        <v>23</v>
      </c>
      <c r="J654" s="1">
        <v>5</v>
      </c>
    </row>
    <row r="655" spans="1:10" ht="15" x14ac:dyDescent="0.4">
      <c r="A655" s="1">
        <v>1654</v>
      </c>
      <c r="B655" s="2">
        <v>46179</v>
      </c>
      <c r="C655" s="1" t="s">
        <v>8</v>
      </c>
      <c r="D655" s="1" t="s">
        <v>13</v>
      </c>
      <c r="E655" s="4">
        <v>2</v>
      </c>
      <c r="F655" s="1" cm="1">
        <f t="array" ref="F655">_xlfn.IFS(D655="Tea", 40, D655="Coffee", 60, D655="Bakery", 100, D655="Beverages", 80)</f>
        <v>100</v>
      </c>
      <c r="G655" s="1">
        <f t="shared" si="10"/>
        <v>200</v>
      </c>
      <c r="H655" s="1" t="s">
        <v>21</v>
      </c>
      <c r="I655" s="1" t="s">
        <v>23</v>
      </c>
      <c r="J655" s="1">
        <v>3</v>
      </c>
    </row>
    <row r="656" spans="1:10" ht="15" x14ac:dyDescent="0.4">
      <c r="A656" s="1">
        <v>1655</v>
      </c>
      <c r="B656" s="2">
        <v>46090</v>
      </c>
      <c r="C656" s="1" t="s">
        <v>8</v>
      </c>
      <c r="D656" s="1" t="s">
        <v>14</v>
      </c>
      <c r="E656" s="4">
        <v>3</v>
      </c>
      <c r="F656" s="1" cm="1">
        <f t="array" ref="F656">_xlfn.IFS(D656="Tea", 40, D656="Coffee", 60, D656="Bakery", 100, D656="Beverages", 80)</f>
        <v>80</v>
      </c>
      <c r="G656" s="1">
        <f t="shared" si="10"/>
        <v>240</v>
      </c>
      <c r="H656" s="1" t="s">
        <v>21</v>
      </c>
      <c r="I656" s="1" t="s">
        <v>22</v>
      </c>
      <c r="J656" s="1">
        <v>1</v>
      </c>
    </row>
    <row r="657" spans="1:10" ht="15" x14ac:dyDescent="0.4">
      <c r="A657" s="1">
        <v>1656</v>
      </c>
      <c r="B657" s="2">
        <v>46149</v>
      </c>
      <c r="C657" s="1" t="s">
        <v>12</v>
      </c>
      <c r="D657" s="1" t="s">
        <v>13</v>
      </c>
      <c r="E657" s="4">
        <v>1</v>
      </c>
      <c r="F657" s="1" cm="1">
        <f t="array" ref="F657">_xlfn.IFS(D657="Tea", 40, D657="Coffee", 60, D657="Bakery", 100, D657="Beverages", 80)</f>
        <v>100</v>
      </c>
      <c r="G657" s="1">
        <f t="shared" si="10"/>
        <v>100</v>
      </c>
      <c r="H657" s="1" t="s">
        <v>21</v>
      </c>
      <c r="I657" s="1" t="s">
        <v>26</v>
      </c>
      <c r="J657" s="1">
        <v>3</v>
      </c>
    </row>
    <row r="658" spans="1:10" ht="15" x14ac:dyDescent="0.4">
      <c r="A658" s="1">
        <v>1657</v>
      </c>
      <c r="B658" s="2">
        <v>46057</v>
      </c>
      <c r="C658" s="1" t="s">
        <v>8</v>
      </c>
      <c r="D658" s="1" t="s">
        <v>11</v>
      </c>
      <c r="E658" s="4">
        <v>3</v>
      </c>
      <c r="F658" s="1" cm="1">
        <f t="array" ref="F658">_xlfn.IFS(D658="Tea", 40, D658="Coffee", 60, D658="Bakery", 100, D658="Beverages", 80)</f>
        <v>60</v>
      </c>
      <c r="G658" s="1">
        <f t="shared" si="10"/>
        <v>180</v>
      </c>
      <c r="H658" s="1" t="s">
        <v>21</v>
      </c>
      <c r="I658" s="1" t="s">
        <v>22</v>
      </c>
      <c r="J658" s="1">
        <v>5</v>
      </c>
    </row>
    <row r="659" spans="1:10" ht="15" x14ac:dyDescent="0.4">
      <c r="A659" s="1">
        <v>1658</v>
      </c>
      <c r="B659" s="2">
        <v>46138</v>
      </c>
      <c r="C659" s="1" t="s">
        <v>12</v>
      </c>
      <c r="D659" s="1" t="s">
        <v>9</v>
      </c>
      <c r="E659" s="4">
        <v>3</v>
      </c>
      <c r="F659" s="1" cm="1">
        <f t="array" ref="F659">_xlfn.IFS(D659="Tea", 40, D659="Coffee", 60, D659="Bakery", 100, D659="Beverages", 80)</f>
        <v>40</v>
      </c>
      <c r="G659" s="1">
        <f t="shared" si="10"/>
        <v>120</v>
      </c>
      <c r="H659" s="1" t="s">
        <v>25</v>
      </c>
      <c r="I659" s="1" t="s">
        <v>22</v>
      </c>
      <c r="J659" s="1">
        <v>1</v>
      </c>
    </row>
    <row r="660" spans="1:10" ht="15" x14ac:dyDescent="0.4">
      <c r="A660" s="1">
        <v>1659</v>
      </c>
      <c r="B660" s="2">
        <v>46032</v>
      </c>
      <c r="C660" s="1" t="s">
        <v>10</v>
      </c>
      <c r="D660" s="1" t="s">
        <v>9</v>
      </c>
      <c r="E660" s="4">
        <v>1</v>
      </c>
      <c r="F660" s="1" cm="1">
        <f t="array" ref="F660">_xlfn.IFS(D660="Tea", 40, D660="Coffee", 60, D660="Bakery", 100, D660="Beverages", 80)</f>
        <v>40</v>
      </c>
      <c r="G660" s="1">
        <f t="shared" si="10"/>
        <v>40</v>
      </c>
      <c r="H660" s="1" t="s">
        <v>25</v>
      </c>
      <c r="I660" s="1" t="s">
        <v>23</v>
      </c>
      <c r="J660" s="1">
        <v>5</v>
      </c>
    </row>
    <row r="661" spans="1:10" ht="15" x14ac:dyDescent="0.4">
      <c r="A661" s="1">
        <v>1660</v>
      </c>
      <c r="B661" s="2">
        <v>46158</v>
      </c>
      <c r="C661" s="1" t="s">
        <v>10</v>
      </c>
      <c r="D661" s="1" t="s">
        <v>13</v>
      </c>
      <c r="E661" s="4">
        <v>2</v>
      </c>
      <c r="F661" s="1" cm="1">
        <f t="array" ref="F661">_xlfn.IFS(D661="Tea", 40, D661="Coffee", 60, D661="Bakery", 100, D661="Beverages", 80)</f>
        <v>100</v>
      </c>
      <c r="G661" s="1">
        <f t="shared" si="10"/>
        <v>200</v>
      </c>
      <c r="H661" s="1" t="s">
        <v>21</v>
      </c>
      <c r="I661" s="1" t="s">
        <v>26</v>
      </c>
      <c r="J661" s="1">
        <v>3</v>
      </c>
    </row>
    <row r="662" spans="1:10" ht="15" x14ac:dyDescent="0.4">
      <c r="A662" s="1">
        <v>1661</v>
      </c>
      <c r="B662" s="2">
        <v>46090</v>
      </c>
      <c r="C662" s="1" t="s">
        <v>8</v>
      </c>
      <c r="D662" s="1" t="s">
        <v>9</v>
      </c>
      <c r="E662" s="4">
        <v>2</v>
      </c>
      <c r="F662" s="1" cm="1">
        <f t="array" ref="F662">_xlfn.IFS(D662="Tea", 40, D662="Coffee", 60, D662="Bakery", 100, D662="Beverages", 80)</f>
        <v>40</v>
      </c>
      <c r="G662" s="1">
        <f t="shared" si="10"/>
        <v>80</v>
      </c>
      <c r="H662" s="1" t="s">
        <v>21</v>
      </c>
      <c r="I662" s="1" t="s">
        <v>26</v>
      </c>
      <c r="J662" s="1">
        <v>1</v>
      </c>
    </row>
    <row r="663" spans="1:10" ht="15" x14ac:dyDescent="0.4">
      <c r="A663" s="1">
        <v>1662</v>
      </c>
      <c r="B663" s="2">
        <v>46141</v>
      </c>
      <c r="C663" s="1" t="s">
        <v>8</v>
      </c>
      <c r="D663" s="1" t="s">
        <v>13</v>
      </c>
      <c r="E663" s="4">
        <v>2</v>
      </c>
      <c r="F663" s="1" cm="1">
        <f t="array" ref="F663">_xlfn.IFS(D663="Tea", 40, D663="Coffee", 60, D663="Bakery", 100, D663="Beverages", 80)</f>
        <v>100</v>
      </c>
      <c r="G663" s="1">
        <f t="shared" si="10"/>
        <v>200</v>
      </c>
      <c r="H663" s="1" t="s">
        <v>21</v>
      </c>
      <c r="I663" s="1" t="s">
        <v>22</v>
      </c>
      <c r="J663" s="1">
        <v>2</v>
      </c>
    </row>
    <row r="664" spans="1:10" ht="15" x14ac:dyDescent="0.4">
      <c r="A664" s="1">
        <v>1663</v>
      </c>
      <c r="B664" s="2">
        <v>46050</v>
      </c>
      <c r="C664" s="1" t="s">
        <v>12</v>
      </c>
      <c r="D664" s="1" t="s">
        <v>9</v>
      </c>
      <c r="E664" s="4">
        <v>2</v>
      </c>
      <c r="F664" s="1" cm="1">
        <f t="array" ref="F664">_xlfn.IFS(D664="Tea", 40, D664="Coffee", 60, D664="Bakery", 100, D664="Beverages", 80)</f>
        <v>40</v>
      </c>
      <c r="G664" s="1">
        <f t="shared" si="10"/>
        <v>80</v>
      </c>
      <c r="H664" s="1" t="s">
        <v>25</v>
      </c>
      <c r="I664" s="1" t="s">
        <v>23</v>
      </c>
      <c r="J664" s="1">
        <v>2</v>
      </c>
    </row>
    <row r="665" spans="1:10" ht="15" x14ac:dyDescent="0.4">
      <c r="A665" s="1">
        <v>1664</v>
      </c>
      <c r="B665" s="2">
        <v>46130</v>
      </c>
      <c r="C665" s="1" t="s">
        <v>10</v>
      </c>
      <c r="D665" s="1" t="s">
        <v>13</v>
      </c>
      <c r="E665" s="4">
        <v>3</v>
      </c>
      <c r="F665" s="1" cm="1">
        <f t="array" ref="F665">_xlfn.IFS(D665="Tea", 40, D665="Coffee", 60, D665="Bakery", 100, D665="Beverages", 80)</f>
        <v>100</v>
      </c>
      <c r="G665" s="1">
        <f t="shared" si="10"/>
        <v>300</v>
      </c>
      <c r="H665" s="1" t="s">
        <v>21</v>
      </c>
      <c r="I665" s="1" t="s">
        <v>23</v>
      </c>
      <c r="J665" s="1">
        <v>5</v>
      </c>
    </row>
    <row r="666" spans="1:10" ht="15" x14ac:dyDescent="0.4">
      <c r="A666" s="1">
        <v>1665</v>
      </c>
      <c r="B666" s="2">
        <v>46200</v>
      </c>
      <c r="C666" s="1" t="s">
        <v>8</v>
      </c>
      <c r="D666" s="1" t="s">
        <v>13</v>
      </c>
      <c r="E666" s="4">
        <v>1</v>
      </c>
      <c r="F666" s="1" cm="1">
        <f t="array" ref="F666">_xlfn.IFS(D666="Tea", 40, D666="Coffee", 60, D666="Bakery", 100, D666="Beverages", 80)</f>
        <v>100</v>
      </c>
      <c r="G666" s="1">
        <f t="shared" si="10"/>
        <v>100</v>
      </c>
      <c r="H666" s="1" t="s">
        <v>24</v>
      </c>
      <c r="I666" s="1" t="s">
        <v>26</v>
      </c>
      <c r="J666" s="1">
        <v>5</v>
      </c>
    </row>
    <row r="667" spans="1:10" ht="15" x14ac:dyDescent="0.4">
      <c r="A667" s="1">
        <v>1666</v>
      </c>
      <c r="B667" s="2">
        <v>46102</v>
      </c>
      <c r="C667" s="1" t="s">
        <v>12</v>
      </c>
      <c r="D667" s="1" t="s">
        <v>13</v>
      </c>
      <c r="E667" s="4">
        <v>3</v>
      </c>
      <c r="F667" s="1" cm="1">
        <f t="array" ref="F667">_xlfn.IFS(D667="Tea", 40, D667="Coffee", 60, D667="Bakery", 100, D667="Beverages", 80)</f>
        <v>100</v>
      </c>
      <c r="G667" s="1">
        <f t="shared" si="10"/>
        <v>300</v>
      </c>
      <c r="H667" s="1" t="s">
        <v>21</v>
      </c>
      <c r="I667" s="1" t="s">
        <v>23</v>
      </c>
      <c r="J667" s="1">
        <v>4</v>
      </c>
    </row>
    <row r="668" spans="1:10" ht="15" x14ac:dyDescent="0.4">
      <c r="A668" s="1">
        <v>1667</v>
      </c>
      <c r="B668" s="2">
        <v>46156</v>
      </c>
      <c r="C668" s="1" t="s">
        <v>10</v>
      </c>
      <c r="D668" s="1" t="s">
        <v>11</v>
      </c>
      <c r="E668" s="4">
        <v>3</v>
      </c>
      <c r="F668" s="1" cm="1">
        <f t="array" ref="F668">_xlfn.IFS(D668="Tea", 40, D668="Coffee", 60, D668="Bakery", 100, D668="Beverages", 80)</f>
        <v>60</v>
      </c>
      <c r="G668" s="1">
        <f t="shared" si="10"/>
        <v>180</v>
      </c>
      <c r="H668" s="1" t="s">
        <v>21</v>
      </c>
      <c r="I668" s="1" t="s">
        <v>26</v>
      </c>
      <c r="J668" s="1">
        <v>2</v>
      </c>
    </row>
    <row r="669" spans="1:10" ht="15" x14ac:dyDescent="0.4">
      <c r="A669" s="1">
        <v>1668</v>
      </c>
      <c r="B669" s="2">
        <v>46161</v>
      </c>
      <c r="C669" s="1" t="s">
        <v>12</v>
      </c>
      <c r="D669" s="1" t="s">
        <v>13</v>
      </c>
      <c r="E669" s="4">
        <v>2</v>
      </c>
      <c r="F669" s="1" cm="1">
        <f t="array" ref="F669">_xlfn.IFS(D669="Tea", 40, D669="Coffee", 60, D669="Bakery", 100, D669="Beverages", 80)</f>
        <v>100</v>
      </c>
      <c r="G669" s="1">
        <f t="shared" si="10"/>
        <v>200</v>
      </c>
      <c r="H669" s="1" t="s">
        <v>21</v>
      </c>
      <c r="I669" s="1" t="s">
        <v>22</v>
      </c>
      <c r="J669" s="1">
        <v>3</v>
      </c>
    </row>
    <row r="670" spans="1:10" ht="15" x14ac:dyDescent="0.4">
      <c r="A670" s="1">
        <v>1669</v>
      </c>
      <c r="B670" s="2">
        <v>46122</v>
      </c>
      <c r="C670" s="1" t="s">
        <v>12</v>
      </c>
      <c r="D670" s="1" t="s">
        <v>14</v>
      </c>
      <c r="E670" s="4">
        <v>2</v>
      </c>
      <c r="F670" s="1" cm="1">
        <f t="array" ref="F670">_xlfn.IFS(D670="Tea", 40, D670="Coffee", 60, D670="Bakery", 100, D670="Beverages", 80)</f>
        <v>80</v>
      </c>
      <c r="G670" s="1">
        <f t="shared" si="10"/>
        <v>160</v>
      </c>
      <c r="H670" s="1" t="s">
        <v>24</v>
      </c>
      <c r="I670" s="1" t="s">
        <v>22</v>
      </c>
      <c r="J670" s="1">
        <v>1</v>
      </c>
    </row>
    <row r="671" spans="1:10" ht="15" x14ac:dyDescent="0.4">
      <c r="A671" s="1">
        <v>1670</v>
      </c>
      <c r="B671" s="2">
        <v>46115</v>
      </c>
      <c r="C671" s="1" t="s">
        <v>10</v>
      </c>
      <c r="D671" s="1" t="s">
        <v>14</v>
      </c>
      <c r="E671" s="4">
        <v>1</v>
      </c>
      <c r="F671" s="1" cm="1">
        <f t="array" ref="F671">_xlfn.IFS(D671="Tea", 40, D671="Coffee", 60, D671="Bakery", 100, D671="Beverages", 80)</f>
        <v>80</v>
      </c>
      <c r="G671" s="1">
        <f t="shared" si="10"/>
        <v>80</v>
      </c>
      <c r="H671" s="1" t="s">
        <v>24</v>
      </c>
      <c r="I671" s="1" t="s">
        <v>22</v>
      </c>
      <c r="J671" s="1">
        <v>1</v>
      </c>
    </row>
    <row r="672" spans="1:10" ht="15" x14ac:dyDescent="0.4">
      <c r="A672" s="1">
        <v>1671</v>
      </c>
      <c r="B672" s="2">
        <v>46049</v>
      </c>
      <c r="C672" s="1" t="s">
        <v>12</v>
      </c>
      <c r="D672" s="1" t="s">
        <v>11</v>
      </c>
      <c r="E672" s="4">
        <v>2</v>
      </c>
      <c r="F672" s="1" cm="1">
        <f t="array" ref="F672">_xlfn.IFS(D672="Tea", 40, D672="Coffee", 60, D672="Bakery", 100, D672="Beverages", 80)</f>
        <v>60</v>
      </c>
      <c r="G672" s="1">
        <f t="shared" si="10"/>
        <v>120</v>
      </c>
      <c r="H672" s="1" t="s">
        <v>21</v>
      </c>
      <c r="I672" s="1" t="s">
        <v>22</v>
      </c>
      <c r="J672" s="1">
        <v>2</v>
      </c>
    </row>
    <row r="673" spans="1:10" ht="15" x14ac:dyDescent="0.4">
      <c r="A673" s="1">
        <v>1672</v>
      </c>
      <c r="B673" s="2">
        <v>46128</v>
      </c>
      <c r="C673" s="1" t="s">
        <v>10</v>
      </c>
      <c r="D673" s="1" t="s">
        <v>13</v>
      </c>
      <c r="E673" s="4">
        <v>3</v>
      </c>
      <c r="F673" s="1" cm="1">
        <f t="array" ref="F673">_xlfn.IFS(D673="Tea", 40, D673="Coffee", 60, D673="Bakery", 100, D673="Beverages", 80)</f>
        <v>100</v>
      </c>
      <c r="G673" s="1">
        <f t="shared" si="10"/>
        <v>300</v>
      </c>
      <c r="H673" s="1" t="s">
        <v>24</v>
      </c>
      <c r="I673" s="1" t="s">
        <v>26</v>
      </c>
      <c r="J673" s="1">
        <v>2</v>
      </c>
    </row>
    <row r="674" spans="1:10" ht="15" x14ac:dyDescent="0.4">
      <c r="A674" s="1">
        <v>1673</v>
      </c>
      <c r="B674" s="2">
        <v>46158</v>
      </c>
      <c r="C674" s="1" t="s">
        <v>10</v>
      </c>
      <c r="D674" s="1" t="s">
        <v>11</v>
      </c>
      <c r="E674" s="4">
        <v>3</v>
      </c>
      <c r="F674" s="1" cm="1">
        <f t="array" ref="F674">_xlfn.IFS(D674="Tea", 40, D674="Coffee", 60, D674="Bakery", 100, D674="Beverages", 80)</f>
        <v>60</v>
      </c>
      <c r="G674" s="1">
        <f t="shared" si="10"/>
        <v>180</v>
      </c>
      <c r="H674" s="1" t="s">
        <v>25</v>
      </c>
      <c r="I674" s="1" t="s">
        <v>26</v>
      </c>
      <c r="J674" s="1">
        <v>5</v>
      </c>
    </row>
    <row r="675" spans="1:10" ht="15" x14ac:dyDescent="0.4">
      <c r="A675" s="1">
        <v>1674</v>
      </c>
      <c r="B675" s="2">
        <v>46027</v>
      </c>
      <c r="C675" s="1" t="s">
        <v>10</v>
      </c>
      <c r="D675" s="1" t="s">
        <v>9</v>
      </c>
      <c r="E675" s="4">
        <v>1</v>
      </c>
      <c r="F675" s="1" cm="1">
        <f t="array" ref="F675">_xlfn.IFS(D675="Tea", 40, D675="Coffee", 60, D675="Bakery", 100, D675="Beverages", 80)</f>
        <v>40</v>
      </c>
      <c r="G675" s="1">
        <f t="shared" si="10"/>
        <v>40</v>
      </c>
      <c r="H675" s="1" t="s">
        <v>25</v>
      </c>
      <c r="I675" s="1" t="s">
        <v>22</v>
      </c>
      <c r="J675" s="1">
        <v>3</v>
      </c>
    </row>
    <row r="676" spans="1:10" ht="15" x14ac:dyDescent="0.4">
      <c r="A676" s="1">
        <v>1675</v>
      </c>
      <c r="B676" s="2">
        <v>46190</v>
      </c>
      <c r="C676" s="1" t="s">
        <v>8</v>
      </c>
      <c r="D676" s="1" t="s">
        <v>11</v>
      </c>
      <c r="E676" s="4">
        <v>1</v>
      </c>
      <c r="F676" s="1" cm="1">
        <f t="array" ref="F676">_xlfn.IFS(D676="Tea", 40, D676="Coffee", 60, D676="Bakery", 100, D676="Beverages", 80)</f>
        <v>60</v>
      </c>
      <c r="G676" s="1">
        <f t="shared" si="10"/>
        <v>60</v>
      </c>
      <c r="H676" s="1" t="s">
        <v>24</v>
      </c>
      <c r="I676" s="1" t="s">
        <v>23</v>
      </c>
      <c r="J676" s="1">
        <v>3</v>
      </c>
    </row>
    <row r="677" spans="1:10" ht="15" x14ac:dyDescent="0.4">
      <c r="A677" s="1">
        <v>1676</v>
      </c>
      <c r="B677" s="2">
        <v>46141</v>
      </c>
      <c r="C677" s="1" t="s">
        <v>12</v>
      </c>
      <c r="D677" s="1" t="s">
        <v>14</v>
      </c>
      <c r="E677" s="4">
        <v>1</v>
      </c>
      <c r="F677" s="1" cm="1">
        <f t="array" ref="F677">_xlfn.IFS(D677="Tea", 40, D677="Coffee", 60, D677="Bakery", 100, D677="Beverages", 80)</f>
        <v>80</v>
      </c>
      <c r="G677" s="1">
        <f t="shared" si="10"/>
        <v>80</v>
      </c>
      <c r="H677" s="1" t="s">
        <v>21</v>
      </c>
      <c r="I677" s="1" t="s">
        <v>23</v>
      </c>
      <c r="J677" s="1">
        <v>2</v>
      </c>
    </row>
    <row r="678" spans="1:10" ht="15" x14ac:dyDescent="0.4">
      <c r="A678" s="1">
        <v>1677</v>
      </c>
      <c r="B678" s="2">
        <v>46169</v>
      </c>
      <c r="C678" s="1" t="s">
        <v>8</v>
      </c>
      <c r="D678" s="1" t="s">
        <v>13</v>
      </c>
      <c r="E678" s="4">
        <v>2</v>
      </c>
      <c r="F678" s="1" cm="1">
        <f t="array" ref="F678">_xlfn.IFS(D678="Tea", 40, D678="Coffee", 60, D678="Bakery", 100, D678="Beverages", 80)</f>
        <v>100</v>
      </c>
      <c r="G678" s="1">
        <f t="shared" si="10"/>
        <v>200</v>
      </c>
      <c r="H678" s="1" t="s">
        <v>25</v>
      </c>
      <c r="I678" s="1" t="s">
        <v>22</v>
      </c>
      <c r="J678" s="1">
        <v>3</v>
      </c>
    </row>
    <row r="679" spans="1:10" ht="15" x14ac:dyDescent="0.4">
      <c r="A679" s="1">
        <v>1678</v>
      </c>
      <c r="B679" s="2">
        <v>46190</v>
      </c>
      <c r="C679" s="1" t="s">
        <v>12</v>
      </c>
      <c r="D679" s="1" t="s">
        <v>11</v>
      </c>
      <c r="E679" s="4">
        <v>3</v>
      </c>
      <c r="F679" s="1" cm="1">
        <f t="array" ref="F679">_xlfn.IFS(D679="Tea", 40, D679="Coffee", 60, D679="Bakery", 100, D679="Beverages", 80)</f>
        <v>60</v>
      </c>
      <c r="G679" s="1">
        <f t="shared" si="10"/>
        <v>180</v>
      </c>
      <c r="H679" s="1" t="s">
        <v>24</v>
      </c>
      <c r="I679" s="1" t="s">
        <v>23</v>
      </c>
      <c r="J679" s="1">
        <v>4</v>
      </c>
    </row>
    <row r="680" spans="1:10" ht="15" x14ac:dyDescent="0.4">
      <c r="A680" s="1">
        <v>1679</v>
      </c>
      <c r="B680" s="2">
        <v>46158</v>
      </c>
      <c r="C680" s="1" t="s">
        <v>10</v>
      </c>
      <c r="D680" s="1" t="s">
        <v>11</v>
      </c>
      <c r="E680" s="4">
        <v>1</v>
      </c>
      <c r="F680" s="1" cm="1">
        <f t="array" ref="F680">_xlfn.IFS(D680="Tea", 40, D680="Coffee", 60, D680="Bakery", 100, D680="Beverages", 80)</f>
        <v>60</v>
      </c>
      <c r="G680" s="1">
        <f t="shared" si="10"/>
        <v>60</v>
      </c>
      <c r="H680" s="1" t="s">
        <v>21</v>
      </c>
      <c r="I680" s="1" t="s">
        <v>22</v>
      </c>
      <c r="J680" s="1">
        <v>1</v>
      </c>
    </row>
    <row r="681" spans="1:10" ht="15" x14ac:dyDescent="0.4">
      <c r="A681" s="1">
        <v>1680</v>
      </c>
      <c r="B681" s="2">
        <v>46153</v>
      </c>
      <c r="C681" s="1" t="s">
        <v>12</v>
      </c>
      <c r="D681" s="1" t="s">
        <v>11</v>
      </c>
      <c r="E681" s="4">
        <v>1</v>
      </c>
      <c r="F681" s="1" cm="1">
        <f t="array" ref="F681">_xlfn.IFS(D681="Tea", 40, D681="Coffee", 60, D681="Bakery", 100, D681="Beverages", 80)</f>
        <v>60</v>
      </c>
      <c r="G681" s="1">
        <f t="shared" si="10"/>
        <v>60</v>
      </c>
      <c r="H681" s="1" t="s">
        <v>25</v>
      </c>
      <c r="I681" s="1" t="s">
        <v>22</v>
      </c>
      <c r="J681" s="1">
        <v>4</v>
      </c>
    </row>
    <row r="682" spans="1:10" ht="15" x14ac:dyDescent="0.4">
      <c r="A682" s="1">
        <v>1681</v>
      </c>
      <c r="B682" s="2">
        <v>46130</v>
      </c>
      <c r="C682" s="1" t="s">
        <v>12</v>
      </c>
      <c r="D682" s="1" t="s">
        <v>9</v>
      </c>
      <c r="E682" s="4">
        <v>2</v>
      </c>
      <c r="F682" s="1" cm="1">
        <f t="array" ref="F682">_xlfn.IFS(D682="Tea", 40, D682="Coffee", 60, D682="Bakery", 100, D682="Beverages", 80)</f>
        <v>40</v>
      </c>
      <c r="G682" s="1">
        <f t="shared" si="10"/>
        <v>80</v>
      </c>
      <c r="H682" s="1" t="s">
        <v>24</v>
      </c>
      <c r="I682" s="1" t="s">
        <v>23</v>
      </c>
      <c r="J682" s="1">
        <v>1</v>
      </c>
    </row>
    <row r="683" spans="1:10" ht="15" x14ac:dyDescent="0.4">
      <c r="A683" s="1">
        <v>1682</v>
      </c>
      <c r="B683" s="2">
        <v>46174</v>
      </c>
      <c r="C683" s="1" t="s">
        <v>8</v>
      </c>
      <c r="D683" s="1" t="s">
        <v>9</v>
      </c>
      <c r="E683" s="4">
        <v>3</v>
      </c>
      <c r="F683" s="1" cm="1">
        <f t="array" ref="F683">_xlfn.IFS(D683="Tea", 40, D683="Coffee", 60, D683="Bakery", 100, D683="Beverages", 80)</f>
        <v>40</v>
      </c>
      <c r="G683" s="1">
        <f t="shared" si="10"/>
        <v>120</v>
      </c>
      <c r="H683" s="1" t="s">
        <v>24</v>
      </c>
      <c r="I683" s="1" t="s">
        <v>23</v>
      </c>
      <c r="J683" s="1">
        <v>3</v>
      </c>
    </row>
    <row r="684" spans="1:10" ht="15" x14ac:dyDescent="0.4">
      <c r="A684" s="1">
        <v>1683</v>
      </c>
      <c r="B684" s="2">
        <v>46174</v>
      </c>
      <c r="C684" s="1" t="s">
        <v>12</v>
      </c>
      <c r="D684" s="1" t="s">
        <v>13</v>
      </c>
      <c r="E684" s="4">
        <v>3</v>
      </c>
      <c r="F684" s="1" cm="1">
        <f t="array" ref="F684">_xlfn.IFS(D684="Tea", 40, D684="Coffee", 60, D684="Bakery", 100, D684="Beverages", 80)</f>
        <v>100</v>
      </c>
      <c r="G684" s="1">
        <f t="shared" si="10"/>
        <v>300</v>
      </c>
      <c r="H684" s="1" t="s">
        <v>25</v>
      </c>
      <c r="I684" s="1" t="s">
        <v>26</v>
      </c>
      <c r="J684" s="1">
        <v>4</v>
      </c>
    </row>
    <row r="685" spans="1:10" ht="15" x14ac:dyDescent="0.4">
      <c r="A685" s="1">
        <v>1684</v>
      </c>
      <c r="B685" s="2">
        <v>46156</v>
      </c>
      <c r="C685" s="1" t="s">
        <v>10</v>
      </c>
      <c r="D685" s="1" t="s">
        <v>13</v>
      </c>
      <c r="E685" s="4">
        <v>2</v>
      </c>
      <c r="F685" s="1" cm="1">
        <f t="array" ref="F685">_xlfn.IFS(D685="Tea", 40, D685="Coffee", 60, D685="Bakery", 100, D685="Beverages", 80)</f>
        <v>100</v>
      </c>
      <c r="G685" s="1">
        <f t="shared" si="10"/>
        <v>200</v>
      </c>
      <c r="H685" s="1" t="s">
        <v>24</v>
      </c>
      <c r="I685" s="1" t="s">
        <v>26</v>
      </c>
      <c r="J685" s="1">
        <v>2</v>
      </c>
    </row>
    <row r="686" spans="1:10" ht="15" x14ac:dyDescent="0.4">
      <c r="A686" s="1">
        <v>1685</v>
      </c>
      <c r="B686" s="2">
        <v>46094</v>
      </c>
      <c r="C686" s="1" t="s">
        <v>10</v>
      </c>
      <c r="D686" s="1" t="s">
        <v>14</v>
      </c>
      <c r="E686" s="4">
        <v>2</v>
      </c>
      <c r="F686" s="1" cm="1">
        <f t="array" ref="F686">_xlfn.IFS(D686="Tea", 40, D686="Coffee", 60, D686="Bakery", 100, D686="Beverages", 80)</f>
        <v>80</v>
      </c>
      <c r="G686" s="1">
        <f t="shared" si="10"/>
        <v>160</v>
      </c>
      <c r="H686" s="1" t="s">
        <v>24</v>
      </c>
      <c r="I686" s="1" t="s">
        <v>22</v>
      </c>
      <c r="J686" s="1">
        <v>2</v>
      </c>
    </row>
    <row r="687" spans="1:10" ht="15" x14ac:dyDescent="0.4">
      <c r="A687" s="1">
        <v>1686</v>
      </c>
      <c r="B687" s="2">
        <v>46100</v>
      </c>
      <c r="C687" s="1" t="s">
        <v>12</v>
      </c>
      <c r="D687" s="1" t="s">
        <v>9</v>
      </c>
      <c r="E687" s="4">
        <v>2</v>
      </c>
      <c r="F687" s="1" cm="1">
        <f t="array" ref="F687">_xlfn.IFS(D687="Tea", 40, D687="Coffee", 60, D687="Bakery", 100, D687="Beverages", 80)</f>
        <v>40</v>
      </c>
      <c r="G687" s="1">
        <f t="shared" si="10"/>
        <v>80</v>
      </c>
      <c r="H687" s="1" t="s">
        <v>25</v>
      </c>
      <c r="I687" s="1" t="s">
        <v>26</v>
      </c>
      <c r="J687" s="1">
        <v>2</v>
      </c>
    </row>
    <row r="688" spans="1:10" ht="15" x14ac:dyDescent="0.4">
      <c r="A688" s="1">
        <v>1687</v>
      </c>
      <c r="B688" s="2">
        <v>46080</v>
      </c>
      <c r="C688" s="1" t="s">
        <v>10</v>
      </c>
      <c r="D688" s="1" t="s">
        <v>9</v>
      </c>
      <c r="E688" s="4">
        <v>3</v>
      </c>
      <c r="F688" s="1" cm="1">
        <f t="array" ref="F688">_xlfn.IFS(D688="Tea", 40, D688="Coffee", 60, D688="Bakery", 100, D688="Beverages", 80)</f>
        <v>40</v>
      </c>
      <c r="G688" s="1">
        <f t="shared" si="10"/>
        <v>120</v>
      </c>
      <c r="H688" s="1" t="s">
        <v>25</v>
      </c>
      <c r="I688" s="1" t="s">
        <v>22</v>
      </c>
      <c r="J688" s="1">
        <v>3</v>
      </c>
    </row>
    <row r="689" spans="1:10" ht="15" x14ac:dyDescent="0.4">
      <c r="A689" s="1">
        <v>1688</v>
      </c>
      <c r="B689" s="2">
        <v>46200</v>
      </c>
      <c r="C689" s="1" t="s">
        <v>12</v>
      </c>
      <c r="D689" s="1" t="s">
        <v>13</v>
      </c>
      <c r="E689" s="4">
        <v>2</v>
      </c>
      <c r="F689" s="1" cm="1">
        <f t="array" ref="F689">_xlfn.IFS(D689="Tea", 40, D689="Coffee", 60, D689="Bakery", 100, D689="Beverages", 80)</f>
        <v>100</v>
      </c>
      <c r="G689" s="1">
        <f t="shared" si="10"/>
        <v>200</v>
      </c>
      <c r="H689" s="1" t="s">
        <v>25</v>
      </c>
      <c r="I689" s="1" t="s">
        <v>26</v>
      </c>
      <c r="J689" s="1">
        <v>3</v>
      </c>
    </row>
    <row r="690" spans="1:10" ht="15" x14ac:dyDescent="0.4">
      <c r="A690" s="1">
        <v>1689</v>
      </c>
      <c r="B690" s="2">
        <v>46089</v>
      </c>
      <c r="C690" s="1" t="s">
        <v>8</v>
      </c>
      <c r="D690" s="1" t="s">
        <v>14</v>
      </c>
      <c r="E690" s="4">
        <v>2</v>
      </c>
      <c r="F690" s="1" cm="1">
        <f t="array" ref="F690">_xlfn.IFS(D690="Tea", 40, D690="Coffee", 60, D690="Bakery", 100, D690="Beverages", 80)</f>
        <v>80</v>
      </c>
      <c r="G690" s="1">
        <f t="shared" si="10"/>
        <v>160</v>
      </c>
      <c r="H690" s="1" t="s">
        <v>24</v>
      </c>
      <c r="I690" s="1" t="s">
        <v>22</v>
      </c>
      <c r="J690" s="1">
        <v>2</v>
      </c>
    </row>
    <row r="691" spans="1:10" ht="15" x14ac:dyDescent="0.4">
      <c r="A691" s="1">
        <v>1690</v>
      </c>
      <c r="B691" s="2">
        <v>46125</v>
      </c>
      <c r="C691" s="1" t="s">
        <v>12</v>
      </c>
      <c r="D691" s="1" t="s">
        <v>13</v>
      </c>
      <c r="E691" s="4">
        <v>2</v>
      </c>
      <c r="F691" s="1" cm="1">
        <f t="array" ref="F691">_xlfn.IFS(D691="Tea", 40, D691="Coffee", 60, D691="Bakery", 100, D691="Beverages", 80)</f>
        <v>100</v>
      </c>
      <c r="G691" s="1">
        <f t="shared" si="10"/>
        <v>200</v>
      </c>
      <c r="H691" s="1" t="s">
        <v>25</v>
      </c>
      <c r="I691" s="1" t="s">
        <v>22</v>
      </c>
      <c r="J691" s="1">
        <v>5</v>
      </c>
    </row>
    <row r="692" spans="1:10" ht="15" x14ac:dyDescent="0.4">
      <c r="A692" s="1">
        <v>1691</v>
      </c>
      <c r="B692" s="2">
        <v>46088</v>
      </c>
      <c r="C692" s="1" t="s">
        <v>8</v>
      </c>
      <c r="D692" s="1" t="s">
        <v>14</v>
      </c>
      <c r="E692" s="4">
        <v>3</v>
      </c>
      <c r="F692" s="1" cm="1">
        <f t="array" ref="F692">_xlfn.IFS(D692="Tea", 40, D692="Coffee", 60, D692="Bakery", 100, D692="Beverages", 80)</f>
        <v>80</v>
      </c>
      <c r="G692" s="1">
        <f t="shared" si="10"/>
        <v>240</v>
      </c>
      <c r="H692" s="1" t="s">
        <v>24</v>
      </c>
      <c r="I692" s="1" t="s">
        <v>23</v>
      </c>
      <c r="J692" s="1">
        <v>3</v>
      </c>
    </row>
    <row r="693" spans="1:10" ht="15" x14ac:dyDescent="0.4">
      <c r="A693" s="1">
        <v>1692</v>
      </c>
      <c r="B693" s="2">
        <v>46157</v>
      </c>
      <c r="C693" s="1" t="s">
        <v>10</v>
      </c>
      <c r="D693" s="1" t="s">
        <v>11</v>
      </c>
      <c r="E693" s="4">
        <v>1</v>
      </c>
      <c r="F693" s="1" cm="1">
        <f t="array" ref="F693">_xlfn.IFS(D693="Tea", 40, D693="Coffee", 60, D693="Bakery", 100, D693="Beverages", 80)</f>
        <v>60</v>
      </c>
      <c r="G693" s="1">
        <f t="shared" si="10"/>
        <v>60</v>
      </c>
      <c r="H693" s="1" t="s">
        <v>24</v>
      </c>
      <c r="I693" s="1" t="s">
        <v>23</v>
      </c>
      <c r="J693" s="1">
        <v>1</v>
      </c>
    </row>
    <row r="694" spans="1:10" ht="15" x14ac:dyDescent="0.4">
      <c r="A694" s="1">
        <v>1693</v>
      </c>
      <c r="B694" s="2">
        <v>46142</v>
      </c>
      <c r="C694" s="1" t="s">
        <v>12</v>
      </c>
      <c r="D694" s="1" t="s">
        <v>13</v>
      </c>
      <c r="E694" s="4">
        <v>2</v>
      </c>
      <c r="F694" s="1" cm="1">
        <f t="array" ref="F694">_xlfn.IFS(D694="Tea", 40, D694="Coffee", 60, D694="Bakery", 100, D694="Beverages", 80)</f>
        <v>100</v>
      </c>
      <c r="G694" s="1">
        <f t="shared" si="10"/>
        <v>200</v>
      </c>
      <c r="H694" s="1" t="s">
        <v>24</v>
      </c>
      <c r="I694" s="1" t="s">
        <v>22</v>
      </c>
      <c r="J694" s="1">
        <v>4</v>
      </c>
    </row>
    <row r="695" spans="1:10" ht="15" x14ac:dyDescent="0.4">
      <c r="A695" s="1">
        <v>1694</v>
      </c>
      <c r="B695" s="2">
        <v>46089</v>
      </c>
      <c r="C695" s="1" t="s">
        <v>8</v>
      </c>
      <c r="D695" s="1" t="s">
        <v>13</v>
      </c>
      <c r="E695" s="4">
        <v>3</v>
      </c>
      <c r="F695" s="1" cm="1">
        <f t="array" ref="F695">_xlfn.IFS(D695="Tea", 40, D695="Coffee", 60, D695="Bakery", 100, D695="Beverages", 80)</f>
        <v>100</v>
      </c>
      <c r="G695" s="1">
        <f t="shared" si="10"/>
        <v>300</v>
      </c>
      <c r="H695" s="1" t="s">
        <v>21</v>
      </c>
      <c r="I695" s="1" t="s">
        <v>23</v>
      </c>
      <c r="J695" s="1">
        <v>1</v>
      </c>
    </row>
    <row r="696" spans="1:10" ht="15" x14ac:dyDescent="0.4">
      <c r="A696" s="1">
        <v>1695</v>
      </c>
      <c r="B696" s="2">
        <v>46177</v>
      </c>
      <c r="C696" s="1" t="s">
        <v>10</v>
      </c>
      <c r="D696" s="1" t="s">
        <v>11</v>
      </c>
      <c r="E696" s="4">
        <v>2</v>
      </c>
      <c r="F696" s="1" cm="1">
        <f t="array" ref="F696">_xlfn.IFS(D696="Tea", 40, D696="Coffee", 60, D696="Bakery", 100, D696="Beverages", 80)</f>
        <v>60</v>
      </c>
      <c r="G696" s="1">
        <f t="shared" si="10"/>
        <v>120</v>
      </c>
      <c r="H696" s="1" t="s">
        <v>24</v>
      </c>
      <c r="I696" s="1" t="s">
        <v>23</v>
      </c>
      <c r="J696" s="1">
        <v>1</v>
      </c>
    </row>
    <row r="697" spans="1:10" ht="15" x14ac:dyDescent="0.4">
      <c r="A697" s="1">
        <v>1696</v>
      </c>
      <c r="B697" s="2">
        <v>46184</v>
      </c>
      <c r="C697" s="1" t="s">
        <v>8</v>
      </c>
      <c r="D697" s="1" t="s">
        <v>13</v>
      </c>
      <c r="E697" s="4">
        <v>1</v>
      </c>
      <c r="F697" s="1" cm="1">
        <f t="array" ref="F697">_xlfn.IFS(D697="Tea", 40, D697="Coffee", 60, D697="Bakery", 100, D697="Beverages", 80)</f>
        <v>100</v>
      </c>
      <c r="G697" s="1">
        <f t="shared" si="10"/>
        <v>100</v>
      </c>
      <c r="H697" s="1" t="s">
        <v>24</v>
      </c>
      <c r="I697" s="1" t="s">
        <v>23</v>
      </c>
      <c r="J697" s="1">
        <v>4</v>
      </c>
    </row>
    <row r="698" spans="1:10" ht="15" x14ac:dyDescent="0.4">
      <c r="A698" s="1">
        <v>1697</v>
      </c>
      <c r="B698" s="2">
        <v>46117</v>
      </c>
      <c r="C698" s="1" t="s">
        <v>12</v>
      </c>
      <c r="D698" s="1" t="s">
        <v>11</v>
      </c>
      <c r="E698" s="4">
        <v>2</v>
      </c>
      <c r="F698" s="1" cm="1">
        <f t="array" ref="F698">_xlfn.IFS(D698="Tea", 40, D698="Coffee", 60, D698="Bakery", 100, D698="Beverages", 80)</f>
        <v>60</v>
      </c>
      <c r="G698" s="1">
        <f t="shared" si="10"/>
        <v>120</v>
      </c>
      <c r="H698" s="1" t="s">
        <v>24</v>
      </c>
      <c r="I698" s="1" t="s">
        <v>26</v>
      </c>
      <c r="J698" s="1">
        <v>5</v>
      </c>
    </row>
    <row r="699" spans="1:10" ht="15" x14ac:dyDescent="0.4">
      <c r="A699" s="1">
        <v>1698</v>
      </c>
      <c r="B699" s="2">
        <v>46194</v>
      </c>
      <c r="C699" s="1" t="s">
        <v>8</v>
      </c>
      <c r="D699" s="1" t="s">
        <v>11</v>
      </c>
      <c r="E699" s="4">
        <v>1</v>
      </c>
      <c r="F699" s="1" cm="1">
        <f t="array" ref="F699">_xlfn.IFS(D699="Tea", 40, D699="Coffee", 60, D699="Bakery", 100, D699="Beverages", 80)</f>
        <v>60</v>
      </c>
      <c r="G699" s="1">
        <f t="shared" si="10"/>
        <v>60</v>
      </c>
      <c r="H699" s="1" t="s">
        <v>24</v>
      </c>
      <c r="I699" s="1" t="s">
        <v>23</v>
      </c>
      <c r="J699" s="1">
        <v>4</v>
      </c>
    </row>
    <row r="700" spans="1:10" ht="15" x14ac:dyDescent="0.4">
      <c r="A700" s="1">
        <v>1699</v>
      </c>
      <c r="B700" s="2">
        <v>46097</v>
      </c>
      <c r="C700" s="1" t="s">
        <v>8</v>
      </c>
      <c r="D700" s="1" t="s">
        <v>13</v>
      </c>
      <c r="E700" s="4">
        <v>3</v>
      </c>
      <c r="F700" s="1" cm="1">
        <f t="array" ref="F700">_xlfn.IFS(D700="Tea", 40, D700="Coffee", 60, D700="Bakery", 100, D700="Beverages", 80)</f>
        <v>100</v>
      </c>
      <c r="G700" s="1">
        <f t="shared" si="10"/>
        <v>300</v>
      </c>
      <c r="H700" s="1" t="s">
        <v>21</v>
      </c>
      <c r="I700" s="1" t="s">
        <v>23</v>
      </c>
      <c r="J700" s="1">
        <v>4</v>
      </c>
    </row>
    <row r="701" spans="1:10" ht="15" x14ac:dyDescent="0.4">
      <c r="A701" s="1">
        <v>1700</v>
      </c>
      <c r="B701" s="2">
        <v>46051</v>
      </c>
      <c r="C701" s="1" t="s">
        <v>12</v>
      </c>
      <c r="D701" s="1" t="s">
        <v>11</v>
      </c>
      <c r="E701" s="4">
        <v>2</v>
      </c>
      <c r="F701" s="1" cm="1">
        <f t="array" ref="F701">_xlfn.IFS(D701="Tea", 40, D701="Coffee", 60, D701="Bakery", 100, D701="Beverages", 80)</f>
        <v>60</v>
      </c>
      <c r="G701" s="1">
        <f t="shared" si="10"/>
        <v>120</v>
      </c>
      <c r="H701" s="1" t="s">
        <v>21</v>
      </c>
      <c r="I701" s="1" t="s">
        <v>26</v>
      </c>
      <c r="J701" s="1">
        <v>1</v>
      </c>
    </row>
    <row r="702" spans="1:10" ht="15" x14ac:dyDescent="0.4">
      <c r="A702" s="1">
        <v>1701</v>
      </c>
      <c r="B702" s="2">
        <v>46191</v>
      </c>
      <c r="C702" s="1" t="s">
        <v>8</v>
      </c>
      <c r="D702" s="1" t="s">
        <v>11</v>
      </c>
      <c r="E702" s="4">
        <v>3</v>
      </c>
      <c r="F702" s="1" cm="1">
        <f t="array" ref="F702">_xlfn.IFS(D702="Tea", 40, D702="Coffee", 60, D702="Bakery", 100, D702="Beverages", 80)</f>
        <v>60</v>
      </c>
      <c r="G702" s="1">
        <f t="shared" si="10"/>
        <v>180</v>
      </c>
      <c r="H702" s="1" t="s">
        <v>21</v>
      </c>
      <c r="I702" s="1" t="s">
        <v>23</v>
      </c>
      <c r="J702" s="1">
        <v>2</v>
      </c>
    </row>
    <row r="703" spans="1:10" ht="15" x14ac:dyDescent="0.4">
      <c r="A703" s="1">
        <v>1702</v>
      </c>
      <c r="B703" s="2">
        <v>46157</v>
      </c>
      <c r="C703" s="1" t="s">
        <v>10</v>
      </c>
      <c r="D703" s="1" t="s">
        <v>11</v>
      </c>
      <c r="E703" s="4">
        <v>1</v>
      </c>
      <c r="F703" s="1" cm="1">
        <f t="array" ref="F703">_xlfn.IFS(D703="Tea", 40, D703="Coffee", 60, D703="Bakery", 100, D703="Beverages", 80)</f>
        <v>60</v>
      </c>
      <c r="G703" s="1">
        <f t="shared" si="10"/>
        <v>60</v>
      </c>
      <c r="H703" s="1" t="s">
        <v>25</v>
      </c>
      <c r="I703" s="1" t="s">
        <v>22</v>
      </c>
      <c r="J703" s="1">
        <v>1</v>
      </c>
    </row>
    <row r="704" spans="1:10" ht="15" x14ac:dyDescent="0.4">
      <c r="A704" s="1">
        <v>1703</v>
      </c>
      <c r="B704" s="2">
        <v>46094</v>
      </c>
      <c r="C704" s="1" t="s">
        <v>10</v>
      </c>
      <c r="D704" s="1" t="s">
        <v>13</v>
      </c>
      <c r="E704" s="4">
        <v>1</v>
      </c>
      <c r="F704" s="1" cm="1">
        <f t="array" ref="F704">_xlfn.IFS(D704="Tea", 40, D704="Coffee", 60, D704="Bakery", 100, D704="Beverages", 80)</f>
        <v>100</v>
      </c>
      <c r="G704" s="1">
        <f t="shared" si="10"/>
        <v>100</v>
      </c>
      <c r="H704" s="1" t="s">
        <v>24</v>
      </c>
      <c r="I704" s="1" t="s">
        <v>22</v>
      </c>
      <c r="J704" s="1">
        <v>2</v>
      </c>
    </row>
    <row r="705" spans="1:10" ht="15" x14ac:dyDescent="0.4">
      <c r="A705" s="1">
        <v>1704</v>
      </c>
      <c r="B705" s="2">
        <v>46030</v>
      </c>
      <c r="C705" s="1" t="s">
        <v>10</v>
      </c>
      <c r="D705" s="1" t="s">
        <v>9</v>
      </c>
      <c r="E705" s="4">
        <v>2</v>
      </c>
      <c r="F705" s="1" cm="1">
        <f t="array" ref="F705">_xlfn.IFS(D705="Tea", 40, D705="Coffee", 60, D705="Bakery", 100, D705="Beverages", 80)</f>
        <v>40</v>
      </c>
      <c r="G705" s="1">
        <f t="shared" si="10"/>
        <v>80</v>
      </c>
      <c r="H705" s="1" t="s">
        <v>25</v>
      </c>
      <c r="I705" s="1" t="s">
        <v>26</v>
      </c>
      <c r="J705" s="1">
        <v>2</v>
      </c>
    </row>
    <row r="706" spans="1:10" ht="15" x14ac:dyDescent="0.4">
      <c r="A706" s="1">
        <v>1705</v>
      </c>
      <c r="B706" s="2">
        <v>46113</v>
      </c>
      <c r="C706" s="1" t="s">
        <v>12</v>
      </c>
      <c r="D706" s="1" t="s">
        <v>13</v>
      </c>
      <c r="E706" s="4">
        <v>2</v>
      </c>
      <c r="F706" s="1" cm="1">
        <f t="array" ref="F706">_xlfn.IFS(D706="Tea", 40, D706="Coffee", 60, D706="Bakery", 100, D706="Beverages", 80)</f>
        <v>100</v>
      </c>
      <c r="G706" s="1">
        <f t="shared" si="10"/>
        <v>200</v>
      </c>
      <c r="H706" s="1" t="s">
        <v>25</v>
      </c>
      <c r="I706" s="1" t="s">
        <v>26</v>
      </c>
      <c r="J706" s="1">
        <v>1</v>
      </c>
    </row>
    <row r="707" spans="1:10" ht="15" x14ac:dyDescent="0.4">
      <c r="A707" s="1">
        <v>1706</v>
      </c>
      <c r="B707" s="2">
        <v>46102</v>
      </c>
      <c r="C707" s="1" t="s">
        <v>8</v>
      </c>
      <c r="D707" s="1" t="s">
        <v>9</v>
      </c>
      <c r="E707" s="4">
        <v>2</v>
      </c>
      <c r="F707" s="1" cm="1">
        <f t="array" ref="F707">_xlfn.IFS(D707="Tea", 40, D707="Coffee", 60, D707="Bakery", 100, D707="Beverages", 80)</f>
        <v>40</v>
      </c>
      <c r="G707" s="1">
        <f t="shared" ref="G707:G770" si="11">E707*F707</f>
        <v>80</v>
      </c>
      <c r="H707" s="1" t="s">
        <v>25</v>
      </c>
      <c r="I707" s="1" t="s">
        <v>23</v>
      </c>
      <c r="J707" s="1">
        <v>3</v>
      </c>
    </row>
    <row r="708" spans="1:10" ht="15" x14ac:dyDescent="0.4">
      <c r="A708" s="1">
        <v>1707</v>
      </c>
      <c r="B708" s="2">
        <v>46092</v>
      </c>
      <c r="C708" s="1" t="s">
        <v>8</v>
      </c>
      <c r="D708" s="1" t="s">
        <v>9</v>
      </c>
      <c r="E708" s="4">
        <v>3</v>
      </c>
      <c r="F708" s="1" cm="1">
        <f t="array" ref="F708">_xlfn.IFS(D708="Tea", 40, D708="Coffee", 60, D708="Bakery", 100, D708="Beverages", 80)</f>
        <v>40</v>
      </c>
      <c r="G708" s="1">
        <f t="shared" si="11"/>
        <v>120</v>
      </c>
      <c r="H708" s="1" t="s">
        <v>25</v>
      </c>
      <c r="I708" s="1" t="s">
        <v>22</v>
      </c>
      <c r="J708" s="1">
        <v>5</v>
      </c>
    </row>
    <row r="709" spans="1:10" ht="15" x14ac:dyDescent="0.4">
      <c r="A709" s="1">
        <v>1708</v>
      </c>
      <c r="B709" s="2">
        <v>46136</v>
      </c>
      <c r="C709" s="1" t="s">
        <v>12</v>
      </c>
      <c r="D709" s="1" t="s">
        <v>9</v>
      </c>
      <c r="E709" s="4">
        <v>2</v>
      </c>
      <c r="F709" s="1" cm="1">
        <f t="array" ref="F709">_xlfn.IFS(D709="Tea", 40, D709="Coffee", 60, D709="Bakery", 100, D709="Beverages", 80)</f>
        <v>40</v>
      </c>
      <c r="G709" s="1">
        <f t="shared" si="11"/>
        <v>80</v>
      </c>
      <c r="H709" s="1" t="s">
        <v>25</v>
      </c>
      <c r="I709" s="1" t="s">
        <v>23</v>
      </c>
      <c r="J709" s="1">
        <v>4</v>
      </c>
    </row>
    <row r="710" spans="1:10" ht="15" x14ac:dyDescent="0.4">
      <c r="A710" s="1">
        <v>1709</v>
      </c>
      <c r="B710" s="2">
        <v>46132</v>
      </c>
      <c r="C710" s="1" t="s">
        <v>10</v>
      </c>
      <c r="D710" s="1" t="s">
        <v>13</v>
      </c>
      <c r="E710" s="4">
        <v>1</v>
      </c>
      <c r="F710" s="1" cm="1">
        <f t="array" ref="F710">_xlfn.IFS(D710="Tea", 40, D710="Coffee", 60, D710="Bakery", 100, D710="Beverages", 80)</f>
        <v>100</v>
      </c>
      <c r="G710" s="1">
        <f t="shared" si="11"/>
        <v>100</v>
      </c>
      <c r="H710" s="1" t="s">
        <v>21</v>
      </c>
      <c r="I710" s="1" t="s">
        <v>26</v>
      </c>
      <c r="J710" s="1">
        <v>2</v>
      </c>
    </row>
    <row r="711" spans="1:10" ht="15" x14ac:dyDescent="0.4">
      <c r="A711" s="1">
        <v>1710</v>
      </c>
      <c r="B711" s="2">
        <v>46157</v>
      </c>
      <c r="C711" s="1" t="s">
        <v>8</v>
      </c>
      <c r="D711" s="1" t="s">
        <v>13</v>
      </c>
      <c r="E711" s="4">
        <v>1</v>
      </c>
      <c r="F711" s="1" cm="1">
        <f t="array" ref="F711">_xlfn.IFS(D711="Tea", 40, D711="Coffee", 60, D711="Bakery", 100, D711="Beverages", 80)</f>
        <v>100</v>
      </c>
      <c r="G711" s="1">
        <f t="shared" si="11"/>
        <v>100</v>
      </c>
      <c r="H711" s="1" t="s">
        <v>21</v>
      </c>
      <c r="I711" s="1" t="s">
        <v>23</v>
      </c>
      <c r="J711" s="1">
        <v>4</v>
      </c>
    </row>
    <row r="712" spans="1:10" ht="15" x14ac:dyDescent="0.4">
      <c r="A712" s="1">
        <v>1711</v>
      </c>
      <c r="B712" s="2">
        <v>46062</v>
      </c>
      <c r="C712" s="1" t="s">
        <v>10</v>
      </c>
      <c r="D712" s="1" t="s">
        <v>13</v>
      </c>
      <c r="E712" s="4">
        <v>2</v>
      </c>
      <c r="F712" s="1" cm="1">
        <f t="array" ref="F712">_xlfn.IFS(D712="Tea", 40, D712="Coffee", 60, D712="Bakery", 100, D712="Beverages", 80)</f>
        <v>100</v>
      </c>
      <c r="G712" s="1">
        <f t="shared" si="11"/>
        <v>200</v>
      </c>
      <c r="H712" s="1" t="s">
        <v>24</v>
      </c>
      <c r="I712" s="1" t="s">
        <v>22</v>
      </c>
      <c r="J712" s="1">
        <v>5</v>
      </c>
    </row>
    <row r="713" spans="1:10" ht="15" x14ac:dyDescent="0.4">
      <c r="A713" s="1">
        <v>1712</v>
      </c>
      <c r="B713" s="2">
        <v>46055</v>
      </c>
      <c r="C713" s="1" t="s">
        <v>10</v>
      </c>
      <c r="D713" s="1" t="s">
        <v>14</v>
      </c>
      <c r="E713" s="4">
        <v>2</v>
      </c>
      <c r="F713" s="1" cm="1">
        <f t="array" ref="F713">_xlfn.IFS(D713="Tea", 40, D713="Coffee", 60, D713="Bakery", 100, D713="Beverages", 80)</f>
        <v>80</v>
      </c>
      <c r="G713" s="1">
        <f t="shared" si="11"/>
        <v>160</v>
      </c>
      <c r="H713" s="1" t="s">
        <v>21</v>
      </c>
      <c r="I713" s="1" t="s">
        <v>26</v>
      </c>
      <c r="J713" s="1">
        <v>3</v>
      </c>
    </row>
    <row r="714" spans="1:10" ht="15" x14ac:dyDescent="0.4">
      <c r="A714" s="1">
        <v>1713</v>
      </c>
      <c r="B714" s="2">
        <v>46187</v>
      </c>
      <c r="C714" s="1" t="s">
        <v>10</v>
      </c>
      <c r="D714" s="1" t="s">
        <v>14</v>
      </c>
      <c r="E714" s="4">
        <v>2</v>
      </c>
      <c r="F714" s="1" cm="1">
        <f t="array" ref="F714">_xlfn.IFS(D714="Tea", 40, D714="Coffee", 60, D714="Bakery", 100, D714="Beverages", 80)</f>
        <v>80</v>
      </c>
      <c r="G714" s="1">
        <f t="shared" si="11"/>
        <v>160</v>
      </c>
      <c r="H714" s="1" t="s">
        <v>21</v>
      </c>
      <c r="I714" s="1" t="s">
        <v>23</v>
      </c>
      <c r="J714" s="1">
        <v>4</v>
      </c>
    </row>
    <row r="715" spans="1:10" ht="15" x14ac:dyDescent="0.4">
      <c r="A715" s="1">
        <v>1714</v>
      </c>
      <c r="B715" s="2">
        <v>46047</v>
      </c>
      <c r="C715" s="1" t="s">
        <v>8</v>
      </c>
      <c r="D715" s="1" t="s">
        <v>11</v>
      </c>
      <c r="E715" s="4">
        <v>1</v>
      </c>
      <c r="F715" s="1" cm="1">
        <f t="array" ref="F715">_xlfn.IFS(D715="Tea", 40, D715="Coffee", 60, D715="Bakery", 100, D715="Beverages", 80)</f>
        <v>60</v>
      </c>
      <c r="G715" s="1">
        <f t="shared" si="11"/>
        <v>60</v>
      </c>
      <c r="H715" s="1" t="s">
        <v>21</v>
      </c>
      <c r="I715" s="1" t="s">
        <v>26</v>
      </c>
      <c r="J715" s="1">
        <v>2</v>
      </c>
    </row>
    <row r="716" spans="1:10" ht="15" x14ac:dyDescent="0.4">
      <c r="A716" s="1">
        <v>1715</v>
      </c>
      <c r="B716" s="2">
        <v>46059</v>
      </c>
      <c r="C716" s="1" t="s">
        <v>8</v>
      </c>
      <c r="D716" s="1" t="s">
        <v>9</v>
      </c>
      <c r="E716" s="4">
        <v>2</v>
      </c>
      <c r="F716" s="1" cm="1">
        <f t="array" ref="F716">_xlfn.IFS(D716="Tea", 40, D716="Coffee", 60, D716="Bakery", 100, D716="Beverages", 80)</f>
        <v>40</v>
      </c>
      <c r="G716" s="1">
        <f t="shared" si="11"/>
        <v>80</v>
      </c>
      <c r="H716" s="1" t="s">
        <v>24</v>
      </c>
      <c r="I716" s="1" t="s">
        <v>22</v>
      </c>
      <c r="J716" s="1">
        <v>5</v>
      </c>
    </row>
    <row r="717" spans="1:10" ht="15" x14ac:dyDescent="0.4">
      <c r="A717" s="1">
        <v>1716</v>
      </c>
      <c r="B717" s="2">
        <v>46055</v>
      </c>
      <c r="C717" s="1" t="s">
        <v>12</v>
      </c>
      <c r="D717" s="1" t="s">
        <v>9</v>
      </c>
      <c r="E717" s="4">
        <v>1</v>
      </c>
      <c r="F717" s="1" cm="1">
        <f t="array" ref="F717">_xlfn.IFS(D717="Tea", 40, D717="Coffee", 60, D717="Bakery", 100, D717="Beverages", 80)</f>
        <v>40</v>
      </c>
      <c r="G717" s="1">
        <f t="shared" si="11"/>
        <v>40</v>
      </c>
      <c r="H717" s="1" t="s">
        <v>24</v>
      </c>
      <c r="I717" s="1" t="s">
        <v>22</v>
      </c>
      <c r="J717" s="1">
        <v>5</v>
      </c>
    </row>
    <row r="718" spans="1:10" ht="15" x14ac:dyDescent="0.4">
      <c r="A718" s="1">
        <v>1717</v>
      </c>
      <c r="B718" s="2">
        <v>46166</v>
      </c>
      <c r="C718" s="1" t="s">
        <v>8</v>
      </c>
      <c r="D718" s="1" t="s">
        <v>9</v>
      </c>
      <c r="E718" s="4">
        <v>1</v>
      </c>
      <c r="F718" s="1" cm="1">
        <f t="array" ref="F718">_xlfn.IFS(D718="Tea", 40, D718="Coffee", 60, D718="Bakery", 100, D718="Beverages", 80)</f>
        <v>40</v>
      </c>
      <c r="G718" s="1">
        <f t="shared" si="11"/>
        <v>40</v>
      </c>
      <c r="H718" s="1" t="s">
        <v>25</v>
      </c>
      <c r="I718" s="1" t="s">
        <v>23</v>
      </c>
      <c r="J718" s="1">
        <v>4</v>
      </c>
    </row>
    <row r="719" spans="1:10" ht="15" x14ac:dyDescent="0.4">
      <c r="A719" s="1">
        <v>1718</v>
      </c>
      <c r="B719" s="2">
        <v>46133</v>
      </c>
      <c r="C719" s="1" t="s">
        <v>12</v>
      </c>
      <c r="D719" s="1" t="s">
        <v>11</v>
      </c>
      <c r="E719" s="4">
        <v>1</v>
      </c>
      <c r="F719" s="1" cm="1">
        <f t="array" ref="F719">_xlfn.IFS(D719="Tea", 40, D719="Coffee", 60, D719="Bakery", 100, D719="Beverages", 80)</f>
        <v>60</v>
      </c>
      <c r="G719" s="1">
        <f t="shared" si="11"/>
        <v>60</v>
      </c>
      <c r="H719" s="1" t="s">
        <v>21</v>
      </c>
      <c r="I719" s="1" t="s">
        <v>23</v>
      </c>
      <c r="J719" s="1">
        <v>4</v>
      </c>
    </row>
    <row r="720" spans="1:10" ht="15" x14ac:dyDescent="0.4">
      <c r="A720" s="1">
        <v>1719</v>
      </c>
      <c r="B720" s="2">
        <v>46145</v>
      </c>
      <c r="C720" s="1" t="s">
        <v>10</v>
      </c>
      <c r="D720" s="1" t="s">
        <v>11</v>
      </c>
      <c r="E720" s="4">
        <v>2</v>
      </c>
      <c r="F720" s="1" cm="1">
        <f t="array" ref="F720">_xlfn.IFS(D720="Tea", 40, D720="Coffee", 60, D720="Bakery", 100, D720="Beverages", 80)</f>
        <v>60</v>
      </c>
      <c r="G720" s="1">
        <f t="shared" si="11"/>
        <v>120</v>
      </c>
      <c r="H720" s="1" t="s">
        <v>21</v>
      </c>
      <c r="I720" s="1" t="s">
        <v>22</v>
      </c>
      <c r="J720" s="1">
        <v>2</v>
      </c>
    </row>
    <row r="721" spans="1:10" ht="15" x14ac:dyDescent="0.4">
      <c r="A721" s="1">
        <v>1720</v>
      </c>
      <c r="B721" s="2">
        <v>46178</v>
      </c>
      <c r="C721" s="1" t="s">
        <v>12</v>
      </c>
      <c r="D721" s="1" t="s">
        <v>11</v>
      </c>
      <c r="E721" s="4">
        <v>3</v>
      </c>
      <c r="F721" s="1" cm="1">
        <f t="array" ref="F721">_xlfn.IFS(D721="Tea", 40, D721="Coffee", 60, D721="Bakery", 100, D721="Beverages", 80)</f>
        <v>60</v>
      </c>
      <c r="G721" s="1">
        <f t="shared" si="11"/>
        <v>180</v>
      </c>
      <c r="H721" s="1" t="s">
        <v>24</v>
      </c>
      <c r="I721" s="1" t="s">
        <v>23</v>
      </c>
      <c r="J721" s="1">
        <v>2</v>
      </c>
    </row>
    <row r="722" spans="1:10" ht="15" x14ac:dyDescent="0.4">
      <c r="A722" s="1">
        <v>1721</v>
      </c>
      <c r="B722" s="2">
        <v>46080</v>
      </c>
      <c r="C722" s="1" t="s">
        <v>10</v>
      </c>
      <c r="D722" s="1" t="s">
        <v>11</v>
      </c>
      <c r="E722" s="4">
        <v>3</v>
      </c>
      <c r="F722" s="1" cm="1">
        <f t="array" ref="F722">_xlfn.IFS(D722="Tea", 40, D722="Coffee", 60, D722="Bakery", 100, D722="Beverages", 80)</f>
        <v>60</v>
      </c>
      <c r="G722" s="1">
        <f t="shared" si="11"/>
        <v>180</v>
      </c>
      <c r="H722" s="1" t="s">
        <v>24</v>
      </c>
      <c r="I722" s="1" t="s">
        <v>22</v>
      </c>
      <c r="J722" s="1">
        <v>4</v>
      </c>
    </row>
    <row r="723" spans="1:10" ht="15" x14ac:dyDescent="0.4">
      <c r="A723" s="1">
        <v>1722</v>
      </c>
      <c r="B723" s="2">
        <v>46045</v>
      </c>
      <c r="C723" s="1" t="s">
        <v>10</v>
      </c>
      <c r="D723" s="1" t="s">
        <v>14</v>
      </c>
      <c r="E723" s="4">
        <v>2</v>
      </c>
      <c r="F723" s="1" cm="1">
        <f t="array" ref="F723">_xlfn.IFS(D723="Tea", 40, D723="Coffee", 60, D723="Bakery", 100, D723="Beverages", 80)</f>
        <v>80</v>
      </c>
      <c r="G723" s="1">
        <f t="shared" si="11"/>
        <v>160</v>
      </c>
      <c r="H723" s="1" t="s">
        <v>25</v>
      </c>
      <c r="I723" s="1" t="s">
        <v>22</v>
      </c>
      <c r="J723" s="1">
        <v>5</v>
      </c>
    </row>
    <row r="724" spans="1:10" ht="15" x14ac:dyDescent="0.4">
      <c r="A724" s="1">
        <v>1723</v>
      </c>
      <c r="B724" s="2">
        <v>46030</v>
      </c>
      <c r="C724" s="1" t="s">
        <v>8</v>
      </c>
      <c r="D724" s="1" t="s">
        <v>11</v>
      </c>
      <c r="E724" s="4">
        <v>3</v>
      </c>
      <c r="F724" s="1" cm="1">
        <f t="array" ref="F724">_xlfn.IFS(D724="Tea", 40, D724="Coffee", 60, D724="Bakery", 100, D724="Beverages", 80)</f>
        <v>60</v>
      </c>
      <c r="G724" s="1">
        <f t="shared" si="11"/>
        <v>180</v>
      </c>
      <c r="H724" s="1" t="s">
        <v>25</v>
      </c>
      <c r="I724" s="1" t="s">
        <v>22</v>
      </c>
      <c r="J724" s="1">
        <v>4</v>
      </c>
    </row>
    <row r="725" spans="1:10" ht="15" x14ac:dyDescent="0.4">
      <c r="A725" s="1">
        <v>1724</v>
      </c>
      <c r="B725" s="2">
        <v>46025</v>
      </c>
      <c r="C725" s="1" t="s">
        <v>12</v>
      </c>
      <c r="D725" s="1" t="s">
        <v>11</v>
      </c>
      <c r="E725" s="4">
        <v>3</v>
      </c>
      <c r="F725" s="1" cm="1">
        <f t="array" ref="F725">_xlfn.IFS(D725="Tea", 40, D725="Coffee", 60, D725="Bakery", 100, D725="Beverages", 80)</f>
        <v>60</v>
      </c>
      <c r="G725" s="1">
        <f t="shared" si="11"/>
        <v>180</v>
      </c>
      <c r="H725" s="1" t="s">
        <v>25</v>
      </c>
      <c r="I725" s="1" t="s">
        <v>26</v>
      </c>
      <c r="J725" s="1">
        <v>2</v>
      </c>
    </row>
    <row r="726" spans="1:10" ht="15" x14ac:dyDescent="0.4">
      <c r="A726" s="1">
        <v>1725</v>
      </c>
      <c r="B726" s="2">
        <v>46163</v>
      </c>
      <c r="C726" s="1" t="s">
        <v>12</v>
      </c>
      <c r="D726" s="1" t="s">
        <v>13</v>
      </c>
      <c r="E726" s="4">
        <v>2</v>
      </c>
      <c r="F726" s="1" cm="1">
        <f t="array" ref="F726">_xlfn.IFS(D726="Tea", 40, D726="Coffee", 60, D726="Bakery", 100, D726="Beverages", 80)</f>
        <v>100</v>
      </c>
      <c r="G726" s="1">
        <f t="shared" si="11"/>
        <v>200</v>
      </c>
      <c r="H726" s="1" t="s">
        <v>21</v>
      </c>
      <c r="I726" s="1" t="s">
        <v>23</v>
      </c>
      <c r="J726" s="1">
        <v>3</v>
      </c>
    </row>
    <row r="727" spans="1:10" ht="15" x14ac:dyDescent="0.4">
      <c r="A727" s="1">
        <v>1726</v>
      </c>
      <c r="B727" s="2">
        <v>46112</v>
      </c>
      <c r="C727" s="1" t="s">
        <v>12</v>
      </c>
      <c r="D727" s="1" t="s">
        <v>9</v>
      </c>
      <c r="E727" s="4">
        <v>3</v>
      </c>
      <c r="F727" s="1" cm="1">
        <f t="array" ref="F727">_xlfn.IFS(D727="Tea", 40, D727="Coffee", 60, D727="Bakery", 100, D727="Beverages", 80)</f>
        <v>40</v>
      </c>
      <c r="G727" s="1">
        <f t="shared" si="11"/>
        <v>120</v>
      </c>
      <c r="H727" s="1" t="s">
        <v>21</v>
      </c>
      <c r="I727" s="1" t="s">
        <v>23</v>
      </c>
      <c r="J727" s="1">
        <v>3</v>
      </c>
    </row>
    <row r="728" spans="1:10" ht="15" x14ac:dyDescent="0.4">
      <c r="A728" s="1">
        <v>1727</v>
      </c>
      <c r="B728" s="2">
        <v>46040</v>
      </c>
      <c r="C728" s="1" t="s">
        <v>8</v>
      </c>
      <c r="D728" s="1" t="s">
        <v>13</v>
      </c>
      <c r="E728" s="4">
        <v>1</v>
      </c>
      <c r="F728" s="1" cm="1">
        <f t="array" ref="F728">_xlfn.IFS(D728="Tea", 40, D728="Coffee", 60, D728="Bakery", 100, D728="Beverages", 80)</f>
        <v>100</v>
      </c>
      <c r="G728" s="1">
        <f t="shared" si="11"/>
        <v>100</v>
      </c>
      <c r="H728" s="1" t="s">
        <v>25</v>
      </c>
      <c r="I728" s="1" t="s">
        <v>26</v>
      </c>
      <c r="J728" s="1">
        <v>3</v>
      </c>
    </row>
    <row r="729" spans="1:10" ht="15" x14ac:dyDescent="0.4">
      <c r="A729" s="1">
        <v>1728</v>
      </c>
      <c r="B729" s="2">
        <v>46175</v>
      </c>
      <c r="C729" s="1" t="s">
        <v>8</v>
      </c>
      <c r="D729" s="1" t="s">
        <v>11</v>
      </c>
      <c r="E729" s="4">
        <v>1</v>
      </c>
      <c r="F729" s="1" cm="1">
        <f t="array" ref="F729">_xlfn.IFS(D729="Tea", 40, D729="Coffee", 60, D729="Bakery", 100, D729="Beverages", 80)</f>
        <v>60</v>
      </c>
      <c r="G729" s="1">
        <f t="shared" si="11"/>
        <v>60</v>
      </c>
      <c r="H729" s="1" t="s">
        <v>24</v>
      </c>
      <c r="I729" s="1" t="s">
        <v>22</v>
      </c>
      <c r="J729" s="1">
        <v>1</v>
      </c>
    </row>
    <row r="730" spans="1:10" ht="15" x14ac:dyDescent="0.4">
      <c r="A730" s="1">
        <v>1729</v>
      </c>
      <c r="B730" s="2">
        <v>46169</v>
      </c>
      <c r="C730" s="1" t="s">
        <v>8</v>
      </c>
      <c r="D730" s="1" t="s">
        <v>13</v>
      </c>
      <c r="E730" s="4">
        <v>2</v>
      </c>
      <c r="F730" s="1" cm="1">
        <f t="array" ref="F730">_xlfn.IFS(D730="Tea", 40, D730="Coffee", 60, D730="Bakery", 100, D730="Beverages", 80)</f>
        <v>100</v>
      </c>
      <c r="G730" s="1">
        <f t="shared" si="11"/>
        <v>200</v>
      </c>
      <c r="H730" s="1" t="s">
        <v>24</v>
      </c>
      <c r="I730" s="1" t="s">
        <v>26</v>
      </c>
      <c r="J730" s="1">
        <v>4</v>
      </c>
    </row>
    <row r="731" spans="1:10" ht="15" x14ac:dyDescent="0.4">
      <c r="A731" s="1">
        <v>1730</v>
      </c>
      <c r="B731" s="2">
        <v>46194</v>
      </c>
      <c r="C731" s="1" t="s">
        <v>12</v>
      </c>
      <c r="D731" s="1" t="s">
        <v>13</v>
      </c>
      <c r="E731" s="4">
        <v>2</v>
      </c>
      <c r="F731" s="1" cm="1">
        <f t="array" ref="F731">_xlfn.IFS(D731="Tea", 40, D731="Coffee", 60, D731="Bakery", 100, D731="Beverages", 80)</f>
        <v>100</v>
      </c>
      <c r="G731" s="1">
        <f t="shared" si="11"/>
        <v>200</v>
      </c>
      <c r="H731" s="1" t="s">
        <v>25</v>
      </c>
      <c r="I731" s="1" t="s">
        <v>23</v>
      </c>
      <c r="J731" s="1">
        <v>2</v>
      </c>
    </row>
    <row r="732" spans="1:10" ht="15" x14ac:dyDescent="0.4">
      <c r="A732" s="1">
        <v>1731</v>
      </c>
      <c r="B732" s="2">
        <v>46167</v>
      </c>
      <c r="C732" s="1" t="s">
        <v>8</v>
      </c>
      <c r="D732" s="1" t="s">
        <v>13</v>
      </c>
      <c r="E732" s="4">
        <v>1</v>
      </c>
      <c r="F732" s="1" cm="1">
        <f t="array" ref="F732">_xlfn.IFS(D732="Tea", 40, D732="Coffee", 60, D732="Bakery", 100, D732="Beverages", 80)</f>
        <v>100</v>
      </c>
      <c r="G732" s="1">
        <f t="shared" si="11"/>
        <v>100</v>
      </c>
      <c r="H732" s="1" t="s">
        <v>24</v>
      </c>
      <c r="I732" s="1" t="s">
        <v>26</v>
      </c>
      <c r="J732" s="1">
        <v>2</v>
      </c>
    </row>
    <row r="733" spans="1:10" ht="15" x14ac:dyDescent="0.4">
      <c r="A733" s="1">
        <v>1732</v>
      </c>
      <c r="B733" s="2">
        <v>46036</v>
      </c>
      <c r="C733" s="1" t="s">
        <v>12</v>
      </c>
      <c r="D733" s="1" t="s">
        <v>9</v>
      </c>
      <c r="E733" s="4">
        <v>2</v>
      </c>
      <c r="F733" s="1" cm="1">
        <f t="array" ref="F733">_xlfn.IFS(D733="Tea", 40, D733="Coffee", 60, D733="Bakery", 100, D733="Beverages", 80)</f>
        <v>40</v>
      </c>
      <c r="G733" s="1">
        <f t="shared" si="11"/>
        <v>80</v>
      </c>
      <c r="H733" s="1" t="s">
        <v>25</v>
      </c>
      <c r="I733" s="1" t="s">
        <v>23</v>
      </c>
      <c r="J733" s="1">
        <v>3</v>
      </c>
    </row>
    <row r="734" spans="1:10" ht="15" x14ac:dyDescent="0.4">
      <c r="A734" s="1">
        <v>1733</v>
      </c>
      <c r="B734" s="2">
        <v>46174</v>
      </c>
      <c r="C734" s="1" t="s">
        <v>10</v>
      </c>
      <c r="D734" s="1" t="s">
        <v>13</v>
      </c>
      <c r="E734" s="4">
        <v>1</v>
      </c>
      <c r="F734" s="1" cm="1">
        <f t="array" ref="F734">_xlfn.IFS(D734="Tea", 40, D734="Coffee", 60, D734="Bakery", 100, D734="Beverages", 80)</f>
        <v>100</v>
      </c>
      <c r="G734" s="1">
        <f t="shared" si="11"/>
        <v>100</v>
      </c>
      <c r="H734" s="1" t="s">
        <v>24</v>
      </c>
      <c r="I734" s="1" t="s">
        <v>22</v>
      </c>
      <c r="J734" s="1">
        <v>5</v>
      </c>
    </row>
    <row r="735" spans="1:10" ht="15" x14ac:dyDescent="0.4">
      <c r="A735" s="1">
        <v>1734</v>
      </c>
      <c r="B735" s="2">
        <v>46196</v>
      </c>
      <c r="C735" s="1" t="s">
        <v>10</v>
      </c>
      <c r="D735" s="1" t="s">
        <v>13</v>
      </c>
      <c r="E735" s="4">
        <v>1</v>
      </c>
      <c r="F735" s="1" cm="1">
        <f t="array" ref="F735">_xlfn.IFS(D735="Tea", 40, D735="Coffee", 60, D735="Bakery", 100, D735="Beverages", 80)</f>
        <v>100</v>
      </c>
      <c r="G735" s="1">
        <f t="shared" si="11"/>
        <v>100</v>
      </c>
      <c r="H735" s="1" t="s">
        <v>25</v>
      </c>
      <c r="I735" s="1" t="s">
        <v>22</v>
      </c>
      <c r="J735" s="1">
        <v>4</v>
      </c>
    </row>
    <row r="736" spans="1:10" ht="15" x14ac:dyDescent="0.4">
      <c r="A736" s="1">
        <v>1735</v>
      </c>
      <c r="B736" s="2">
        <v>46086</v>
      </c>
      <c r="C736" s="1" t="s">
        <v>8</v>
      </c>
      <c r="D736" s="1" t="s">
        <v>9</v>
      </c>
      <c r="E736" s="4">
        <v>2</v>
      </c>
      <c r="F736" s="1" cm="1">
        <f t="array" ref="F736">_xlfn.IFS(D736="Tea", 40, D736="Coffee", 60, D736="Bakery", 100, D736="Beverages", 80)</f>
        <v>40</v>
      </c>
      <c r="G736" s="1">
        <f t="shared" si="11"/>
        <v>80</v>
      </c>
      <c r="H736" s="1" t="s">
        <v>21</v>
      </c>
      <c r="I736" s="1" t="s">
        <v>22</v>
      </c>
      <c r="J736" s="1">
        <v>2</v>
      </c>
    </row>
    <row r="737" spans="1:10" ht="15" x14ac:dyDescent="0.4">
      <c r="A737" s="1">
        <v>1736</v>
      </c>
      <c r="B737" s="2">
        <v>46180</v>
      </c>
      <c r="C737" s="1" t="s">
        <v>10</v>
      </c>
      <c r="D737" s="1" t="s">
        <v>11</v>
      </c>
      <c r="E737" s="4">
        <v>1</v>
      </c>
      <c r="F737" s="1" cm="1">
        <f t="array" ref="F737">_xlfn.IFS(D737="Tea", 40, D737="Coffee", 60, D737="Bakery", 100, D737="Beverages", 80)</f>
        <v>60</v>
      </c>
      <c r="G737" s="1">
        <f t="shared" si="11"/>
        <v>60</v>
      </c>
      <c r="H737" s="1" t="s">
        <v>21</v>
      </c>
      <c r="I737" s="1" t="s">
        <v>26</v>
      </c>
      <c r="J737" s="1">
        <v>1</v>
      </c>
    </row>
    <row r="738" spans="1:10" ht="15" x14ac:dyDescent="0.4">
      <c r="A738" s="1">
        <v>1737</v>
      </c>
      <c r="B738" s="2">
        <v>46072</v>
      </c>
      <c r="C738" s="1" t="s">
        <v>10</v>
      </c>
      <c r="D738" s="1" t="s">
        <v>11</v>
      </c>
      <c r="E738" s="4">
        <v>1</v>
      </c>
      <c r="F738" s="1" cm="1">
        <f t="array" ref="F738">_xlfn.IFS(D738="Tea", 40, D738="Coffee", 60, D738="Bakery", 100, D738="Beverages", 80)</f>
        <v>60</v>
      </c>
      <c r="G738" s="1">
        <f t="shared" si="11"/>
        <v>60</v>
      </c>
      <c r="H738" s="1" t="s">
        <v>24</v>
      </c>
      <c r="I738" s="1" t="s">
        <v>23</v>
      </c>
      <c r="J738" s="1">
        <v>2</v>
      </c>
    </row>
    <row r="739" spans="1:10" ht="15" x14ac:dyDescent="0.4">
      <c r="A739" s="1">
        <v>1738</v>
      </c>
      <c r="B739" s="2">
        <v>46087</v>
      </c>
      <c r="C739" s="1" t="s">
        <v>12</v>
      </c>
      <c r="D739" s="1" t="s">
        <v>11</v>
      </c>
      <c r="E739" s="4">
        <v>1</v>
      </c>
      <c r="F739" s="1" cm="1">
        <f t="array" ref="F739">_xlfn.IFS(D739="Tea", 40, D739="Coffee", 60, D739="Bakery", 100, D739="Beverages", 80)</f>
        <v>60</v>
      </c>
      <c r="G739" s="1">
        <f t="shared" si="11"/>
        <v>60</v>
      </c>
      <c r="H739" s="1" t="s">
        <v>21</v>
      </c>
      <c r="I739" s="1" t="s">
        <v>23</v>
      </c>
      <c r="J739" s="1">
        <v>3</v>
      </c>
    </row>
    <row r="740" spans="1:10" ht="15" x14ac:dyDescent="0.4">
      <c r="A740" s="1">
        <v>1739</v>
      </c>
      <c r="B740" s="2">
        <v>46070</v>
      </c>
      <c r="C740" s="1" t="s">
        <v>8</v>
      </c>
      <c r="D740" s="1" t="s">
        <v>11</v>
      </c>
      <c r="E740" s="4">
        <v>3</v>
      </c>
      <c r="F740" s="1" cm="1">
        <f t="array" ref="F740">_xlfn.IFS(D740="Tea", 40, D740="Coffee", 60, D740="Bakery", 100, D740="Beverages", 80)</f>
        <v>60</v>
      </c>
      <c r="G740" s="1">
        <f t="shared" si="11"/>
        <v>180</v>
      </c>
      <c r="H740" s="1" t="s">
        <v>21</v>
      </c>
      <c r="I740" s="1" t="s">
        <v>22</v>
      </c>
      <c r="J740" s="1">
        <v>3</v>
      </c>
    </row>
    <row r="741" spans="1:10" ht="15" x14ac:dyDescent="0.4">
      <c r="A741" s="1">
        <v>1740</v>
      </c>
      <c r="B741" s="2">
        <v>46199</v>
      </c>
      <c r="C741" s="1" t="s">
        <v>12</v>
      </c>
      <c r="D741" s="1" t="s">
        <v>13</v>
      </c>
      <c r="E741" s="4">
        <v>1</v>
      </c>
      <c r="F741" s="1" cm="1">
        <f t="array" ref="F741">_xlfn.IFS(D741="Tea", 40, D741="Coffee", 60, D741="Bakery", 100, D741="Beverages", 80)</f>
        <v>100</v>
      </c>
      <c r="G741" s="1">
        <f t="shared" si="11"/>
        <v>100</v>
      </c>
      <c r="H741" s="1" t="s">
        <v>21</v>
      </c>
      <c r="I741" s="1" t="s">
        <v>23</v>
      </c>
      <c r="J741" s="1">
        <v>5</v>
      </c>
    </row>
    <row r="742" spans="1:10" ht="15" x14ac:dyDescent="0.4">
      <c r="A742" s="1">
        <v>1741</v>
      </c>
      <c r="B742" s="2">
        <v>46196</v>
      </c>
      <c r="C742" s="1" t="s">
        <v>10</v>
      </c>
      <c r="D742" s="1" t="s">
        <v>9</v>
      </c>
      <c r="E742" s="4">
        <v>2</v>
      </c>
      <c r="F742" s="1" cm="1">
        <f t="array" ref="F742">_xlfn.IFS(D742="Tea", 40, D742="Coffee", 60, D742="Bakery", 100, D742="Beverages", 80)</f>
        <v>40</v>
      </c>
      <c r="G742" s="1">
        <f t="shared" si="11"/>
        <v>80</v>
      </c>
      <c r="H742" s="1" t="s">
        <v>24</v>
      </c>
      <c r="I742" s="1" t="s">
        <v>22</v>
      </c>
      <c r="J742" s="1">
        <v>5</v>
      </c>
    </row>
    <row r="743" spans="1:10" ht="15" x14ac:dyDescent="0.4">
      <c r="A743" s="1">
        <v>1742</v>
      </c>
      <c r="B743" s="2">
        <v>46101</v>
      </c>
      <c r="C743" s="1" t="s">
        <v>8</v>
      </c>
      <c r="D743" s="1" t="s">
        <v>11</v>
      </c>
      <c r="E743" s="4">
        <v>1</v>
      </c>
      <c r="F743" s="1" cm="1">
        <f t="array" ref="F743">_xlfn.IFS(D743="Tea", 40, D743="Coffee", 60, D743="Bakery", 100, D743="Beverages", 80)</f>
        <v>60</v>
      </c>
      <c r="G743" s="1">
        <f t="shared" si="11"/>
        <v>60</v>
      </c>
      <c r="H743" s="1" t="s">
        <v>21</v>
      </c>
      <c r="I743" s="1" t="s">
        <v>23</v>
      </c>
      <c r="J743" s="1">
        <v>1</v>
      </c>
    </row>
    <row r="744" spans="1:10" ht="15" x14ac:dyDescent="0.4">
      <c r="A744" s="1">
        <v>1743</v>
      </c>
      <c r="B744" s="2">
        <v>46047</v>
      </c>
      <c r="C744" s="1" t="s">
        <v>10</v>
      </c>
      <c r="D744" s="1" t="s">
        <v>9</v>
      </c>
      <c r="E744" s="4">
        <v>1</v>
      </c>
      <c r="F744" s="1" cm="1">
        <f t="array" ref="F744">_xlfn.IFS(D744="Tea", 40, D744="Coffee", 60, D744="Bakery", 100, D744="Beverages", 80)</f>
        <v>40</v>
      </c>
      <c r="G744" s="1">
        <f t="shared" si="11"/>
        <v>40</v>
      </c>
      <c r="H744" s="1" t="s">
        <v>24</v>
      </c>
      <c r="I744" s="1" t="s">
        <v>23</v>
      </c>
      <c r="J744" s="1">
        <v>1</v>
      </c>
    </row>
    <row r="745" spans="1:10" ht="15" x14ac:dyDescent="0.4">
      <c r="A745" s="1">
        <v>1744</v>
      </c>
      <c r="B745" s="2">
        <v>46093</v>
      </c>
      <c r="C745" s="1" t="s">
        <v>10</v>
      </c>
      <c r="D745" s="1" t="s">
        <v>14</v>
      </c>
      <c r="E745" s="4">
        <v>1</v>
      </c>
      <c r="F745" s="1" cm="1">
        <f t="array" ref="F745">_xlfn.IFS(D745="Tea", 40, D745="Coffee", 60, D745="Bakery", 100, D745="Beverages", 80)</f>
        <v>80</v>
      </c>
      <c r="G745" s="1">
        <f t="shared" si="11"/>
        <v>80</v>
      </c>
      <c r="H745" s="1" t="s">
        <v>25</v>
      </c>
      <c r="I745" s="1" t="s">
        <v>23</v>
      </c>
      <c r="J745" s="1">
        <v>4</v>
      </c>
    </row>
    <row r="746" spans="1:10" ht="15" x14ac:dyDescent="0.4">
      <c r="A746" s="1">
        <v>1745</v>
      </c>
      <c r="B746" s="2">
        <v>46159</v>
      </c>
      <c r="C746" s="1" t="s">
        <v>8</v>
      </c>
      <c r="D746" s="1" t="s">
        <v>13</v>
      </c>
      <c r="E746" s="4">
        <v>1</v>
      </c>
      <c r="F746" s="1" cm="1">
        <f t="array" ref="F746">_xlfn.IFS(D746="Tea", 40, D746="Coffee", 60, D746="Bakery", 100, D746="Beverages", 80)</f>
        <v>100</v>
      </c>
      <c r="G746" s="1">
        <f t="shared" si="11"/>
        <v>100</v>
      </c>
      <c r="H746" s="1" t="s">
        <v>21</v>
      </c>
      <c r="I746" s="1" t="s">
        <v>26</v>
      </c>
      <c r="J746" s="1">
        <v>3</v>
      </c>
    </row>
    <row r="747" spans="1:10" ht="15" x14ac:dyDescent="0.4">
      <c r="A747" s="1">
        <v>1746</v>
      </c>
      <c r="B747" s="2">
        <v>46044</v>
      </c>
      <c r="C747" s="1" t="s">
        <v>12</v>
      </c>
      <c r="D747" s="1" t="s">
        <v>13</v>
      </c>
      <c r="E747" s="4">
        <v>3</v>
      </c>
      <c r="F747" s="1" cm="1">
        <f t="array" ref="F747">_xlfn.IFS(D747="Tea", 40, D747="Coffee", 60, D747="Bakery", 100, D747="Beverages", 80)</f>
        <v>100</v>
      </c>
      <c r="G747" s="1">
        <f t="shared" si="11"/>
        <v>300</v>
      </c>
      <c r="H747" s="1" t="s">
        <v>21</v>
      </c>
      <c r="I747" s="1" t="s">
        <v>23</v>
      </c>
      <c r="J747" s="1">
        <v>1</v>
      </c>
    </row>
    <row r="748" spans="1:10" ht="15" x14ac:dyDescent="0.4">
      <c r="A748" s="1">
        <v>1747</v>
      </c>
      <c r="B748" s="2">
        <v>46096</v>
      </c>
      <c r="C748" s="1" t="s">
        <v>8</v>
      </c>
      <c r="D748" s="1" t="s">
        <v>13</v>
      </c>
      <c r="E748" s="4">
        <v>2</v>
      </c>
      <c r="F748" s="1" cm="1">
        <f t="array" ref="F748">_xlfn.IFS(D748="Tea", 40, D748="Coffee", 60, D748="Bakery", 100, D748="Beverages", 80)</f>
        <v>100</v>
      </c>
      <c r="G748" s="1">
        <f t="shared" si="11"/>
        <v>200</v>
      </c>
      <c r="H748" s="1" t="s">
        <v>25</v>
      </c>
      <c r="I748" s="1" t="s">
        <v>23</v>
      </c>
      <c r="J748" s="1">
        <v>3</v>
      </c>
    </row>
    <row r="749" spans="1:10" ht="15" x14ac:dyDescent="0.4">
      <c r="A749" s="1">
        <v>1748</v>
      </c>
      <c r="B749" s="2">
        <v>46118</v>
      </c>
      <c r="C749" s="1" t="s">
        <v>8</v>
      </c>
      <c r="D749" s="1" t="s">
        <v>14</v>
      </c>
      <c r="E749" s="4">
        <v>3</v>
      </c>
      <c r="F749" s="1" cm="1">
        <f t="array" ref="F749">_xlfn.IFS(D749="Tea", 40, D749="Coffee", 60, D749="Bakery", 100, D749="Beverages", 80)</f>
        <v>80</v>
      </c>
      <c r="G749" s="1">
        <f t="shared" si="11"/>
        <v>240</v>
      </c>
      <c r="H749" s="1" t="s">
        <v>25</v>
      </c>
      <c r="I749" s="1" t="s">
        <v>26</v>
      </c>
      <c r="J749" s="1">
        <v>5</v>
      </c>
    </row>
    <row r="750" spans="1:10" ht="15" x14ac:dyDescent="0.4">
      <c r="A750" s="1">
        <v>1749</v>
      </c>
      <c r="B750" s="2">
        <v>46108</v>
      </c>
      <c r="C750" s="1" t="s">
        <v>8</v>
      </c>
      <c r="D750" s="1" t="s">
        <v>9</v>
      </c>
      <c r="E750" s="4">
        <v>2</v>
      </c>
      <c r="F750" s="1" cm="1">
        <f t="array" ref="F750">_xlfn.IFS(D750="Tea", 40, D750="Coffee", 60, D750="Bakery", 100, D750="Beverages", 80)</f>
        <v>40</v>
      </c>
      <c r="G750" s="1">
        <f t="shared" si="11"/>
        <v>80</v>
      </c>
      <c r="H750" s="1" t="s">
        <v>24</v>
      </c>
      <c r="I750" s="1" t="s">
        <v>22</v>
      </c>
      <c r="J750" s="1">
        <v>4</v>
      </c>
    </row>
    <row r="751" spans="1:10" ht="15" x14ac:dyDescent="0.4">
      <c r="A751" s="1">
        <v>1750</v>
      </c>
      <c r="B751" s="2">
        <v>46024</v>
      </c>
      <c r="C751" s="1" t="s">
        <v>12</v>
      </c>
      <c r="D751" s="1" t="s">
        <v>13</v>
      </c>
      <c r="E751" s="4">
        <v>3</v>
      </c>
      <c r="F751" s="1" cm="1">
        <f t="array" ref="F751">_xlfn.IFS(D751="Tea", 40, D751="Coffee", 60, D751="Bakery", 100, D751="Beverages", 80)</f>
        <v>100</v>
      </c>
      <c r="G751" s="1">
        <f t="shared" si="11"/>
        <v>300</v>
      </c>
      <c r="H751" s="1" t="s">
        <v>21</v>
      </c>
      <c r="I751" s="1" t="s">
        <v>26</v>
      </c>
      <c r="J751" s="1">
        <v>5</v>
      </c>
    </row>
    <row r="752" spans="1:10" ht="15" x14ac:dyDescent="0.4">
      <c r="A752" s="1">
        <v>1751</v>
      </c>
      <c r="B752" s="2">
        <v>46083</v>
      </c>
      <c r="C752" s="1" t="s">
        <v>10</v>
      </c>
      <c r="D752" s="1" t="s">
        <v>11</v>
      </c>
      <c r="E752" s="4">
        <v>2</v>
      </c>
      <c r="F752" s="1" cm="1">
        <f t="array" ref="F752">_xlfn.IFS(D752="Tea", 40, D752="Coffee", 60, D752="Bakery", 100, D752="Beverages", 80)</f>
        <v>60</v>
      </c>
      <c r="G752" s="1">
        <f t="shared" si="11"/>
        <v>120</v>
      </c>
      <c r="H752" s="1" t="s">
        <v>25</v>
      </c>
      <c r="I752" s="1" t="s">
        <v>23</v>
      </c>
      <c r="J752" s="1">
        <v>1</v>
      </c>
    </row>
    <row r="753" spans="1:10" ht="15" x14ac:dyDescent="0.4">
      <c r="A753" s="1">
        <v>1752</v>
      </c>
      <c r="B753" s="2">
        <v>46161</v>
      </c>
      <c r="C753" s="1" t="s">
        <v>8</v>
      </c>
      <c r="D753" s="1" t="s">
        <v>9</v>
      </c>
      <c r="E753" s="4">
        <v>1</v>
      </c>
      <c r="F753" s="1" cm="1">
        <f t="array" ref="F753">_xlfn.IFS(D753="Tea", 40, D753="Coffee", 60, D753="Bakery", 100, D753="Beverages", 80)</f>
        <v>40</v>
      </c>
      <c r="G753" s="1">
        <f t="shared" si="11"/>
        <v>40</v>
      </c>
      <c r="H753" s="1" t="s">
        <v>24</v>
      </c>
      <c r="I753" s="1" t="s">
        <v>26</v>
      </c>
      <c r="J753" s="1">
        <v>3</v>
      </c>
    </row>
    <row r="754" spans="1:10" ht="15" x14ac:dyDescent="0.4">
      <c r="A754" s="1">
        <v>1753</v>
      </c>
      <c r="B754" s="2">
        <v>46176</v>
      </c>
      <c r="C754" s="1" t="s">
        <v>12</v>
      </c>
      <c r="D754" s="1" t="s">
        <v>11</v>
      </c>
      <c r="E754" s="4">
        <v>3</v>
      </c>
      <c r="F754" s="1" cm="1">
        <f t="array" ref="F754">_xlfn.IFS(D754="Tea", 40, D754="Coffee", 60, D754="Bakery", 100, D754="Beverages", 80)</f>
        <v>60</v>
      </c>
      <c r="G754" s="1">
        <f t="shared" si="11"/>
        <v>180</v>
      </c>
      <c r="H754" s="1" t="s">
        <v>24</v>
      </c>
      <c r="I754" s="1" t="s">
        <v>26</v>
      </c>
      <c r="J754" s="1">
        <v>4</v>
      </c>
    </row>
    <row r="755" spans="1:10" ht="15" x14ac:dyDescent="0.4">
      <c r="A755" s="1">
        <v>1754</v>
      </c>
      <c r="B755" s="2">
        <v>46098</v>
      </c>
      <c r="C755" s="1" t="s">
        <v>10</v>
      </c>
      <c r="D755" s="1" t="s">
        <v>14</v>
      </c>
      <c r="E755" s="4">
        <v>1</v>
      </c>
      <c r="F755" s="1" cm="1">
        <f t="array" ref="F755">_xlfn.IFS(D755="Tea", 40, D755="Coffee", 60, D755="Bakery", 100, D755="Beverages", 80)</f>
        <v>80</v>
      </c>
      <c r="G755" s="1">
        <f t="shared" si="11"/>
        <v>80</v>
      </c>
      <c r="H755" s="1" t="s">
        <v>24</v>
      </c>
      <c r="I755" s="1" t="s">
        <v>22</v>
      </c>
      <c r="J755" s="1">
        <v>2</v>
      </c>
    </row>
    <row r="756" spans="1:10" ht="15" x14ac:dyDescent="0.4">
      <c r="A756" s="1">
        <v>1755</v>
      </c>
      <c r="B756" s="2">
        <v>46091</v>
      </c>
      <c r="C756" s="1" t="s">
        <v>8</v>
      </c>
      <c r="D756" s="1" t="s">
        <v>13</v>
      </c>
      <c r="E756" s="4">
        <v>3</v>
      </c>
      <c r="F756" s="1" cm="1">
        <f t="array" ref="F756">_xlfn.IFS(D756="Tea", 40, D756="Coffee", 60, D756="Bakery", 100, D756="Beverages", 80)</f>
        <v>100</v>
      </c>
      <c r="G756" s="1">
        <f t="shared" si="11"/>
        <v>300</v>
      </c>
      <c r="H756" s="1" t="s">
        <v>25</v>
      </c>
      <c r="I756" s="1" t="s">
        <v>22</v>
      </c>
      <c r="J756" s="1">
        <v>2</v>
      </c>
    </row>
    <row r="757" spans="1:10" ht="15" x14ac:dyDescent="0.4">
      <c r="A757" s="1">
        <v>1756</v>
      </c>
      <c r="B757" s="2">
        <v>46112</v>
      </c>
      <c r="C757" s="1" t="s">
        <v>12</v>
      </c>
      <c r="D757" s="1" t="s">
        <v>13</v>
      </c>
      <c r="E757" s="4">
        <v>2</v>
      </c>
      <c r="F757" s="1" cm="1">
        <f t="array" ref="F757">_xlfn.IFS(D757="Tea", 40, D757="Coffee", 60, D757="Bakery", 100, D757="Beverages", 80)</f>
        <v>100</v>
      </c>
      <c r="G757" s="1">
        <f t="shared" si="11"/>
        <v>200</v>
      </c>
      <c r="H757" s="1" t="s">
        <v>24</v>
      </c>
      <c r="I757" s="1" t="s">
        <v>23</v>
      </c>
      <c r="J757" s="1">
        <v>2</v>
      </c>
    </row>
    <row r="758" spans="1:10" ht="15" x14ac:dyDescent="0.4">
      <c r="A758" s="1">
        <v>1757</v>
      </c>
      <c r="B758" s="2">
        <v>46118</v>
      </c>
      <c r="C758" s="1" t="s">
        <v>10</v>
      </c>
      <c r="D758" s="1" t="s">
        <v>11</v>
      </c>
      <c r="E758" s="4">
        <v>2</v>
      </c>
      <c r="F758" s="1" cm="1">
        <f t="array" ref="F758">_xlfn.IFS(D758="Tea", 40, D758="Coffee", 60, D758="Bakery", 100, D758="Beverages", 80)</f>
        <v>60</v>
      </c>
      <c r="G758" s="1">
        <f t="shared" si="11"/>
        <v>120</v>
      </c>
      <c r="H758" s="1" t="s">
        <v>25</v>
      </c>
      <c r="I758" s="1" t="s">
        <v>23</v>
      </c>
      <c r="J758" s="1">
        <v>2</v>
      </c>
    </row>
    <row r="759" spans="1:10" ht="15" x14ac:dyDescent="0.4">
      <c r="A759" s="1">
        <v>1758</v>
      </c>
      <c r="B759" s="2">
        <v>46203</v>
      </c>
      <c r="C759" s="1" t="s">
        <v>8</v>
      </c>
      <c r="D759" s="1" t="s">
        <v>9</v>
      </c>
      <c r="E759" s="4">
        <v>2</v>
      </c>
      <c r="F759" s="1" cm="1">
        <f t="array" ref="F759">_xlfn.IFS(D759="Tea", 40, D759="Coffee", 60, D759="Bakery", 100, D759="Beverages", 80)</f>
        <v>40</v>
      </c>
      <c r="G759" s="1">
        <f t="shared" si="11"/>
        <v>80</v>
      </c>
      <c r="H759" s="1" t="s">
        <v>24</v>
      </c>
      <c r="I759" s="1" t="s">
        <v>22</v>
      </c>
      <c r="J759" s="1">
        <v>4</v>
      </c>
    </row>
    <row r="760" spans="1:10" ht="15" x14ac:dyDescent="0.4">
      <c r="A760" s="1">
        <v>1759</v>
      </c>
      <c r="B760" s="2">
        <v>46069</v>
      </c>
      <c r="C760" s="1" t="s">
        <v>10</v>
      </c>
      <c r="D760" s="1" t="s">
        <v>11</v>
      </c>
      <c r="E760" s="4">
        <v>3</v>
      </c>
      <c r="F760" s="1" cm="1">
        <f t="array" ref="F760">_xlfn.IFS(D760="Tea", 40, D760="Coffee", 60, D760="Bakery", 100, D760="Beverages", 80)</f>
        <v>60</v>
      </c>
      <c r="G760" s="1">
        <f t="shared" si="11"/>
        <v>180</v>
      </c>
      <c r="H760" s="1" t="s">
        <v>24</v>
      </c>
      <c r="I760" s="1" t="s">
        <v>23</v>
      </c>
      <c r="J760" s="1">
        <v>2</v>
      </c>
    </row>
    <row r="761" spans="1:10" ht="15" x14ac:dyDescent="0.4">
      <c r="A761" s="1">
        <v>1760</v>
      </c>
      <c r="B761" s="2">
        <v>46038</v>
      </c>
      <c r="C761" s="1" t="s">
        <v>12</v>
      </c>
      <c r="D761" s="1" t="s">
        <v>14</v>
      </c>
      <c r="E761" s="4">
        <v>3</v>
      </c>
      <c r="F761" s="1" cm="1">
        <f t="array" ref="F761">_xlfn.IFS(D761="Tea", 40, D761="Coffee", 60, D761="Bakery", 100, D761="Beverages", 80)</f>
        <v>80</v>
      </c>
      <c r="G761" s="1">
        <f t="shared" si="11"/>
        <v>240</v>
      </c>
      <c r="H761" s="1" t="s">
        <v>21</v>
      </c>
      <c r="I761" s="1" t="s">
        <v>22</v>
      </c>
      <c r="J761" s="1">
        <v>5</v>
      </c>
    </row>
    <row r="762" spans="1:10" ht="15" x14ac:dyDescent="0.4">
      <c r="A762" s="1">
        <v>1761</v>
      </c>
      <c r="B762" s="2">
        <v>46123</v>
      </c>
      <c r="C762" s="1" t="s">
        <v>10</v>
      </c>
      <c r="D762" s="1" t="s">
        <v>14</v>
      </c>
      <c r="E762" s="4">
        <v>1</v>
      </c>
      <c r="F762" s="1" cm="1">
        <f t="array" ref="F762">_xlfn.IFS(D762="Tea", 40, D762="Coffee", 60, D762="Bakery", 100, D762="Beverages", 80)</f>
        <v>80</v>
      </c>
      <c r="G762" s="1">
        <f t="shared" si="11"/>
        <v>80</v>
      </c>
      <c r="H762" s="1" t="s">
        <v>21</v>
      </c>
      <c r="I762" s="1" t="s">
        <v>23</v>
      </c>
      <c r="J762" s="1">
        <v>1</v>
      </c>
    </row>
    <row r="763" spans="1:10" ht="15" x14ac:dyDescent="0.4">
      <c r="A763" s="1">
        <v>1762</v>
      </c>
      <c r="B763" s="2">
        <v>46030</v>
      </c>
      <c r="C763" s="1" t="s">
        <v>8</v>
      </c>
      <c r="D763" s="1" t="s">
        <v>13</v>
      </c>
      <c r="E763" s="4">
        <v>3</v>
      </c>
      <c r="F763" s="1" cm="1">
        <f t="array" ref="F763">_xlfn.IFS(D763="Tea", 40, D763="Coffee", 60, D763="Bakery", 100, D763="Beverages", 80)</f>
        <v>100</v>
      </c>
      <c r="G763" s="1">
        <f t="shared" si="11"/>
        <v>300</v>
      </c>
      <c r="H763" s="1" t="s">
        <v>25</v>
      </c>
      <c r="I763" s="1" t="s">
        <v>26</v>
      </c>
      <c r="J763" s="1">
        <v>4</v>
      </c>
    </row>
    <row r="764" spans="1:10" ht="15" x14ac:dyDescent="0.4">
      <c r="A764" s="1">
        <v>1763</v>
      </c>
      <c r="B764" s="2">
        <v>46157</v>
      </c>
      <c r="C764" s="1" t="s">
        <v>10</v>
      </c>
      <c r="D764" s="1" t="s">
        <v>14</v>
      </c>
      <c r="E764" s="4">
        <v>3</v>
      </c>
      <c r="F764" s="1" cm="1">
        <f t="array" ref="F764">_xlfn.IFS(D764="Tea", 40, D764="Coffee", 60, D764="Bakery", 100, D764="Beverages", 80)</f>
        <v>80</v>
      </c>
      <c r="G764" s="1">
        <f t="shared" si="11"/>
        <v>240</v>
      </c>
      <c r="H764" s="1" t="s">
        <v>24</v>
      </c>
      <c r="I764" s="1" t="s">
        <v>26</v>
      </c>
      <c r="J764" s="1">
        <v>1</v>
      </c>
    </row>
    <row r="765" spans="1:10" ht="15" x14ac:dyDescent="0.4">
      <c r="A765" s="1">
        <v>1764</v>
      </c>
      <c r="B765" s="2">
        <v>46178</v>
      </c>
      <c r="C765" s="1" t="s">
        <v>10</v>
      </c>
      <c r="D765" s="1" t="s">
        <v>14</v>
      </c>
      <c r="E765" s="4">
        <v>1</v>
      </c>
      <c r="F765" s="1" cm="1">
        <f t="array" ref="F765">_xlfn.IFS(D765="Tea", 40, D765="Coffee", 60, D765="Bakery", 100, D765="Beverages", 80)</f>
        <v>80</v>
      </c>
      <c r="G765" s="1">
        <f t="shared" si="11"/>
        <v>80</v>
      </c>
      <c r="H765" s="1" t="s">
        <v>21</v>
      </c>
      <c r="I765" s="1" t="s">
        <v>26</v>
      </c>
      <c r="J765" s="1">
        <v>4</v>
      </c>
    </row>
    <row r="766" spans="1:10" ht="15" x14ac:dyDescent="0.4">
      <c r="A766" s="1">
        <v>1765</v>
      </c>
      <c r="B766" s="2">
        <v>46193</v>
      </c>
      <c r="C766" s="1" t="s">
        <v>12</v>
      </c>
      <c r="D766" s="1" t="s">
        <v>9</v>
      </c>
      <c r="E766" s="4">
        <v>1</v>
      </c>
      <c r="F766" s="1" cm="1">
        <f t="array" ref="F766">_xlfn.IFS(D766="Tea", 40, D766="Coffee", 60, D766="Bakery", 100, D766="Beverages", 80)</f>
        <v>40</v>
      </c>
      <c r="G766" s="1">
        <f t="shared" si="11"/>
        <v>40</v>
      </c>
      <c r="H766" s="1" t="s">
        <v>25</v>
      </c>
      <c r="I766" s="1" t="s">
        <v>23</v>
      </c>
      <c r="J766" s="1">
        <v>4</v>
      </c>
    </row>
    <row r="767" spans="1:10" ht="15" x14ac:dyDescent="0.4">
      <c r="A767" s="1">
        <v>1766</v>
      </c>
      <c r="B767" s="2">
        <v>46157</v>
      </c>
      <c r="C767" s="1" t="s">
        <v>8</v>
      </c>
      <c r="D767" s="1" t="s">
        <v>11</v>
      </c>
      <c r="E767" s="4">
        <v>1</v>
      </c>
      <c r="F767" s="1" cm="1">
        <f t="array" ref="F767">_xlfn.IFS(D767="Tea", 40, D767="Coffee", 60, D767="Bakery", 100, D767="Beverages", 80)</f>
        <v>60</v>
      </c>
      <c r="G767" s="1">
        <f t="shared" si="11"/>
        <v>60</v>
      </c>
      <c r="H767" s="1" t="s">
        <v>25</v>
      </c>
      <c r="I767" s="1" t="s">
        <v>23</v>
      </c>
      <c r="J767" s="1">
        <v>5</v>
      </c>
    </row>
    <row r="768" spans="1:10" ht="15" x14ac:dyDescent="0.4">
      <c r="A768" s="1">
        <v>1767</v>
      </c>
      <c r="B768" s="2">
        <v>46168</v>
      </c>
      <c r="C768" s="1" t="s">
        <v>8</v>
      </c>
      <c r="D768" s="1" t="s">
        <v>11</v>
      </c>
      <c r="E768" s="4">
        <v>1</v>
      </c>
      <c r="F768" s="1" cm="1">
        <f t="array" ref="F768">_xlfn.IFS(D768="Tea", 40, D768="Coffee", 60, D768="Bakery", 100, D768="Beverages", 80)</f>
        <v>60</v>
      </c>
      <c r="G768" s="1">
        <f t="shared" si="11"/>
        <v>60</v>
      </c>
      <c r="H768" s="1" t="s">
        <v>21</v>
      </c>
      <c r="I768" s="1" t="s">
        <v>23</v>
      </c>
      <c r="J768" s="1">
        <v>1</v>
      </c>
    </row>
    <row r="769" spans="1:10" ht="15" x14ac:dyDescent="0.4">
      <c r="A769" s="1">
        <v>1768</v>
      </c>
      <c r="B769" s="2">
        <v>46160</v>
      </c>
      <c r="C769" s="1" t="s">
        <v>10</v>
      </c>
      <c r="D769" s="1" t="s">
        <v>9</v>
      </c>
      <c r="E769" s="4">
        <v>1</v>
      </c>
      <c r="F769" s="1" cm="1">
        <f t="array" ref="F769">_xlfn.IFS(D769="Tea", 40, D769="Coffee", 60, D769="Bakery", 100, D769="Beverages", 80)</f>
        <v>40</v>
      </c>
      <c r="G769" s="1">
        <f t="shared" si="11"/>
        <v>40</v>
      </c>
      <c r="H769" s="1" t="s">
        <v>25</v>
      </c>
      <c r="I769" s="1" t="s">
        <v>22</v>
      </c>
      <c r="J769" s="1">
        <v>1</v>
      </c>
    </row>
    <row r="770" spans="1:10" ht="15" x14ac:dyDescent="0.4">
      <c r="A770" s="1">
        <v>1769</v>
      </c>
      <c r="B770" s="2">
        <v>46054</v>
      </c>
      <c r="C770" s="1" t="s">
        <v>10</v>
      </c>
      <c r="D770" s="1" t="s">
        <v>14</v>
      </c>
      <c r="E770" s="4">
        <v>2</v>
      </c>
      <c r="F770" s="1" cm="1">
        <f t="array" ref="F770">_xlfn.IFS(D770="Tea", 40, D770="Coffee", 60, D770="Bakery", 100, D770="Beverages", 80)</f>
        <v>80</v>
      </c>
      <c r="G770" s="1">
        <f t="shared" si="11"/>
        <v>160</v>
      </c>
      <c r="H770" s="1" t="s">
        <v>24</v>
      </c>
      <c r="I770" s="1" t="s">
        <v>22</v>
      </c>
      <c r="J770" s="1">
        <v>2</v>
      </c>
    </row>
    <row r="771" spans="1:10" ht="15" x14ac:dyDescent="0.4">
      <c r="A771" s="1">
        <v>1770</v>
      </c>
      <c r="B771" s="2">
        <v>46107</v>
      </c>
      <c r="C771" s="1" t="s">
        <v>8</v>
      </c>
      <c r="D771" s="1" t="s">
        <v>9</v>
      </c>
      <c r="E771" s="4">
        <v>3</v>
      </c>
      <c r="F771" s="1" cm="1">
        <f t="array" ref="F771">_xlfn.IFS(D771="Tea", 40, D771="Coffee", 60, D771="Bakery", 100, D771="Beverages", 80)</f>
        <v>40</v>
      </c>
      <c r="G771" s="1">
        <f t="shared" ref="G771:G801" si="12">E771*F771</f>
        <v>120</v>
      </c>
      <c r="H771" s="1" t="s">
        <v>24</v>
      </c>
      <c r="I771" s="1" t="s">
        <v>26</v>
      </c>
      <c r="J771" s="1">
        <v>1</v>
      </c>
    </row>
    <row r="772" spans="1:10" ht="15" x14ac:dyDescent="0.4">
      <c r="A772" s="1">
        <v>1771</v>
      </c>
      <c r="B772" s="2">
        <v>46200</v>
      </c>
      <c r="C772" s="1" t="s">
        <v>12</v>
      </c>
      <c r="D772" s="1" t="s">
        <v>9</v>
      </c>
      <c r="E772" s="4">
        <v>2</v>
      </c>
      <c r="F772" s="1" cm="1">
        <f t="array" ref="F772">_xlfn.IFS(D772="Tea", 40, D772="Coffee", 60, D772="Bakery", 100, D772="Beverages", 80)</f>
        <v>40</v>
      </c>
      <c r="G772" s="1">
        <f t="shared" si="12"/>
        <v>80</v>
      </c>
      <c r="H772" s="1" t="s">
        <v>25</v>
      </c>
      <c r="I772" s="1" t="s">
        <v>22</v>
      </c>
      <c r="J772" s="1">
        <v>3</v>
      </c>
    </row>
    <row r="773" spans="1:10" ht="15" x14ac:dyDescent="0.4">
      <c r="A773" s="1">
        <v>1772</v>
      </c>
      <c r="B773" s="2">
        <v>46085</v>
      </c>
      <c r="C773" s="1" t="s">
        <v>12</v>
      </c>
      <c r="D773" s="1" t="s">
        <v>9</v>
      </c>
      <c r="E773" s="4">
        <v>2</v>
      </c>
      <c r="F773" s="1" cm="1">
        <f t="array" ref="F773">_xlfn.IFS(D773="Tea", 40, D773="Coffee", 60, D773="Bakery", 100, D773="Beverages", 80)</f>
        <v>40</v>
      </c>
      <c r="G773" s="1">
        <f t="shared" si="12"/>
        <v>80</v>
      </c>
      <c r="H773" s="1" t="s">
        <v>21</v>
      </c>
      <c r="I773" s="1" t="s">
        <v>26</v>
      </c>
      <c r="J773" s="1">
        <v>1</v>
      </c>
    </row>
    <row r="774" spans="1:10" ht="15" x14ac:dyDescent="0.4">
      <c r="A774" s="1">
        <v>1773</v>
      </c>
      <c r="B774" s="2">
        <v>46127</v>
      </c>
      <c r="C774" s="1" t="s">
        <v>8</v>
      </c>
      <c r="D774" s="1" t="s">
        <v>14</v>
      </c>
      <c r="E774" s="4">
        <v>2</v>
      </c>
      <c r="F774" s="1" cm="1">
        <f t="array" ref="F774">_xlfn.IFS(D774="Tea", 40, D774="Coffee", 60, D774="Bakery", 100, D774="Beverages", 80)</f>
        <v>80</v>
      </c>
      <c r="G774" s="1">
        <f t="shared" si="12"/>
        <v>160</v>
      </c>
      <c r="H774" s="1" t="s">
        <v>24</v>
      </c>
      <c r="I774" s="1" t="s">
        <v>22</v>
      </c>
      <c r="J774" s="1">
        <v>4</v>
      </c>
    </row>
    <row r="775" spans="1:10" ht="15" x14ac:dyDescent="0.4">
      <c r="A775" s="1">
        <v>1774</v>
      </c>
      <c r="B775" s="2">
        <v>46032</v>
      </c>
      <c r="C775" s="1" t="s">
        <v>10</v>
      </c>
      <c r="D775" s="1" t="s">
        <v>9</v>
      </c>
      <c r="E775" s="4">
        <v>2</v>
      </c>
      <c r="F775" s="1" cm="1">
        <f t="array" ref="F775">_xlfn.IFS(D775="Tea", 40, D775="Coffee", 60, D775="Bakery", 100, D775="Beverages", 80)</f>
        <v>40</v>
      </c>
      <c r="G775" s="1">
        <f t="shared" si="12"/>
        <v>80</v>
      </c>
      <c r="H775" s="1" t="s">
        <v>24</v>
      </c>
      <c r="I775" s="1" t="s">
        <v>22</v>
      </c>
      <c r="J775" s="1">
        <v>2</v>
      </c>
    </row>
    <row r="776" spans="1:10" ht="15" x14ac:dyDescent="0.4">
      <c r="A776" s="1">
        <v>1775</v>
      </c>
      <c r="B776" s="2">
        <v>46178</v>
      </c>
      <c r="C776" s="1" t="s">
        <v>8</v>
      </c>
      <c r="D776" s="1" t="s">
        <v>14</v>
      </c>
      <c r="E776" s="4">
        <v>2</v>
      </c>
      <c r="F776" s="1" cm="1">
        <f t="array" ref="F776">_xlfn.IFS(D776="Tea", 40, D776="Coffee", 60, D776="Bakery", 100, D776="Beverages", 80)</f>
        <v>80</v>
      </c>
      <c r="G776" s="1">
        <f t="shared" si="12"/>
        <v>160</v>
      </c>
      <c r="H776" s="1" t="s">
        <v>21</v>
      </c>
      <c r="I776" s="1" t="s">
        <v>22</v>
      </c>
      <c r="J776" s="1">
        <v>3</v>
      </c>
    </row>
    <row r="777" spans="1:10" ht="15" x14ac:dyDescent="0.4">
      <c r="A777" s="1">
        <v>1776</v>
      </c>
      <c r="B777" s="2">
        <v>46059</v>
      </c>
      <c r="C777" s="1" t="s">
        <v>8</v>
      </c>
      <c r="D777" s="1" t="s">
        <v>9</v>
      </c>
      <c r="E777" s="4">
        <v>2</v>
      </c>
      <c r="F777" s="1" cm="1">
        <f t="array" ref="F777">_xlfn.IFS(D777="Tea", 40, D777="Coffee", 60, D777="Bakery", 100, D777="Beverages", 80)</f>
        <v>40</v>
      </c>
      <c r="G777" s="1">
        <f t="shared" si="12"/>
        <v>80</v>
      </c>
      <c r="H777" s="1" t="s">
        <v>21</v>
      </c>
      <c r="I777" s="1" t="s">
        <v>22</v>
      </c>
      <c r="J777" s="1">
        <v>3</v>
      </c>
    </row>
    <row r="778" spans="1:10" ht="15" x14ac:dyDescent="0.4">
      <c r="A778" s="1">
        <v>1777</v>
      </c>
      <c r="B778" s="2">
        <v>46083</v>
      </c>
      <c r="C778" s="1" t="s">
        <v>12</v>
      </c>
      <c r="D778" s="1" t="s">
        <v>11</v>
      </c>
      <c r="E778" s="4">
        <v>1</v>
      </c>
      <c r="F778" s="1" cm="1">
        <f t="array" ref="F778">_xlfn.IFS(D778="Tea", 40, D778="Coffee", 60, D778="Bakery", 100, D778="Beverages", 80)</f>
        <v>60</v>
      </c>
      <c r="G778" s="1">
        <f t="shared" si="12"/>
        <v>60</v>
      </c>
      <c r="H778" s="1" t="s">
        <v>21</v>
      </c>
      <c r="I778" s="1" t="s">
        <v>22</v>
      </c>
      <c r="J778" s="1">
        <v>1</v>
      </c>
    </row>
    <row r="779" spans="1:10" ht="15" x14ac:dyDescent="0.4">
      <c r="A779" s="1">
        <v>1778</v>
      </c>
      <c r="B779" s="2">
        <v>46067</v>
      </c>
      <c r="C779" s="1" t="s">
        <v>8</v>
      </c>
      <c r="D779" s="1" t="s">
        <v>14</v>
      </c>
      <c r="E779" s="4">
        <v>3</v>
      </c>
      <c r="F779" s="1" cm="1">
        <f t="array" ref="F779">_xlfn.IFS(D779="Tea", 40, D779="Coffee", 60, D779="Bakery", 100, D779="Beverages", 80)</f>
        <v>80</v>
      </c>
      <c r="G779" s="1">
        <f t="shared" si="12"/>
        <v>240</v>
      </c>
      <c r="H779" s="1" t="s">
        <v>21</v>
      </c>
      <c r="I779" s="1" t="s">
        <v>22</v>
      </c>
      <c r="J779" s="1">
        <v>3</v>
      </c>
    </row>
    <row r="780" spans="1:10" ht="15" x14ac:dyDescent="0.4">
      <c r="A780" s="1">
        <v>1779</v>
      </c>
      <c r="B780" s="2">
        <v>46057</v>
      </c>
      <c r="C780" s="1" t="s">
        <v>10</v>
      </c>
      <c r="D780" s="1" t="s">
        <v>14</v>
      </c>
      <c r="E780" s="4">
        <v>1</v>
      </c>
      <c r="F780" s="1" cm="1">
        <f t="array" ref="F780">_xlfn.IFS(D780="Tea", 40, D780="Coffee", 60, D780="Bakery", 100, D780="Beverages", 80)</f>
        <v>80</v>
      </c>
      <c r="G780" s="1">
        <f t="shared" si="12"/>
        <v>80</v>
      </c>
      <c r="H780" s="1" t="s">
        <v>24</v>
      </c>
      <c r="I780" s="1" t="s">
        <v>26</v>
      </c>
      <c r="J780" s="1">
        <v>2</v>
      </c>
    </row>
    <row r="781" spans="1:10" ht="15" x14ac:dyDescent="0.4">
      <c r="A781" s="1">
        <v>1780</v>
      </c>
      <c r="B781" s="2">
        <v>46137</v>
      </c>
      <c r="C781" s="1" t="s">
        <v>12</v>
      </c>
      <c r="D781" s="1" t="s">
        <v>13</v>
      </c>
      <c r="E781" s="4">
        <v>3</v>
      </c>
      <c r="F781" s="1" cm="1">
        <f t="array" ref="F781">_xlfn.IFS(D781="Tea", 40, D781="Coffee", 60, D781="Bakery", 100, D781="Beverages", 80)</f>
        <v>100</v>
      </c>
      <c r="G781" s="1">
        <f t="shared" si="12"/>
        <v>300</v>
      </c>
      <c r="H781" s="1" t="s">
        <v>21</v>
      </c>
      <c r="I781" s="1" t="s">
        <v>26</v>
      </c>
      <c r="J781" s="1">
        <v>4</v>
      </c>
    </row>
    <row r="782" spans="1:10" ht="15" x14ac:dyDescent="0.4">
      <c r="A782" s="1">
        <v>1781</v>
      </c>
      <c r="B782" s="2">
        <v>46191</v>
      </c>
      <c r="C782" s="1" t="s">
        <v>12</v>
      </c>
      <c r="D782" s="1" t="s">
        <v>9</v>
      </c>
      <c r="E782" s="4">
        <v>2</v>
      </c>
      <c r="F782" s="1" cm="1">
        <f t="array" ref="F782">_xlfn.IFS(D782="Tea", 40, D782="Coffee", 60, D782="Bakery", 100, D782="Beverages", 80)</f>
        <v>40</v>
      </c>
      <c r="G782" s="1">
        <f t="shared" si="12"/>
        <v>80</v>
      </c>
      <c r="H782" s="1" t="s">
        <v>25</v>
      </c>
      <c r="I782" s="1" t="s">
        <v>26</v>
      </c>
      <c r="J782" s="1">
        <v>5</v>
      </c>
    </row>
    <row r="783" spans="1:10" ht="15" x14ac:dyDescent="0.4">
      <c r="A783" s="1">
        <v>1782</v>
      </c>
      <c r="B783" s="2">
        <v>46117</v>
      </c>
      <c r="C783" s="1" t="s">
        <v>12</v>
      </c>
      <c r="D783" s="1" t="s">
        <v>13</v>
      </c>
      <c r="E783" s="4">
        <v>3</v>
      </c>
      <c r="F783" s="1" cm="1">
        <f t="array" ref="F783">_xlfn.IFS(D783="Tea", 40, D783="Coffee", 60, D783="Bakery", 100, D783="Beverages", 80)</f>
        <v>100</v>
      </c>
      <c r="G783" s="1">
        <f t="shared" si="12"/>
        <v>300</v>
      </c>
      <c r="H783" s="1" t="s">
        <v>25</v>
      </c>
      <c r="I783" s="1" t="s">
        <v>23</v>
      </c>
      <c r="J783" s="1">
        <v>1</v>
      </c>
    </row>
    <row r="784" spans="1:10" ht="15" x14ac:dyDescent="0.4">
      <c r="A784" s="1">
        <v>1783</v>
      </c>
      <c r="B784" s="2">
        <v>46039</v>
      </c>
      <c r="C784" s="1" t="s">
        <v>10</v>
      </c>
      <c r="D784" s="1" t="s">
        <v>11</v>
      </c>
      <c r="E784" s="4">
        <v>1</v>
      </c>
      <c r="F784" s="1" cm="1">
        <f t="array" ref="F784">_xlfn.IFS(D784="Tea", 40, D784="Coffee", 60, D784="Bakery", 100, D784="Beverages", 80)</f>
        <v>60</v>
      </c>
      <c r="G784" s="1">
        <f t="shared" si="12"/>
        <v>60</v>
      </c>
      <c r="H784" s="1" t="s">
        <v>21</v>
      </c>
      <c r="I784" s="1" t="s">
        <v>23</v>
      </c>
      <c r="J784" s="1">
        <v>1</v>
      </c>
    </row>
    <row r="785" spans="1:10" ht="15" x14ac:dyDescent="0.4">
      <c r="A785" s="1">
        <v>1784</v>
      </c>
      <c r="B785" s="2">
        <v>46161</v>
      </c>
      <c r="C785" s="1" t="s">
        <v>8</v>
      </c>
      <c r="D785" s="1" t="s">
        <v>9</v>
      </c>
      <c r="E785" s="4">
        <v>3</v>
      </c>
      <c r="F785" s="1" cm="1">
        <f t="array" ref="F785">_xlfn.IFS(D785="Tea", 40, D785="Coffee", 60, D785="Bakery", 100, D785="Beverages", 80)</f>
        <v>40</v>
      </c>
      <c r="G785" s="1">
        <f t="shared" si="12"/>
        <v>120</v>
      </c>
      <c r="H785" s="1" t="s">
        <v>24</v>
      </c>
      <c r="I785" s="1" t="s">
        <v>23</v>
      </c>
      <c r="J785" s="1">
        <v>4</v>
      </c>
    </row>
    <row r="786" spans="1:10" ht="15" x14ac:dyDescent="0.4">
      <c r="A786" s="1">
        <v>1785</v>
      </c>
      <c r="B786" s="2">
        <v>46067</v>
      </c>
      <c r="C786" s="1" t="s">
        <v>8</v>
      </c>
      <c r="D786" s="1" t="s">
        <v>13</v>
      </c>
      <c r="E786" s="4">
        <v>2</v>
      </c>
      <c r="F786" s="1" cm="1">
        <f t="array" ref="F786">_xlfn.IFS(D786="Tea", 40, D786="Coffee", 60, D786="Bakery", 100, D786="Beverages", 80)</f>
        <v>100</v>
      </c>
      <c r="G786" s="1">
        <f t="shared" si="12"/>
        <v>200</v>
      </c>
      <c r="H786" s="1" t="s">
        <v>25</v>
      </c>
      <c r="I786" s="1" t="s">
        <v>22</v>
      </c>
      <c r="J786" s="1">
        <v>5</v>
      </c>
    </row>
    <row r="787" spans="1:10" ht="15" x14ac:dyDescent="0.4">
      <c r="A787" s="1">
        <v>1786</v>
      </c>
      <c r="B787" s="2">
        <v>46096</v>
      </c>
      <c r="C787" s="1" t="s">
        <v>10</v>
      </c>
      <c r="D787" s="1" t="s">
        <v>14</v>
      </c>
      <c r="E787" s="4">
        <v>2</v>
      </c>
      <c r="F787" s="1" cm="1">
        <f t="array" ref="F787">_xlfn.IFS(D787="Tea", 40, D787="Coffee", 60, D787="Bakery", 100, D787="Beverages", 80)</f>
        <v>80</v>
      </c>
      <c r="G787" s="1">
        <f t="shared" si="12"/>
        <v>160</v>
      </c>
      <c r="H787" s="1" t="s">
        <v>21</v>
      </c>
      <c r="I787" s="1" t="s">
        <v>22</v>
      </c>
      <c r="J787" s="1">
        <v>1</v>
      </c>
    </row>
    <row r="788" spans="1:10" ht="15" x14ac:dyDescent="0.4">
      <c r="A788" s="1">
        <v>1787</v>
      </c>
      <c r="B788" s="2">
        <v>46037</v>
      </c>
      <c r="C788" s="1" t="s">
        <v>10</v>
      </c>
      <c r="D788" s="1" t="s">
        <v>14</v>
      </c>
      <c r="E788" s="4">
        <v>2</v>
      </c>
      <c r="F788" s="1" cm="1">
        <f t="array" ref="F788">_xlfn.IFS(D788="Tea", 40, D788="Coffee", 60, D788="Bakery", 100, D788="Beverages", 80)</f>
        <v>80</v>
      </c>
      <c r="G788" s="1">
        <f t="shared" si="12"/>
        <v>160</v>
      </c>
      <c r="H788" s="1" t="s">
        <v>25</v>
      </c>
      <c r="I788" s="1" t="s">
        <v>23</v>
      </c>
      <c r="J788" s="1">
        <v>3</v>
      </c>
    </row>
    <row r="789" spans="1:10" ht="15" x14ac:dyDescent="0.4">
      <c r="A789" s="1">
        <v>1788</v>
      </c>
      <c r="B789" s="2">
        <v>46133</v>
      </c>
      <c r="C789" s="1" t="s">
        <v>8</v>
      </c>
      <c r="D789" s="1" t="s">
        <v>9</v>
      </c>
      <c r="E789" s="4">
        <v>2</v>
      </c>
      <c r="F789" s="1" cm="1">
        <f t="array" ref="F789">_xlfn.IFS(D789="Tea", 40, D789="Coffee", 60, D789="Bakery", 100, D789="Beverages", 80)</f>
        <v>40</v>
      </c>
      <c r="G789" s="1">
        <f t="shared" si="12"/>
        <v>80</v>
      </c>
      <c r="H789" s="1" t="s">
        <v>24</v>
      </c>
      <c r="I789" s="1" t="s">
        <v>22</v>
      </c>
      <c r="J789" s="1">
        <v>4</v>
      </c>
    </row>
    <row r="790" spans="1:10" ht="15" x14ac:dyDescent="0.4">
      <c r="A790" s="1">
        <v>1789</v>
      </c>
      <c r="B790" s="2">
        <v>46135</v>
      </c>
      <c r="C790" s="1" t="s">
        <v>8</v>
      </c>
      <c r="D790" s="1" t="s">
        <v>14</v>
      </c>
      <c r="E790" s="4">
        <v>2</v>
      </c>
      <c r="F790" s="1" cm="1">
        <f t="array" ref="F790">_xlfn.IFS(D790="Tea", 40, D790="Coffee", 60, D790="Bakery", 100, D790="Beverages", 80)</f>
        <v>80</v>
      </c>
      <c r="G790" s="1">
        <f t="shared" si="12"/>
        <v>160</v>
      </c>
      <c r="H790" s="1" t="s">
        <v>24</v>
      </c>
      <c r="I790" s="1" t="s">
        <v>26</v>
      </c>
      <c r="J790" s="1">
        <v>5</v>
      </c>
    </row>
    <row r="791" spans="1:10" ht="15" x14ac:dyDescent="0.4">
      <c r="A791" s="1">
        <v>1790</v>
      </c>
      <c r="B791" s="2">
        <v>46186</v>
      </c>
      <c r="C791" s="1" t="s">
        <v>10</v>
      </c>
      <c r="D791" s="1" t="s">
        <v>14</v>
      </c>
      <c r="E791" s="4">
        <v>1</v>
      </c>
      <c r="F791" s="1" cm="1">
        <f t="array" ref="F791">_xlfn.IFS(D791="Tea", 40, D791="Coffee", 60, D791="Bakery", 100, D791="Beverages", 80)</f>
        <v>80</v>
      </c>
      <c r="G791" s="1">
        <f t="shared" si="12"/>
        <v>80</v>
      </c>
      <c r="H791" s="1" t="s">
        <v>25</v>
      </c>
      <c r="I791" s="1" t="s">
        <v>26</v>
      </c>
      <c r="J791" s="1">
        <v>2</v>
      </c>
    </row>
    <row r="792" spans="1:10" ht="15" x14ac:dyDescent="0.4">
      <c r="A792" s="1">
        <v>1791</v>
      </c>
      <c r="B792" s="2">
        <v>46139</v>
      </c>
      <c r="C792" s="1" t="s">
        <v>12</v>
      </c>
      <c r="D792" s="1" t="s">
        <v>14</v>
      </c>
      <c r="E792" s="4">
        <v>2</v>
      </c>
      <c r="F792" s="1" cm="1">
        <f t="array" ref="F792">_xlfn.IFS(D792="Tea", 40, D792="Coffee", 60, D792="Bakery", 100, D792="Beverages", 80)</f>
        <v>80</v>
      </c>
      <c r="G792" s="1">
        <f t="shared" si="12"/>
        <v>160</v>
      </c>
      <c r="H792" s="1" t="s">
        <v>24</v>
      </c>
      <c r="I792" s="1" t="s">
        <v>23</v>
      </c>
      <c r="J792" s="1">
        <v>2</v>
      </c>
    </row>
    <row r="793" spans="1:10" ht="15" x14ac:dyDescent="0.4">
      <c r="A793" s="1">
        <v>1792</v>
      </c>
      <c r="B793" s="2">
        <v>46120</v>
      </c>
      <c r="C793" s="1" t="s">
        <v>8</v>
      </c>
      <c r="D793" s="1" t="s">
        <v>13</v>
      </c>
      <c r="E793" s="4">
        <v>2</v>
      </c>
      <c r="F793" s="1" cm="1">
        <f t="array" ref="F793">_xlfn.IFS(D793="Tea", 40, D793="Coffee", 60, D793="Bakery", 100, D793="Beverages", 80)</f>
        <v>100</v>
      </c>
      <c r="G793" s="1">
        <f t="shared" si="12"/>
        <v>200</v>
      </c>
      <c r="H793" s="1" t="s">
        <v>25</v>
      </c>
      <c r="I793" s="1" t="s">
        <v>22</v>
      </c>
      <c r="J793" s="1">
        <v>5</v>
      </c>
    </row>
    <row r="794" spans="1:10" ht="15" x14ac:dyDescent="0.4">
      <c r="A794" s="1">
        <v>1793</v>
      </c>
      <c r="B794" s="2">
        <v>46163</v>
      </c>
      <c r="C794" s="1" t="s">
        <v>8</v>
      </c>
      <c r="D794" s="1" t="s">
        <v>11</v>
      </c>
      <c r="E794" s="4">
        <v>1</v>
      </c>
      <c r="F794" s="1" cm="1">
        <f t="array" ref="F794">_xlfn.IFS(D794="Tea", 40, D794="Coffee", 60, D794="Bakery", 100, D794="Beverages", 80)</f>
        <v>60</v>
      </c>
      <c r="G794" s="1">
        <f t="shared" si="12"/>
        <v>60</v>
      </c>
      <c r="H794" s="1" t="s">
        <v>21</v>
      </c>
      <c r="I794" s="1" t="s">
        <v>23</v>
      </c>
      <c r="J794" s="1">
        <v>3</v>
      </c>
    </row>
    <row r="795" spans="1:10" ht="15" x14ac:dyDescent="0.4">
      <c r="A795" s="1">
        <v>1794</v>
      </c>
      <c r="B795" s="2">
        <v>46117</v>
      </c>
      <c r="C795" s="1" t="s">
        <v>8</v>
      </c>
      <c r="D795" s="1" t="s">
        <v>11</v>
      </c>
      <c r="E795" s="4">
        <v>1</v>
      </c>
      <c r="F795" s="1" cm="1">
        <f t="array" ref="F795">_xlfn.IFS(D795="Tea", 40, D795="Coffee", 60, D795="Bakery", 100, D795="Beverages", 80)</f>
        <v>60</v>
      </c>
      <c r="G795" s="1">
        <f t="shared" si="12"/>
        <v>60</v>
      </c>
      <c r="H795" s="1" t="s">
        <v>24</v>
      </c>
      <c r="I795" s="1" t="s">
        <v>26</v>
      </c>
      <c r="J795" s="1">
        <v>4</v>
      </c>
    </row>
    <row r="796" spans="1:10" ht="15" x14ac:dyDescent="0.4">
      <c r="A796" s="1">
        <v>1795</v>
      </c>
      <c r="B796" s="2">
        <v>46086</v>
      </c>
      <c r="C796" s="1" t="s">
        <v>10</v>
      </c>
      <c r="D796" s="1" t="s">
        <v>14</v>
      </c>
      <c r="E796" s="4">
        <v>1</v>
      </c>
      <c r="F796" s="1" cm="1">
        <f t="array" ref="F796">_xlfn.IFS(D796="Tea", 40, D796="Coffee", 60, D796="Bakery", 100, D796="Beverages", 80)</f>
        <v>80</v>
      </c>
      <c r="G796" s="1">
        <f t="shared" si="12"/>
        <v>80</v>
      </c>
      <c r="H796" s="1" t="s">
        <v>24</v>
      </c>
      <c r="I796" s="1" t="s">
        <v>26</v>
      </c>
      <c r="J796" s="1">
        <v>1</v>
      </c>
    </row>
    <row r="797" spans="1:10" ht="15" x14ac:dyDescent="0.4">
      <c r="A797" s="1">
        <v>1796</v>
      </c>
      <c r="B797" s="2">
        <v>46068</v>
      </c>
      <c r="C797" s="1" t="s">
        <v>8</v>
      </c>
      <c r="D797" s="1" t="s">
        <v>13</v>
      </c>
      <c r="E797" s="4">
        <v>2</v>
      </c>
      <c r="F797" s="1" cm="1">
        <f t="array" ref="F797">_xlfn.IFS(D797="Tea", 40, D797="Coffee", 60, D797="Bakery", 100, D797="Beverages", 80)</f>
        <v>100</v>
      </c>
      <c r="G797" s="1">
        <f t="shared" si="12"/>
        <v>200</v>
      </c>
      <c r="H797" s="1" t="s">
        <v>25</v>
      </c>
      <c r="I797" s="1" t="s">
        <v>22</v>
      </c>
      <c r="J797" s="1">
        <v>5</v>
      </c>
    </row>
    <row r="798" spans="1:10" ht="15" x14ac:dyDescent="0.4">
      <c r="A798" s="1">
        <v>1797</v>
      </c>
      <c r="B798" s="2">
        <v>46168</v>
      </c>
      <c r="C798" s="1" t="s">
        <v>12</v>
      </c>
      <c r="D798" s="1" t="s">
        <v>14</v>
      </c>
      <c r="E798" s="4">
        <v>2</v>
      </c>
      <c r="F798" s="1" cm="1">
        <f t="array" ref="F798">_xlfn.IFS(D798="Tea", 40, D798="Coffee", 60, D798="Bakery", 100, D798="Beverages", 80)</f>
        <v>80</v>
      </c>
      <c r="G798" s="1">
        <f t="shared" si="12"/>
        <v>160</v>
      </c>
      <c r="H798" s="1" t="s">
        <v>21</v>
      </c>
      <c r="I798" s="1" t="s">
        <v>26</v>
      </c>
      <c r="J798" s="1">
        <v>3</v>
      </c>
    </row>
    <row r="799" spans="1:10" ht="15" x14ac:dyDescent="0.4">
      <c r="A799" s="1">
        <v>1798</v>
      </c>
      <c r="B799" s="2">
        <v>46155</v>
      </c>
      <c r="C799" s="1" t="s">
        <v>12</v>
      </c>
      <c r="D799" s="1" t="s">
        <v>11</v>
      </c>
      <c r="E799" s="4">
        <v>2</v>
      </c>
      <c r="F799" s="1" cm="1">
        <f t="array" ref="F799">_xlfn.IFS(D799="Tea", 40, D799="Coffee", 60, D799="Bakery", 100, D799="Beverages", 80)</f>
        <v>60</v>
      </c>
      <c r="G799" s="1">
        <f t="shared" si="12"/>
        <v>120</v>
      </c>
      <c r="H799" s="1" t="s">
        <v>25</v>
      </c>
      <c r="I799" s="1" t="s">
        <v>26</v>
      </c>
      <c r="J799" s="1">
        <v>2</v>
      </c>
    </row>
    <row r="800" spans="1:10" ht="15" x14ac:dyDescent="0.4">
      <c r="A800" s="1">
        <v>1799</v>
      </c>
      <c r="B800" s="2">
        <v>46087</v>
      </c>
      <c r="C800" s="1" t="s">
        <v>12</v>
      </c>
      <c r="D800" s="1" t="s">
        <v>9</v>
      </c>
      <c r="E800" s="4">
        <v>1</v>
      </c>
      <c r="F800" s="1" cm="1">
        <f t="array" ref="F800">_xlfn.IFS(D800="Tea", 40, D800="Coffee", 60, D800="Bakery", 100, D800="Beverages", 80)</f>
        <v>40</v>
      </c>
      <c r="G800" s="1">
        <f t="shared" si="12"/>
        <v>40</v>
      </c>
      <c r="H800" s="1" t="s">
        <v>25</v>
      </c>
      <c r="I800" s="1" t="s">
        <v>22</v>
      </c>
      <c r="J800" s="1">
        <v>2</v>
      </c>
    </row>
    <row r="801" spans="1:10" ht="15" x14ac:dyDescent="0.4">
      <c r="A801" s="1">
        <v>1800</v>
      </c>
      <c r="B801" s="2">
        <v>46095</v>
      </c>
      <c r="C801" s="1" t="s">
        <v>10</v>
      </c>
      <c r="D801" s="1" t="s">
        <v>14</v>
      </c>
      <c r="E801" s="4">
        <v>1</v>
      </c>
      <c r="F801" s="1" cm="1">
        <f t="array" ref="F801">_xlfn.IFS(D801="Tea", 40, D801="Coffee", 60, D801="Bakery", 100, D801="Beverages", 80)</f>
        <v>80</v>
      </c>
      <c r="G801" s="1">
        <f t="shared" si="12"/>
        <v>80</v>
      </c>
      <c r="H801" s="1" t="s">
        <v>25</v>
      </c>
      <c r="I801" s="1" t="s">
        <v>26</v>
      </c>
      <c r="J801" s="1">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working space</vt:lpstr>
      <vt:lpstr>dashboard</vt:lpstr>
      <vt:lpstr>COFFEE 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vishwas9302821830@outlook.com</dc:creator>
  <cp:lastModifiedBy>Vishwas Sharma</cp:lastModifiedBy>
  <dcterms:created xsi:type="dcterms:W3CDTF">2026-08-23T10:20:04Z</dcterms:created>
  <dcterms:modified xsi:type="dcterms:W3CDTF">2026-09-06T17:34:50Z</dcterms:modified>
</cp:coreProperties>
</file>