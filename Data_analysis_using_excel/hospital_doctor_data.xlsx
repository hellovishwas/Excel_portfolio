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WAS SHARMA\Documents\Xcel_portfolio\"/>
    </mc:Choice>
  </mc:AlternateContent>
  <xr:revisionPtr revIDLastSave="0" documentId="8_{8C101CCE-E599-47E2-97B2-EA7C7E2E3D4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ospital_fil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2" i="1" l="1" a="1"/>
  <c r="J12" i="1" s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X11" i="1"/>
  <c r="W11" i="1"/>
  <c r="W10" i="1"/>
  <c r="W9" i="1"/>
  <c r="W8" i="1"/>
  <c r="W7" i="1"/>
  <c r="W6" i="1"/>
  <c r="AB5" i="1"/>
  <c r="AA5" i="1"/>
  <c r="Z5" i="1"/>
  <c r="Y5" i="1"/>
  <c r="X5" i="1"/>
  <c r="W5" i="1"/>
  <c r="AA4" i="1"/>
  <c r="Z4" i="1"/>
  <c r="Y4" i="1"/>
  <c r="X4" i="1"/>
  <c r="W4" i="1"/>
  <c r="W3" i="1"/>
  <c r="W2" i="1"/>
  <c r="K16" i="1" a="1"/>
  <c r="M16" i="1" s="1"/>
  <c r="K14" i="1" a="1"/>
  <c r="K14" i="1" s="1"/>
  <c r="J10" i="1" a="1"/>
  <c r="L10" i="1" s="1"/>
  <c r="J7" i="1" a="1"/>
  <c r="L7" i="1" s="1"/>
  <c r="K4" i="1" a="1"/>
  <c r="L4" i="1" s="1"/>
  <c r="K10" i="1" l="1"/>
  <c r="J7" i="1"/>
  <c r="K7" i="1"/>
  <c r="J10" i="1"/>
  <c r="L12" i="1"/>
  <c r="K12" i="1"/>
  <c r="M4" i="1"/>
  <c r="K4" i="1"/>
  <c r="O4" i="1"/>
  <c r="N16" i="1"/>
  <c r="N4" i="1"/>
  <c r="L14" i="1"/>
  <c r="O16" i="1"/>
  <c r="M14" i="1"/>
  <c r="P16" i="1"/>
  <c r="K16" i="1"/>
  <c r="N14" i="1"/>
  <c r="L16" i="1"/>
</calcChain>
</file>

<file path=xl/sharedStrings.xml><?xml version="1.0" encoding="utf-8"?>
<sst xmlns="http://schemas.openxmlformats.org/spreadsheetml/2006/main" count="84" uniqueCount="57">
  <si>
    <t>Hospital Department</t>
  </si>
  <si>
    <t>EMP ID</t>
  </si>
  <si>
    <t>Doctor Name</t>
  </si>
  <si>
    <t>Department</t>
  </si>
  <si>
    <t>Age</t>
  </si>
  <si>
    <t>Gender</t>
  </si>
  <si>
    <t>Salary</t>
  </si>
  <si>
    <t>Mobile No</t>
  </si>
  <si>
    <t>Bonus</t>
  </si>
  <si>
    <t>EMP101</t>
  </si>
  <si>
    <t>Amit</t>
  </si>
  <si>
    <t>Cardiology</t>
  </si>
  <si>
    <t>Male</t>
  </si>
  <si>
    <t>EMP102</t>
  </si>
  <si>
    <t>Neha</t>
  </si>
  <si>
    <t>Neurology</t>
  </si>
  <si>
    <t>Female</t>
  </si>
  <si>
    <t>EMP103</t>
  </si>
  <si>
    <t>Ram</t>
  </si>
  <si>
    <t>Orthopedics</t>
  </si>
  <si>
    <t>EMP104</t>
  </si>
  <si>
    <t>Pooja</t>
  </si>
  <si>
    <t>EMP105</t>
  </si>
  <si>
    <t>Pediatrics</t>
  </si>
  <si>
    <t>EMP106</t>
  </si>
  <si>
    <t>Anjali</t>
  </si>
  <si>
    <t>EMP107</t>
  </si>
  <si>
    <t>Vikram</t>
  </si>
  <si>
    <t>Dermatology</t>
  </si>
  <si>
    <t>EMP108</t>
  </si>
  <si>
    <t>Rahul</t>
  </si>
  <si>
    <t>EMP109</t>
  </si>
  <si>
    <t>Gynecology</t>
  </si>
  <si>
    <t>EMP110</t>
  </si>
  <si>
    <t>Poonam</t>
  </si>
  <si>
    <t>Q: Find the Age, Salary and Mobile No. of Neha using VLOOKUP.</t>
  </si>
  <si>
    <t>Q: Return the first three Doctor Names using HLOOKUP (matches the 'Doctor Name' header against itself).</t>
  </si>
  <si>
    <t>Q: Find the Name, Emp ID and Salary of the doctor aged 42 using VLOOKUP + CHOOSE.</t>
  </si>
  <si>
    <t>Q: Find the Emp ID, Department, Salary and Mobile No. of Vikram using VLOOKUP + CHOOSE.</t>
  </si>
  <si>
    <t>Q: Retrieve the full row of details for Emp ID EMP108 (Rahul) using VLOOKUP + CHOOSE.</t>
  </si>
  <si>
    <t>#</t>
  </si>
  <si>
    <t>Question</t>
  </si>
  <si>
    <t>Given / Input</t>
  </si>
  <si>
    <t>Answer</t>
  </si>
  <si>
    <t>Find the Salary of Pooja using VLOOKUP.</t>
  </si>
  <si>
    <t>Find a given field (e.g. Age) for a given Emp ID using VLOOKUP + MATCH (dynamic column).</t>
  </si>
  <si>
    <t>Find every field for a given employee Name using VLOOKUP + COLUMNS (dynamic column index).</t>
  </si>
  <si>
    <t>Find every field for a given Emp ID using VLOOKUP + COLUMN (dynamic column index).</t>
  </si>
  <si>
    <t>Use HLOOKUP to find the Salary column's 5th data row (Pooja) - matches the 'Salary' header against itself.</t>
  </si>
  <si>
    <t>Find the Salary of a given Emp ID using VLOOKUP (fixed column index).</t>
  </si>
  <si>
    <t>Find the Gender of a given employee Name using HLOOKUP + MATCH.</t>
  </si>
  <si>
    <t>Retrieve Name, Designation, Age, Gender and Salary for the employee in row 9 (Anjali) using VLOOKUP (array).</t>
  </si>
  <si>
    <t>Find a given field (e.g. Salary) for a given employee Name using VLOOKUP + MATCH (dynamic column).</t>
  </si>
  <si>
    <t>Retrieve every field for a given Emp ID using VLOOKUP + COLUMNS (dynamic column index).</t>
  </si>
  <si>
    <t>Same exercise (retrieve every field) for a different Emp ID.</t>
  </si>
  <si>
    <t>Find the combined Salary + Bonus (Sum / Min / Max / Average) for a given employee Name, using VLOOKUP with multiple return columns.</t>
  </si>
  <si>
    <t>Q.All details of acc to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</si>
</sst>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1"/>
      <color theme="1"/>
      <name val="Calibri"/>
      <charset val="134"/>
    </font>
    <font>
      <b/>
      <sz val="13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64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horizontal="justify" vertical="center" wrapText="1"/>
    </xf>
    <xf numFmtId="0" fontId="6" fillId="0" borderId="10" xfId="0" applyFont="1" applyBorder="1">
      <alignment vertical="center"/>
    </xf>
    <xf numFmtId="0" fontId="6" fillId="0" borderId="7" xfId="0" applyFont="1" applyBorder="1" applyAlignment="1"/>
    <xf numFmtId="0" fontId="6" fillId="0" borderId="7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0" xfId="0" applyFont="1" applyAlignment="1"/>
    <xf numFmtId="0" fontId="4" fillId="0" borderId="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8" xfId="0" applyFont="1" applyBorder="1" applyAlignment="1"/>
    <xf numFmtId="0" fontId="4" fillId="0" borderId="9" xfId="0" applyFont="1" applyBorder="1" applyAlignment="1"/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Border="1" applyAlignment="1"/>
    <xf numFmtId="0" fontId="4" fillId="0" borderId="11" xfId="0" applyFont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>
      <alignment vertical="center" wrapText="1"/>
    </xf>
    <xf numFmtId="0" fontId="6" fillId="0" borderId="7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4F4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tabSelected="1" zoomScale="49" zoomScaleNormal="40" workbookViewId="0">
      <selection activeCell="J32" sqref="J32"/>
    </sheetView>
  </sheetViews>
  <sheetFormatPr defaultColWidth="8.90625" defaultRowHeight="14.5"/>
  <cols>
    <col min="1" max="1" width="10" style="1" customWidth="1"/>
    <col min="2" max="3" width="14" style="1" customWidth="1"/>
    <col min="4" max="4" width="7" style="1" customWidth="1"/>
    <col min="5" max="5" width="9" style="1" customWidth="1"/>
    <col min="6" max="6" width="10" style="1" customWidth="1"/>
    <col min="7" max="7" width="14" style="1" customWidth="1"/>
    <col min="8" max="8" width="8" style="1" customWidth="1"/>
    <col min="9" max="9" width="13" style="1" customWidth="1"/>
    <col min="10" max="10" width="97.36328125" style="1" bestFit="1" customWidth="1"/>
    <col min="11" max="11" width="11.7265625" style="1" bestFit="1" customWidth="1"/>
    <col min="12" max="12" width="12.26953125" style="1" bestFit="1" customWidth="1"/>
    <col min="13" max="13" width="7.7265625" style="1" bestFit="1" customWidth="1"/>
    <col min="14" max="16" width="12.08984375" style="1" bestFit="1" customWidth="1"/>
    <col min="19" max="19" width="5.1796875" bestFit="1" customWidth="1"/>
    <col min="20" max="20" width="117.26953125" bestFit="1" customWidth="1"/>
    <col min="21" max="21" width="11.1796875" bestFit="1" customWidth="1"/>
    <col min="22" max="22" width="7.6328125" bestFit="1" customWidth="1"/>
    <col min="23" max="23" width="13.1796875" bestFit="1" customWidth="1"/>
    <col min="24" max="24" width="12.7265625" bestFit="1" customWidth="1"/>
    <col min="25" max="25" width="9.7265625" bestFit="1" customWidth="1"/>
    <col min="26" max="26" width="11.1796875" bestFit="1" customWidth="1"/>
    <col min="27" max="28" width="17.7265625" bestFit="1" customWidth="1"/>
  </cols>
  <sheetData>
    <row r="1" spans="1:28" ht="15.75" customHeight="1">
      <c r="A1" s="2" t="s">
        <v>0</v>
      </c>
      <c r="B1" s="3"/>
      <c r="S1" s="15" t="s">
        <v>40</v>
      </c>
      <c r="T1" s="15" t="s">
        <v>41</v>
      </c>
      <c r="U1" s="16" t="s">
        <v>42</v>
      </c>
      <c r="V1" s="16"/>
      <c r="W1" s="16" t="s">
        <v>43</v>
      </c>
      <c r="X1" s="16"/>
      <c r="Y1" s="16"/>
      <c r="Z1" s="16"/>
      <c r="AA1" s="16"/>
      <c r="AB1" s="16"/>
    </row>
    <row r="2" spans="1:28" ht="15" thickBot="1">
      <c r="S2" s="17">
        <v>1</v>
      </c>
      <c r="T2" s="18" t="s">
        <v>44</v>
      </c>
      <c r="U2" s="19"/>
      <c r="V2" s="19"/>
      <c r="W2" s="20">
        <f>VLOOKUP(B7,B3:G13,5,0)</f>
        <v>120000</v>
      </c>
      <c r="X2" s="21"/>
      <c r="Y2" s="21"/>
      <c r="Z2" s="21"/>
      <c r="AA2" s="21"/>
      <c r="AB2" s="21"/>
    </row>
    <row r="3" spans="1:28" ht="28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J3" s="36" t="s">
        <v>56</v>
      </c>
      <c r="K3" s="22"/>
      <c r="L3" s="22"/>
      <c r="M3" s="22"/>
      <c r="N3" s="22"/>
      <c r="O3" s="23"/>
      <c r="P3" s="24"/>
      <c r="S3" s="17">
        <v>2</v>
      </c>
      <c r="T3" s="18" t="s">
        <v>45</v>
      </c>
      <c r="U3" s="19" t="s">
        <v>24</v>
      </c>
      <c r="V3" s="19" t="s">
        <v>4</v>
      </c>
      <c r="W3" s="20">
        <f>VLOOKUP(U3,A3:G13,MATCH(V3,A3:G3,0),0)</f>
        <v>38</v>
      </c>
      <c r="X3" s="21"/>
      <c r="Y3" s="21"/>
      <c r="Z3" s="21"/>
      <c r="AA3" s="21"/>
      <c r="AB3" s="21"/>
    </row>
    <row r="4" spans="1:28" ht="14.25" customHeight="1">
      <c r="A4" s="5" t="s">
        <v>9</v>
      </c>
      <c r="B4" s="5" t="s">
        <v>10</v>
      </c>
      <c r="C4" s="5" t="s">
        <v>11</v>
      </c>
      <c r="D4" s="5">
        <v>45</v>
      </c>
      <c r="E4" s="5" t="s">
        <v>12</v>
      </c>
      <c r="F4" s="5">
        <v>120000</v>
      </c>
      <c r="G4" s="5">
        <v>9876543210</v>
      </c>
      <c r="H4" s="7">
        <v>9095</v>
      </c>
      <c r="I4" s="10"/>
      <c r="J4" s="12" t="s">
        <v>18</v>
      </c>
      <c r="K4" s="25" t="str">
        <f t="array" ref="K4:O4">VLOOKUP(J4,B3:G13,{2,3,4,5,6},0)</f>
        <v>Orthopedics</v>
      </c>
      <c r="L4" s="25">
        <v>50</v>
      </c>
      <c r="M4" s="25" t="str">
        <v>Male</v>
      </c>
      <c r="N4" s="25">
        <v>130000</v>
      </c>
      <c r="O4" s="26">
        <v>9876543212</v>
      </c>
      <c r="P4" s="24"/>
      <c r="S4" s="17">
        <v>3</v>
      </c>
      <c r="T4" s="18" t="s">
        <v>46</v>
      </c>
      <c r="U4" s="19" t="s">
        <v>27</v>
      </c>
      <c r="V4" s="19"/>
      <c r="W4" s="20" t="str">
        <f>VLOOKUP($U$4,$B$3:$G$13,COLUMNS($A$3:B3),0)</f>
        <v>Dermatology</v>
      </c>
      <c r="X4" s="20">
        <f>VLOOKUP($U$4,$B$3:$G$13,COLUMNS($A$3:C3),0)</f>
        <v>42</v>
      </c>
      <c r="Y4" s="20" t="str">
        <f>VLOOKUP($U$4,$B$3:$G$13,COLUMNS($A$3:D3),0)</f>
        <v>Male</v>
      </c>
      <c r="Z4" s="20">
        <f>VLOOKUP($U$4,$B$3:$G$13,COLUMNS($A$3:E3),0)</f>
        <v>105000</v>
      </c>
      <c r="AA4" s="20">
        <f>VLOOKUP($U$4,$B$3:$G$13,COLUMNS($A$3:F3),0)</f>
        <v>9876543216</v>
      </c>
      <c r="AB4" s="21"/>
    </row>
    <row r="5" spans="1:28" ht="14.25" customHeight="1" thickBot="1">
      <c r="A5" s="5" t="s">
        <v>13</v>
      </c>
      <c r="B5" s="5" t="s">
        <v>14</v>
      </c>
      <c r="C5" s="5" t="s">
        <v>15</v>
      </c>
      <c r="D5" s="5">
        <v>38</v>
      </c>
      <c r="E5" s="5" t="s">
        <v>16</v>
      </c>
      <c r="F5" s="5">
        <v>110000</v>
      </c>
      <c r="G5" s="5">
        <v>9876543211</v>
      </c>
      <c r="H5" s="7">
        <v>9373</v>
      </c>
      <c r="I5" s="8"/>
      <c r="J5" s="13"/>
      <c r="K5" s="27"/>
      <c r="L5" s="27"/>
      <c r="M5" s="27"/>
      <c r="N5" s="27"/>
      <c r="O5" s="28"/>
      <c r="P5" s="24"/>
      <c r="S5" s="17">
        <v>4</v>
      </c>
      <c r="T5" s="18" t="s">
        <v>47</v>
      </c>
      <c r="U5" s="19" t="s">
        <v>17</v>
      </c>
      <c r="V5" s="19"/>
      <c r="W5" s="20" t="str">
        <f>VLOOKUP($U$5,$A$3:$G$13,COLUMN(B3),0)</f>
        <v>Ram</v>
      </c>
      <c r="X5" s="20" t="str">
        <f>VLOOKUP($U$5,$A$3:$G$13,COLUMN(C3),0)</f>
        <v>Orthopedics</v>
      </c>
      <c r="Y5" s="20">
        <f>VLOOKUP($U$5,$A$3:$G$13,COLUMN(D3),0)</f>
        <v>50</v>
      </c>
      <c r="Z5" s="20" t="str">
        <f>VLOOKUP($U$5,$A$3:$G$13,COLUMN(E3),0)</f>
        <v>Male</v>
      </c>
      <c r="AA5" s="20">
        <f>VLOOKUP($U$5,$A$3:$G$13,COLUMN(F3),0)</f>
        <v>130000</v>
      </c>
      <c r="AB5" s="20">
        <f>VLOOKUP($U$5,$A$3:$G$13,COLUMN(G3),0)</f>
        <v>9876543212</v>
      </c>
    </row>
    <row r="6" spans="1:28" ht="14.25" customHeight="1">
      <c r="A6" s="5" t="s">
        <v>17</v>
      </c>
      <c r="B6" s="5" t="s">
        <v>18</v>
      </c>
      <c r="C6" s="5" t="s">
        <v>19</v>
      </c>
      <c r="D6" s="5">
        <v>50</v>
      </c>
      <c r="E6" s="5" t="s">
        <v>12</v>
      </c>
      <c r="F6" s="5">
        <v>130000</v>
      </c>
      <c r="G6" s="5">
        <v>9876543212</v>
      </c>
      <c r="H6" s="7">
        <v>9950</v>
      </c>
      <c r="I6" s="9"/>
      <c r="J6" s="37" t="s">
        <v>35</v>
      </c>
      <c r="K6" s="29"/>
      <c r="L6" s="30"/>
      <c r="M6" s="24"/>
      <c r="N6" s="24"/>
      <c r="O6" s="24"/>
      <c r="P6" s="24"/>
      <c r="S6" s="17">
        <v>5</v>
      </c>
      <c r="T6" s="18" t="s">
        <v>48</v>
      </c>
      <c r="U6" s="19"/>
      <c r="V6" s="19"/>
      <c r="W6" s="20">
        <f>HLOOKUP(F3,B3:G13,5,0)</f>
        <v>120000</v>
      </c>
      <c r="X6" s="21"/>
      <c r="Y6" s="21"/>
      <c r="Z6" s="21"/>
      <c r="AA6" s="21"/>
      <c r="AB6" s="21"/>
    </row>
    <row r="7" spans="1:28" ht="14.25" customHeight="1" thickBot="1">
      <c r="A7" s="5" t="s">
        <v>20</v>
      </c>
      <c r="B7" s="5" t="s">
        <v>21</v>
      </c>
      <c r="C7" s="5" t="s">
        <v>11</v>
      </c>
      <c r="D7" s="5">
        <v>45</v>
      </c>
      <c r="E7" s="5" t="s">
        <v>16</v>
      </c>
      <c r="F7" s="5">
        <v>120000</v>
      </c>
      <c r="G7" s="5">
        <v>9876543213</v>
      </c>
      <c r="H7" s="7">
        <v>9683</v>
      </c>
      <c r="I7" s="8"/>
      <c r="J7" s="14">
        <f t="array" ref="J7:L7">VLOOKUP(B5,B3:G13,{3,5,6},0)</f>
        <v>38</v>
      </c>
      <c r="K7" s="31">
        <v>110000</v>
      </c>
      <c r="L7" s="32">
        <v>9876543211</v>
      </c>
      <c r="M7" s="33"/>
      <c r="N7" s="33"/>
      <c r="O7" s="24"/>
      <c r="P7" s="24"/>
      <c r="S7" s="17">
        <v>6</v>
      </c>
      <c r="T7" s="18" t="s">
        <v>49</v>
      </c>
      <c r="U7" s="19" t="s">
        <v>20</v>
      </c>
      <c r="V7" s="19"/>
      <c r="W7" s="20">
        <f>VLOOKUP(U7,A3:G13,6,0)</f>
        <v>120000</v>
      </c>
      <c r="X7" s="21"/>
      <c r="Y7" s="21"/>
      <c r="Z7" s="21"/>
      <c r="AA7" s="21"/>
      <c r="AB7" s="21"/>
    </row>
    <row r="8" spans="1:28" ht="14.25" customHeight="1">
      <c r="A8" s="5" t="s">
        <v>22</v>
      </c>
      <c r="B8" s="5" t="s">
        <v>10</v>
      </c>
      <c r="C8" s="5" t="s">
        <v>23</v>
      </c>
      <c r="D8" s="5">
        <v>35</v>
      </c>
      <c r="E8" s="5" t="s">
        <v>12</v>
      </c>
      <c r="F8" s="5">
        <v>95000</v>
      </c>
      <c r="G8" s="5">
        <v>9876543214</v>
      </c>
      <c r="H8" s="7">
        <v>9928</v>
      </c>
      <c r="I8" s="9"/>
      <c r="J8" s="37" t="s">
        <v>36</v>
      </c>
      <c r="K8" s="29"/>
      <c r="L8" s="30"/>
      <c r="M8" s="24"/>
      <c r="N8" s="24"/>
      <c r="O8" s="24"/>
      <c r="P8" s="24"/>
      <c r="S8" s="17">
        <v>7</v>
      </c>
      <c r="T8" s="18" t="s">
        <v>50</v>
      </c>
      <c r="U8" s="19" t="s">
        <v>27</v>
      </c>
      <c r="V8" s="19"/>
      <c r="W8" s="20" t="str">
        <f>HLOOKUP(E3,B3:G13,MATCH(U8,B3:B13,0),0)</f>
        <v>Male</v>
      </c>
      <c r="X8" s="21"/>
      <c r="Y8" s="21"/>
      <c r="Z8" s="21"/>
      <c r="AA8" s="21"/>
      <c r="AB8" s="21"/>
    </row>
    <row r="9" spans="1:28" ht="14.25" customHeight="1">
      <c r="A9" s="5" t="s">
        <v>24</v>
      </c>
      <c r="B9" s="5" t="s">
        <v>25</v>
      </c>
      <c r="C9" s="5" t="s">
        <v>15</v>
      </c>
      <c r="D9" s="5">
        <v>38</v>
      </c>
      <c r="E9" s="5" t="s">
        <v>16</v>
      </c>
      <c r="F9" s="5">
        <v>110000</v>
      </c>
      <c r="G9" s="5">
        <v>9876543215</v>
      </c>
      <c r="H9" s="7">
        <v>9360</v>
      </c>
      <c r="I9" s="10"/>
      <c r="J9" s="12"/>
      <c r="K9" s="34"/>
      <c r="L9" s="35"/>
      <c r="M9" s="33"/>
      <c r="N9" s="33"/>
      <c r="O9" s="33"/>
      <c r="P9" s="33"/>
      <c r="S9" s="17">
        <v>8</v>
      </c>
      <c r="T9" s="18" t="s">
        <v>51</v>
      </c>
      <c r="U9" s="19"/>
      <c r="V9" s="19"/>
      <c r="W9" s="20" t="str">
        <f>VLOOKUP(B9,B3:G13,{1,2,3,4,5},0)</f>
        <v>Anjali</v>
      </c>
      <c r="X9" s="21"/>
      <c r="Y9" s="21"/>
      <c r="Z9" s="21"/>
      <c r="AA9" s="21"/>
      <c r="AB9" s="21"/>
    </row>
    <row r="10" spans="1:28" ht="14.25" customHeight="1" thickBot="1">
      <c r="A10" s="5" t="s">
        <v>26</v>
      </c>
      <c r="B10" s="5" t="s">
        <v>27</v>
      </c>
      <c r="C10" s="5" t="s">
        <v>28</v>
      </c>
      <c r="D10" s="5">
        <v>42</v>
      </c>
      <c r="E10" s="5" t="s">
        <v>12</v>
      </c>
      <c r="F10" s="5">
        <v>105000</v>
      </c>
      <c r="G10" s="5">
        <v>9876543216</v>
      </c>
      <c r="H10" s="6">
        <v>9396</v>
      </c>
      <c r="J10" s="14" t="str">
        <f t="array" ref="J10:L10">HLOOKUP(B3,B3:G13,{2,3,4},0)</f>
        <v>Amit</v>
      </c>
      <c r="K10" s="31" t="str">
        <v>Neha</v>
      </c>
      <c r="L10" s="32" t="str">
        <v>Ram</v>
      </c>
      <c r="M10" s="24"/>
      <c r="N10" s="24"/>
      <c r="O10" s="24"/>
      <c r="P10" s="24"/>
      <c r="S10" s="17">
        <v>9</v>
      </c>
      <c r="T10" s="18" t="s">
        <v>52</v>
      </c>
      <c r="U10" s="19" t="s">
        <v>25</v>
      </c>
      <c r="V10" s="19" t="s">
        <v>6</v>
      </c>
      <c r="W10" s="20">
        <f>VLOOKUP(U10,B3:G13,MATCH(V10,B3:G3,0),0)</f>
        <v>110000</v>
      </c>
      <c r="X10" s="21"/>
      <c r="Y10" s="21"/>
      <c r="Z10" s="21"/>
      <c r="AA10" s="21"/>
      <c r="AB10" s="21"/>
    </row>
    <row r="11" spans="1:28" ht="14.25" customHeight="1">
      <c r="A11" s="5" t="s">
        <v>29</v>
      </c>
      <c r="B11" s="5" t="s">
        <v>30</v>
      </c>
      <c r="C11" s="5" t="s">
        <v>19</v>
      </c>
      <c r="D11" s="5">
        <v>50</v>
      </c>
      <c r="E11" s="5" t="s">
        <v>12</v>
      </c>
      <c r="F11" s="5">
        <v>130000</v>
      </c>
      <c r="G11" s="5">
        <v>9876543217</v>
      </c>
      <c r="H11" s="6">
        <v>9845</v>
      </c>
      <c r="J11" s="37" t="s">
        <v>37</v>
      </c>
      <c r="K11" s="29"/>
      <c r="L11" s="30"/>
      <c r="M11" s="24"/>
      <c r="N11" s="24"/>
      <c r="O11" s="24"/>
      <c r="P11" s="24"/>
      <c r="S11" s="17">
        <v>10</v>
      </c>
      <c r="T11" s="18" t="s">
        <v>53</v>
      </c>
      <c r="U11" s="19" t="s">
        <v>24</v>
      </c>
      <c r="V11" s="19"/>
      <c r="W11" s="20" t="str">
        <f>VLOOKUP($U$11,$A$3:$G$13,COLUMNS($B$3:B3),0)</f>
        <v>EMP106</v>
      </c>
      <c r="X11" s="20" t="str">
        <f>VLOOKUP($U$11,$A$3:$G$13,COLUMNS($A$3:C3),0)</f>
        <v>Neurology</v>
      </c>
      <c r="Y11" s="20">
        <f>VLOOKUP($U$11,$A$3:$G$13,COLUMNS($A$3:D3),0)</f>
        <v>38</v>
      </c>
      <c r="Z11" s="20" t="str">
        <f>VLOOKUP($U$11,$A$3:$G$13,COLUMNS($A$3:E3),0)</f>
        <v>Female</v>
      </c>
      <c r="AA11" s="20">
        <f>VLOOKUP($U$11,$A$3:$G$13,COLUMNS($A$3:F3),0)</f>
        <v>110000</v>
      </c>
      <c r="AB11" s="20">
        <f>VLOOKUP($U$11,$A$3:$G$13,COLUMNS($A$3:G3),0)</f>
        <v>9876543215</v>
      </c>
    </row>
    <row r="12" spans="1:28" ht="14.25" customHeight="1" thickBot="1">
      <c r="A12" s="5" t="s">
        <v>31</v>
      </c>
      <c r="B12" s="5" t="s">
        <v>25</v>
      </c>
      <c r="C12" s="5" t="s">
        <v>32</v>
      </c>
      <c r="D12" s="5">
        <v>37</v>
      </c>
      <c r="E12" s="5" t="s">
        <v>16</v>
      </c>
      <c r="F12" s="5">
        <v>100000</v>
      </c>
      <c r="G12" s="5">
        <v>9876543218</v>
      </c>
      <c r="H12" s="6">
        <v>9279</v>
      </c>
      <c r="J12" s="38" t="str">
        <f t="array" ref="J12:L12">VLOOKUP(D10,CHOOSE({1,2,3,4},D3:D13,B3:B13,A3:A13,F3:F13),{2,3,4},0)</f>
        <v>Vikram</v>
      </c>
      <c r="K12" s="31" t="str">
        <v>EMP107</v>
      </c>
      <c r="L12" s="32">
        <v>105000</v>
      </c>
      <c r="M12" s="24"/>
      <c r="N12" s="24"/>
      <c r="O12" s="24"/>
      <c r="P12" s="24"/>
      <c r="S12" s="17">
        <v>11</v>
      </c>
      <c r="T12" s="18" t="s">
        <v>54</v>
      </c>
      <c r="U12" s="19" t="s">
        <v>26</v>
      </c>
      <c r="V12" s="19"/>
      <c r="W12" s="20" t="str">
        <f>VLOOKUP($U$12,$A$3:$G$13,COLUMNS($B$3:B3),0)</f>
        <v>EMP107</v>
      </c>
      <c r="X12" s="20" t="str">
        <f>VLOOKUP($U$12,$A$3:$G$13,COLUMNS($B$3:C3),0)</f>
        <v>Vikram</v>
      </c>
      <c r="Y12" s="20">
        <f>VLOOKUP($U$12,$A$3:$G$13,COLUMNS($A$3:D3),0)</f>
        <v>42</v>
      </c>
      <c r="Z12" s="20" t="str">
        <f>VLOOKUP($U$12,$A$3:$G$13,COLUMNS($A$3:E3),0)</f>
        <v>Male</v>
      </c>
      <c r="AA12" s="20">
        <f>VLOOKUP($U$12,$A$3:$G$13,COLUMNS($A$3:F3),0)</f>
        <v>105000</v>
      </c>
      <c r="AB12" s="20">
        <f>VLOOKUP($U$12,$A$3:$G$13,COLUMNS($A$3:G3),0)</f>
        <v>9876543216</v>
      </c>
    </row>
    <row r="13" spans="1:28" ht="28.5" customHeight="1">
      <c r="A13" s="5" t="s">
        <v>33</v>
      </c>
      <c r="B13" s="5" t="s">
        <v>34</v>
      </c>
      <c r="C13" s="5" t="s">
        <v>23</v>
      </c>
      <c r="D13" s="5">
        <v>35</v>
      </c>
      <c r="E13" s="5" t="s">
        <v>16</v>
      </c>
      <c r="F13" s="5">
        <v>95000</v>
      </c>
      <c r="G13" s="5">
        <v>9876543219</v>
      </c>
      <c r="H13" s="7">
        <v>9474</v>
      </c>
      <c r="J13" s="37" t="s">
        <v>38</v>
      </c>
      <c r="K13" s="29"/>
      <c r="L13" s="29"/>
      <c r="M13" s="29"/>
      <c r="N13" s="30"/>
      <c r="O13" s="24"/>
      <c r="P13" s="24"/>
      <c r="S13" s="17">
        <v>12</v>
      </c>
      <c r="T13" s="18" t="s">
        <v>55</v>
      </c>
      <c r="U13" s="19" t="s">
        <v>34</v>
      </c>
      <c r="V13" s="19"/>
      <c r="W13" s="20">
        <f>SUM(VLOOKUP(U13,B3:H13,{5,7},0))</f>
        <v>95000</v>
      </c>
      <c r="X13" s="20">
        <f>MIN(VLOOKUP(U13,B3:H13,{5,7},0))</f>
        <v>95000</v>
      </c>
      <c r="Y13" s="20">
        <f>MAX(VLOOKUP(U13,B3:H13,{5,7},0))</f>
        <v>95000</v>
      </c>
      <c r="Z13" s="20">
        <f>AVERAGE(VLOOKUP(U13,B3:H13,{5,7},0))</f>
        <v>95000</v>
      </c>
      <c r="AA13" s="21"/>
      <c r="AB13" s="21"/>
    </row>
    <row r="14" spans="1:28" ht="14.25" customHeight="1" thickBot="1">
      <c r="J14" s="14" t="s">
        <v>27</v>
      </c>
      <c r="K14" s="31" t="str">
        <f t="array" ref="K14:N14">VLOOKUP(J14,CHOOSE({1,2,3,4,5},B3:B13,A3:A13,C3:C13,F3:F13,G3:G13),{2,3,4,5},0)</f>
        <v>EMP107</v>
      </c>
      <c r="L14" s="31" t="str">
        <v>Dermatology</v>
      </c>
      <c r="M14" s="31">
        <v>105000</v>
      </c>
      <c r="N14" s="32">
        <v>9876543216</v>
      </c>
      <c r="O14" s="24"/>
      <c r="P14" s="24"/>
    </row>
    <row r="15" spans="1:28" ht="41.25" customHeight="1">
      <c r="J15" s="37" t="s">
        <v>39</v>
      </c>
      <c r="K15" s="29"/>
      <c r="L15" s="29"/>
      <c r="M15" s="29"/>
      <c r="N15" s="29"/>
      <c r="O15" s="29"/>
      <c r="P15" s="30"/>
    </row>
    <row r="16" spans="1:28" ht="36" customHeight="1" thickBot="1">
      <c r="J16" s="13"/>
      <c r="K16" s="31" t="str">
        <f t="array" ref="K16:P16">VLOOKUP(A11,CHOOSE({1,2,3,4,5,6,7},A3:A13,B3:B13,C3:C13,D3:D13,E3:E13,F3:F13,G3:G13),{2,3,4,5,6,7},0)</f>
        <v>Rahul</v>
      </c>
      <c r="L16" s="31" t="str">
        <v>Orthopedics</v>
      </c>
      <c r="M16" s="31">
        <v>50</v>
      </c>
      <c r="N16" s="31" t="str">
        <v>Male</v>
      </c>
      <c r="O16" s="31">
        <v>130000</v>
      </c>
      <c r="P16" s="32">
        <v>9876543217</v>
      </c>
    </row>
    <row r="17" spans="1:12" ht="14.25" customHeight="1"/>
    <row r="18" spans="1:12" ht="14.25" customHeight="1">
      <c r="F18"/>
      <c r="G18"/>
    </row>
    <row r="19" spans="1:12" ht="14.25" customHeight="1">
      <c r="C19" s="10"/>
      <c r="D19"/>
      <c r="K19"/>
      <c r="L19"/>
    </row>
    <row r="20" spans="1:12" ht="14.25" customHeight="1">
      <c r="C20" s="9"/>
      <c r="G20"/>
    </row>
    <row r="21" spans="1:12" ht="14.25" customHeight="1">
      <c r="C21" s="10"/>
      <c r="D21"/>
      <c r="G21"/>
    </row>
    <row r="22" spans="1:12" ht="14.25" customHeight="1">
      <c r="C22" s="11"/>
      <c r="D22"/>
      <c r="G22"/>
    </row>
    <row r="23" spans="1:12">
      <c r="C23" s="9"/>
    </row>
    <row r="24" spans="1:12" ht="14.25" customHeight="1">
      <c r="A24"/>
      <c r="C24" s="10"/>
      <c r="D24"/>
      <c r="E24"/>
      <c r="F24"/>
      <c r="G24"/>
      <c r="H24"/>
    </row>
    <row r="25" spans="1:12">
      <c r="C25" s="9"/>
    </row>
    <row r="26" spans="1:12" ht="14.25" customHeight="1">
      <c r="A26"/>
      <c r="C26" s="10"/>
      <c r="D26"/>
      <c r="E26"/>
      <c r="F26"/>
      <c r="G26"/>
      <c r="H26"/>
    </row>
    <row r="27" spans="1:12" ht="27.75" customHeight="1"/>
    <row r="28" spans="1:12" ht="14.25" customHeight="1"/>
    <row r="29" spans="1:12" ht="21" customHeight="1"/>
    <row r="30" spans="1:12" ht="14.25" customHeight="1"/>
    <row r="33" ht="21" customHeight="1"/>
    <row r="34" ht="41.25" customHeight="1"/>
    <row r="35" ht="108.75" customHeight="1"/>
    <row r="36" ht="108.75" customHeight="1"/>
    <row r="37" ht="95.25" customHeight="1"/>
    <row r="38" ht="108.75" customHeight="1"/>
    <row r="39" ht="81.75" customHeight="1"/>
    <row r="40" ht="81.75" customHeight="1"/>
    <row r="41" ht="108.75" customHeight="1"/>
    <row r="42" ht="122.25" customHeight="1"/>
    <row r="43" ht="95.25" customHeight="1"/>
    <row r="44" ht="68.25" customHeight="1"/>
    <row r="45" ht="149.25" customHeight="1"/>
  </sheetData>
  <mergeCells count="2">
    <mergeCell ref="U1:V1"/>
    <mergeCell ref="W1:AB1"/>
  </mergeCells>
  <pageMargins left="0.75" right="0.75" top="1" bottom="1" header="0.511811023622047" footer="0.511811023622047"/>
  <pageSetup orientation="portrait" horizontalDpi="300" verticalDpi="30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praga</dc:creator>
  <dc:description/>
  <cp:lastModifiedBy>vishwas9302821830@outlook.com</cp:lastModifiedBy>
  <cp:revision>0</cp:revision>
  <dcterms:created xsi:type="dcterms:W3CDTF">2026-04-27T10:47:26Z</dcterms:created>
  <dcterms:modified xsi:type="dcterms:W3CDTF">2026-08-16T07:50:00Z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70188084E2A24C64B5D2953580327BB7_11</vt:lpwstr>
  </property>
  <property fmtid="{D5CDD505-2E9C-101B-9397-08002B2CF9AE}" pid="4" name="KSOProductBuildVer">
    <vt:lpwstr>1033-12.1.0.25242</vt:lpwstr>
  </property>
</Properties>
</file>