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S SHARMA\Documents\Xcel_portfolio\Data_analysis_using_excel\"/>
    </mc:Choice>
  </mc:AlternateContent>
  <xr:revisionPtr revIDLastSave="0" documentId="13_ncr:1_{E1DB532B-BD5B-43E0-A709-EB5A3073B11F}" xr6:coauthVersionLast="47" xr6:coauthVersionMax="47" xr10:uidLastSave="{00000000-0000-0000-0000-000000000000}"/>
  <bookViews>
    <workbookView xWindow="-110" yWindow="-110" windowWidth="19420" windowHeight="10300" tabRatio="500" firstSheet="4" activeTab="7" xr2:uid="{00000000-000D-0000-FFFF-FFFF00000000}"/>
  </bookViews>
  <sheets>
    <sheet name="employee" sheetId="1" r:id="rId1"/>
    <sheet name=" hlookup(employee_table)" sheetId="9" r:id="rId2"/>
    <sheet name="subtotal" sheetId="2" r:id="rId3"/>
    <sheet name="Vlookup(2)" sheetId="4" r:id="rId4"/>
    <sheet name="vlookup(3)" sheetId="5" r:id="rId5"/>
    <sheet name="approximate_match" sheetId="6" r:id="rId6"/>
    <sheet name="hlookup(2)" sheetId="7" r:id="rId7"/>
    <sheet name="Vlookup" sheetId="8" r:id="rId8"/>
  </sheets>
  <definedNames>
    <definedName name="_xlnm._FilterDatabase" localSheetId="2" hidden="1">subtotal!$A$3:$H$15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1" l="1" a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K4" i="1" a="1"/>
  <c r="K4" i="1" s="1"/>
  <c r="U7" i="4" a="1"/>
  <c r="U7" i="4" s="1"/>
  <c r="V5" i="4"/>
  <c r="K3" i="2"/>
  <c r="K2" i="2"/>
  <c r="Y3" i="1"/>
  <c r="C6" i="9"/>
  <c r="C1" i="9"/>
  <c r="M7" i="8"/>
  <c r="M21" i="8"/>
  <c r="M6" i="8"/>
  <c r="N6" i="8"/>
  <c r="N18" i="8"/>
  <c r="I40" i="7"/>
  <c r="I38" i="7"/>
  <c r="I39" i="7"/>
  <c r="I35" i="7"/>
  <c r="I36" i="7"/>
  <c r="I37" i="7"/>
  <c r="I34" i="7"/>
  <c r="D23" i="7"/>
  <c r="D27" i="7"/>
  <c r="D26" i="7"/>
  <c r="D24" i="7"/>
  <c r="D18" i="7"/>
  <c r="D13" i="7"/>
  <c r="D1" i="6"/>
  <c r="V14" i="4"/>
  <c r="W9" i="4"/>
  <c r="V3" i="4"/>
  <c r="V13" i="4"/>
  <c r="K6" i="2"/>
  <c r="K5" i="2"/>
  <c r="C3" i="9" a="1"/>
  <c r="C3" i="9" s="1"/>
  <c r="M14" i="8" a="1"/>
  <c r="N14" i="8" s="1"/>
  <c r="M12" i="8" a="1"/>
  <c r="P12" i="8" s="1"/>
  <c r="M11" i="8" a="1"/>
  <c r="P11" i="8" s="1"/>
  <c r="M10" i="8" a="1"/>
  <c r="M10" i="8" s="1"/>
  <c r="S6" i="8"/>
  <c r="R6" i="8"/>
  <c r="Q6" i="8"/>
  <c r="P6" i="8"/>
  <c r="O6" i="8"/>
  <c r="D29" i="7"/>
  <c r="D28" i="7"/>
  <c r="D25" i="7"/>
  <c r="D15" i="7" a="1"/>
  <c r="F15" i="7" s="1"/>
  <c r="G11" i="6"/>
  <c r="Q6" i="5" a="1"/>
  <c r="S6" i="5" s="1"/>
  <c r="S2" i="5"/>
  <c r="K4" i="2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I52" i="1"/>
  <c r="H52" i="1"/>
  <c r="I50" i="1"/>
  <c r="H50" i="1"/>
  <c r="G50" i="1"/>
  <c r="I49" i="1"/>
  <c r="B49" i="1" a="1"/>
  <c r="F52" i="1" s="1"/>
  <c r="B44" i="1" a="1"/>
  <c r="H46" i="1" s="1"/>
  <c r="B36" i="1" a="1"/>
  <c r="B41" i="1" s="1"/>
  <c r="B25" i="1" a="1"/>
  <c r="D33" i="1" s="1"/>
  <c r="E26" i="1" l="1"/>
  <c r="B31" i="1"/>
  <c r="I36" i="1"/>
  <c r="I40" i="1"/>
  <c r="B49" i="1"/>
  <c r="G51" i="1"/>
  <c r="D25" i="1"/>
  <c r="D29" i="1"/>
  <c r="D34" i="1"/>
  <c r="C39" i="1"/>
  <c r="B45" i="1"/>
  <c r="C26" i="1"/>
  <c r="C30" i="1"/>
  <c r="I39" i="1"/>
  <c r="D26" i="1"/>
  <c r="D30" i="1"/>
  <c r="C36" i="1"/>
  <c r="C40" i="1"/>
  <c r="I47" i="1"/>
  <c r="H51" i="1"/>
  <c r="C28" i="1"/>
  <c r="B33" i="1"/>
  <c r="I37" i="1"/>
  <c r="B42" i="1"/>
  <c r="G49" i="1"/>
  <c r="I51" i="1"/>
  <c r="H45" i="1"/>
  <c r="D27" i="1"/>
  <c r="B32" i="1"/>
  <c r="B37" i="1"/>
  <c r="I41" i="1"/>
  <c r="D28" i="1"/>
  <c r="C33" i="1"/>
  <c r="B38" i="1"/>
  <c r="C42" i="1"/>
  <c r="H49" i="1"/>
  <c r="G52" i="1"/>
  <c r="E28" i="1"/>
  <c r="B39" i="1"/>
  <c r="O10" i="8"/>
  <c r="O14" i="8"/>
  <c r="I45" i="1"/>
  <c r="I34" i="1"/>
  <c r="I33" i="1"/>
  <c r="I32" i="1"/>
  <c r="I31" i="1"/>
  <c r="I30" i="1"/>
  <c r="I29" i="1"/>
  <c r="I28" i="1"/>
  <c r="I27" i="1"/>
  <c r="I26" i="1"/>
  <c r="I25" i="1"/>
  <c r="B25" i="1"/>
  <c r="F34" i="1"/>
  <c r="F33" i="1"/>
  <c r="F32" i="1"/>
  <c r="F31" i="1"/>
  <c r="F30" i="1"/>
  <c r="F29" i="1"/>
  <c r="F28" i="1"/>
  <c r="F27" i="1"/>
  <c r="F26" i="1"/>
  <c r="F25" i="1"/>
  <c r="E34" i="1"/>
  <c r="E33" i="1"/>
  <c r="E32" i="1"/>
  <c r="E31" i="1"/>
  <c r="E30" i="1"/>
  <c r="H34" i="1"/>
  <c r="H33" i="1"/>
  <c r="H32" i="1"/>
  <c r="H31" i="1"/>
  <c r="H30" i="1"/>
  <c r="H29" i="1"/>
  <c r="H28" i="1"/>
  <c r="H27" i="1"/>
  <c r="H26" i="1"/>
  <c r="H25" i="1"/>
  <c r="G34" i="1"/>
  <c r="G33" i="1"/>
  <c r="G32" i="1"/>
  <c r="G31" i="1"/>
  <c r="G30" i="1"/>
  <c r="G29" i="1"/>
  <c r="G28" i="1"/>
  <c r="G27" i="1"/>
  <c r="G26" i="1"/>
  <c r="G25" i="1"/>
  <c r="B27" i="1"/>
  <c r="B29" i="1"/>
  <c r="C31" i="1"/>
  <c r="B34" i="1"/>
  <c r="C37" i="1"/>
  <c r="B40" i="1"/>
  <c r="I42" i="1"/>
  <c r="B46" i="1"/>
  <c r="C25" i="1"/>
  <c r="C27" i="1"/>
  <c r="C29" i="1"/>
  <c r="D31" i="1"/>
  <c r="C34" i="1"/>
  <c r="B44" i="1"/>
  <c r="G47" i="1"/>
  <c r="G46" i="1"/>
  <c r="G45" i="1"/>
  <c r="G44" i="1"/>
  <c r="D47" i="1"/>
  <c r="D46" i="1"/>
  <c r="D45" i="1"/>
  <c r="D44" i="1"/>
  <c r="C47" i="1"/>
  <c r="C46" i="1"/>
  <c r="C45" i="1"/>
  <c r="C44" i="1"/>
  <c r="F47" i="1"/>
  <c r="F46" i="1"/>
  <c r="F45" i="1"/>
  <c r="F44" i="1"/>
  <c r="E47" i="1"/>
  <c r="E46" i="1"/>
  <c r="E45" i="1"/>
  <c r="E44" i="1"/>
  <c r="I46" i="1"/>
  <c r="E25" i="1"/>
  <c r="E27" i="1"/>
  <c r="E29" i="1"/>
  <c r="C32" i="1"/>
  <c r="B36" i="1"/>
  <c r="C38" i="1"/>
  <c r="H44" i="1"/>
  <c r="B47" i="1"/>
  <c r="B26" i="1"/>
  <c r="B28" i="1"/>
  <c r="B30" i="1"/>
  <c r="D32" i="1"/>
  <c r="H42" i="1"/>
  <c r="H41" i="1"/>
  <c r="H40" i="1"/>
  <c r="H39" i="1"/>
  <c r="H38" i="1"/>
  <c r="H37" i="1"/>
  <c r="H36" i="1"/>
  <c r="E42" i="1"/>
  <c r="E41" i="1"/>
  <c r="E40" i="1"/>
  <c r="E39" i="1"/>
  <c r="E38" i="1"/>
  <c r="E37" i="1"/>
  <c r="E36" i="1"/>
  <c r="D42" i="1"/>
  <c r="D41" i="1"/>
  <c r="D40" i="1"/>
  <c r="D39" i="1"/>
  <c r="D38" i="1"/>
  <c r="D37" i="1"/>
  <c r="D36" i="1"/>
  <c r="G42" i="1"/>
  <c r="G41" i="1"/>
  <c r="G40" i="1"/>
  <c r="G39" i="1"/>
  <c r="G38" i="1"/>
  <c r="G37" i="1"/>
  <c r="G36" i="1"/>
  <c r="F42" i="1"/>
  <c r="F41" i="1"/>
  <c r="F40" i="1"/>
  <c r="F39" i="1"/>
  <c r="F38" i="1"/>
  <c r="F37" i="1"/>
  <c r="F36" i="1"/>
  <c r="I38" i="1"/>
  <c r="C41" i="1"/>
  <c r="I44" i="1"/>
  <c r="H47" i="1"/>
  <c r="N10" i="8"/>
  <c r="M12" i="8"/>
  <c r="P14" i="8"/>
  <c r="D3" i="9"/>
  <c r="P10" i="8"/>
  <c r="N12" i="8"/>
  <c r="Q14" i="8"/>
  <c r="E3" i="9"/>
  <c r="D15" i="7"/>
  <c r="M11" i="8"/>
  <c r="O12" i="8"/>
  <c r="R14" i="8"/>
  <c r="F3" i="9"/>
  <c r="C52" i="1"/>
  <c r="G3" i="9"/>
  <c r="E15" i="7"/>
  <c r="N11" i="8"/>
  <c r="M14" i="8"/>
  <c r="H3" i="9"/>
  <c r="Q6" i="5"/>
  <c r="D49" i="1"/>
  <c r="D50" i="1"/>
  <c r="D51" i="1"/>
  <c r="D52" i="1"/>
  <c r="E49" i="1"/>
  <c r="E50" i="1"/>
  <c r="E51" i="1"/>
  <c r="E52" i="1"/>
  <c r="R6" i="5"/>
  <c r="O11" i="8"/>
  <c r="I3" i="9"/>
  <c r="B50" i="1"/>
  <c r="B51" i="1"/>
  <c r="B52" i="1"/>
  <c r="C49" i="1"/>
  <c r="C50" i="1"/>
  <c r="C51" i="1"/>
  <c r="F49" i="1"/>
  <c r="F50" i="1"/>
  <c r="F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000-000001000000}">
      <text>
        <r>
          <rPr>
            <sz val="10"/>
            <rFont val="Arial"/>
            <family val="2"/>
          </rPr>
          <t xml:space="preserve">Pooja:
</t>
        </r>
      </text>
    </comment>
    <comment ref="C8" authorId="0" shapeId="0" xr:uid="{00000000-0006-0000-0000-000002000000}">
      <text>
        <r>
          <rPr>
            <sz val="10"/>
            <rFont val="Arial"/>
            <family val="2"/>
          </rPr>
          <t xml:space="preserve">Pooja: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100-000001000000}">
      <text>
        <r>
          <rPr>
            <sz val="10"/>
            <rFont val="Arial"/>
            <family val="2"/>
          </rPr>
          <t xml:space="preserve">Pooja:
</t>
        </r>
      </text>
    </comment>
    <comment ref="C8" authorId="0" shapeId="0" xr:uid="{00000000-0006-0000-0100-000002000000}">
      <text>
        <r>
          <rPr>
            <sz val="10"/>
            <rFont val="Arial"/>
            <family val="2"/>
          </rPr>
          <t xml:space="preserve">Pooja: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300-000001000000}">
      <text>
        <r>
          <rPr>
            <sz val="10"/>
            <rFont val="Arial"/>
            <family val="2"/>
          </rPr>
          <t xml:space="preserve">Pooja:
</t>
        </r>
      </text>
    </comment>
    <comment ref="K7" authorId="0" shapeId="0" xr:uid="{00000000-0006-0000-0300-000002000000}">
      <text>
        <r>
          <rPr>
            <sz val="10"/>
            <rFont val="Arial"/>
            <family val="2"/>
          </rPr>
          <t xml:space="preserve">Pooja:
</t>
        </r>
      </text>
    </comment>
    <comment ref="L8" authorId="0" shapeId="0" xr:uid="{00000000-0006-0000-0300-000003000000}">
      <text>
        <r>
          <rPr>
            <sz val="10"/>
            <rFont val="Arial"/>
            <family val="2"/>
          </rPr>
          <t xml:space="preserve">Pooja: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400-000001000000}">
      <text>
        <r>
          <rPr>
            <sz val="10"/>
            <rFont val="Arial"/>
            <family val="2"/>
          </rPr>
          <t xml:space="preserve">Pooja:
</t>
        </r>
      </text>
    </comment>
    <comment ref="I5" authorId="0" shapeId="0" xr:uid="{00000000-0006-0000-0400-000002000000}">
      <text>
        <r>
          <rPr>
            <sz val="10"/>
            <rFont val="Arial"/>
            <family val="2"/>
          </rPr>
          <t xml:space="preserve">Pooja:
</t>
        </r>
      </text>
    </comment>
    <comment ref="J6" authorId="0" shapeId="0" xr:uid="{00000000-0006-0000-0400-000003000000}">
      <text>
        <r>
          <rPr>
            <sz val="10"/>
            <rFont val="Arial"/>
            <family val="2"/>
          </rPr>
          <t xml:space="preserve">Pooja: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3" authorId="0" shapeId="0" xr:uid="{00000000-0006-0000-0600-000001000000}">
      <text>
        <r>
          <rPr>
            <sz val="10"/>
            <rFont val="Arial"/>
            <family val="2"/>
          </rPr>
          <t xml:space="preserve">Pooja:
</t>
        </r>
      </text>
    </comment>
    <comment ref="J4" authorId="0" shapeId="0" xr:uid="{00000000-0006-0000-0600-000002000000}">
      <text>
        <r>
          <rPr>
            <sz val="10"/>
            <rFont val="Arial"/>
            <family val="2"/>
          </rPr>
          <t xml:space="preserve">Pooja: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700-000001000000}">
      <text>
        <r>
          <rPr>
            <sz val="10"/>
            <rFont val="Arial"/>
            <family val="2"/>
          </rPr>
          <t xml:space="preserve">Pooja:
</t>
        </r>
      </text>
    </comment>
    <comment ref="C8" authorId="0" shapeId="0" xr:uid="{00000000-0006-0000-0700-000002000000}">
      <text>
        <r>
          <rPr>
            <sz val="10"/>
            <rFont val="Arial"/>
            <family val="2"/>
          </rPr>
          <t xml:space="preserve">Pooja: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<sst xmlns="http://schemas.openxmlformats.org/spreadsheetml/2006/main" count="496" uniqueCount="107">
  <si>
    <t>Employee Table</t>
  </si>
  <si>
    <t>Emp. ID</t>
  </si>
  <si>
    <t>Name</t>
  </si>
  <si>
    <t>Age</t>
  </si>
  <si>
    <t>Designation</t>
  </si>
  <si>
    <t>Department</t>
  </si>
  <si>
    <t>Salary</t>
  </si>
  <si>
    <t>Place</t>
  </si>
  <si>
    <t>Mob.No.</t>
  </si>
  <si>
    <t>Kapil Sharma</t>
  </si>
  <si>
    <t>Engineer</t>
  </si>
  <si>
    <t>Technical</t>
  </si>
  <si>
    <t>Indore</t>
  </si>
  <si>
    <t>Sunil Grover</t>
  </si>
  <si>
    <t>Accountant</t>
  </si>
  <si>
    <t>Finance</t>
  </si>
  <si>
    <t>Bhopal</t>
  </si>
  <si>
    <t>Kapil Singh</t>
  </si>
  <si>
    <t>CAD Designer</t>
  </si>
  <si>
    <t>Ali Asgar</t>
  </si>
  <si>
    <t>Sunil Singh</t>
  </si>
  <si>
    <t>ujjain</t>
  </si>
  <si>
    <t>Mohan Patel</t>
  </si>
  <si>
    <t>Ravi Verma</t>
  </si>
  <si>
    <t>Deepak Singh</t>
  </si>
  <si>
    <t>Q: Rearrange columns to show Salary, Age and Emp ID side-by-side using CHOOSE.</t>
  </si>
  <si>
    <t>Vikas Patel</t>
  </si>
  <si>
    <t>Gopal Jat</t>
  </si>
  <si>
    <t>Rohan Yadav</t>
  </si>
  <si>
    <t>Janwi Rai</t>
  </si>
  <si>
    <t>Q: Retrieve the full row of details for Emp ID 20012 using XLOOKUP (multi-column result).</t>
  </si>
  <si>
    <t>Q: List all employees older than 25 (Age &gt; 25) using FILTER.</t>
  </si>
  <si>
    <t>Q: List all employees in the Technical department using FILTER.</t>
  </si>
  <si>
    <t>Q: List all employees located in Bhopal using FILTER.</t>
  </si>
  <si>
    <t>Q: List all employees with Salary greater than 30000 using FILTER.</t>
  </si>
  <si>
    <t>#</t>
  </si>
  <si>
    <t>Question</t>
  </si>
  <si>
    <t>Given / Input</t>
  </si>
  <si>
    <t>Answer</t>
  </si>
  <si>
    <t>Retrieve the Name from row 4, column 2 of the data table using INDEX.</t>
  </si>
  <si>
    <t>Look up any field for a given Emp ID using INDEX + MATCH (dynamic row &amp; column lookup).</t>
  </si>
  <si>
    <t>Find the total salary of all employees (SUM).</t>
  </si>
  <si>
    <t>Find the minimum salary (MIN).</t>
  </si>
  <si>
    <t>Find the maximum salary (MAX).</t>
  </si>
  <si>
    <t>Find the average salary (AVERAGE).</t>
  </si>
  <si>
    <t>Find total salary of employees older than 25 (SUMIF).</t>
  </si>
  <si>
    <t>Find total salary of employees in the Technical department (SUMIF, using the first employee's department).</t>
  </si>
  <si>
    <t>Find total salary of Finance department employees older than 26 (SUMIFS).</t>
  </si>
  <si>
    <t>Count employees located in Bhopal (COUNTIF).</t>
  </si>
  <si>
    <t>Find the Emp ID of Mohan Patel using VLOOKUP (reverse lookup via CHOOSE).</t>
  </si>
  <si>
    <t>Find the Age of Emp ID 20012 using XLOOKUP.</t>
  </si>
  <si>
    <t>Find the employee Name whose Salary equals the given value (VLOOKUP, reverse lookup via CHOOSE).</t>
  </si>
  <si>
    <t>Find the Emp ID for the Mobile No. shown in the data table using VLOOKUP (reverse lookup via CHOOSE).</t>
  </si>
  <si>
    <t>Find the total salary of Technical department employees using SUM + FILTER.</t>
  </si>
  <si>
    <t>JAN</t>
  </si>
  <si>
    <t>FEB</t>
  </si>
  <si>
    <t>MAR</t>
  </si>
  <si>
    <t>APR</t>
  </si>
  <si>
    <t>MAY</t>
  </si>
  <si>
    <t>JUN</t>
  </si>
  <si>
    <t>Find the total (Sum) of June values using SUBTOTAL.</t>
  </si>
  <si>
    <t>Find the average of June values using SUBTOTAL.</t>
  </si>
  <si>
    <t>Count the numeric entries in the June column using SUBTOTAL.</t>
  </si>
  <si>
    <t>Find the average of June values ignoring hidden rows using SUBTOTAL (function 101).</t>
  </si>
  <si>
    <t>Find the sum of Ali Asgar's May and June values using SUBTOTAL (multiple ranges).</t>
  </si>
  <si>
    <t>Given Emp ID / Field:</t>
  </si>
  <si>
    <t>Q: Find the Age of the employee in the row above using VLOOKUP + CHOOSE.</t>
  </si>
  <si>
    <t>Q: Find a given field (e.g. Designation) for a given Emp ID by cross-referencing two tables (nested VLOOKUP + MATCH).</t>
  </si>
  <si>
    <t>Q: Find the Age of Emp ID 20012 (Kapil Sharma) using nested VLOOKUP.</t>
  </si>
  <si>
    <t>Q: Find Age, Designation, Department, Salary, Place and Mobile No. of Emp ID 20012 using nested VLOOKUP (multi-column).</t>
  </si>
  <si>
    <t>Q: Look up an out-of-range column on purpose, to show IFERROR catching an invalid column index.</t>
  </si>
  <si>
    <t>Q: Find the Designation of Emp ID 20013 (Sunil Grover) via nested VLOOKUP + MATCH, with IFERROR as a safety net.</t>
  </si>
  <si>
    <t>Q: Find the Age of an employee given their Emp ID, using nested VLOOKUP (look up Name by ID, then look up Age by Name).</t>
  </si>
  <si>
    <t>Emp ID:</t>
  </si>
  <si>
    <t>Q: Find Age, Department and Mobile No. for an employee given Emp ID, using nested VLOOKUP with IFERROR.</t>
  </si>
  <si>
    <t>Marks</t>
  </si>
  <si>
    <t>Grade</t>
  </si>
  <si>
    <t>Q: Find the Grade for a given Marks value using VLOOKUP with approximate match.</t>
  </si>
  <si>
    <t>F</t>
  </si>
  <si>
    <t>Given Marks:</t>
  </si>
  <si>
    <t>D</t>
  </si>
  <si>
    <t>C</t>
  </si>
  <si>
    <t>B</t>
  </si>
  <si>
    <t>A</t>
  </si>
  <si>
    <t>Q: Find the sales figure for a given Product and Month using VLOOKUP + MATCH.</t>
  </si>
  <si>
    <t>Mango</t>
  </si>
  <si>
    <t>Jan</t>
  </si>
  <si>
    <t>Product</t>
  </si>
  <si>
    <t>Feb</t>
  </si>
  <si>
    <t>Mar</t>
  </si>
  <si>
    <t>Apple</t>
  </si>
  <si>
    <t>Banana</t>
  </si>
  <si>
    <t>Given Emp ID:</t>
  </si>
  <si>
    <t>Q: Find the Name for a given Emp ID using HLOOKUP.</t>
  </si>
  <si>
    <t>Q: Find Name, Age and Designation for a given Emp ID using HLOOKUP (multi-column).</t>
  </si>
  <si>
    <t>Q: Find any field for a given Emp ID using HLOOKUP + MATCH (dynamic field lookup).</t>
  </si>
  <si>
    <t>Q: Cycle through every field for a given Emp ID using HLOOKUP with ROWS() to build the row index.</t>
  </si>
  <si>
    <t>Q: Same idea using ROW() instead of ROWS(). Note: ROW() returns the sheet's absolute row number rather than a position within the table, so the row index drifts out of range — the last formula correctly raises #REF! once the index exceeds the table's row count. This intentionally illustrates why ROWS() is the safer choice.</t>
  </si>
  <si>
    <t>Q: Find every field for a given Emp ID using VLOOKUP (one formula per column).</t>
  </si>
  <si>
    <t>Q: Find the Salary of an employee (Sunil Singh) given their Name, using VLOOKUP.</t>
  </si>
  <si>
    <t>Q: Find Age, Designation, Department, Salary, Place and Mobile No. for a given employee Name, using VLOOKUP.</t>
  </si>
  <si>
    <t>Q: Find an employee's Name for a given Emp ID and target column name, using VLOOKUP + MATCH.</t>
  </si>
  <si>
    <t>Q: Find the column position of a given header (e.g. Name) within the table headers, using MATCH.</t>
  </si>
  <si>
    <t>Q: Find the Salary for a given Emp ID using VLOOKUP against the 'employee' sheet.</t>
  </si>
  <si>
    <t>Q: Find every field for a given Emp ID using VLOOKUP against the 'Vlookup' sheet (multi-column).</t>
  </si>
  <si>
    <t>Q: Find a Salary value for a given employee Name using VLOOKUP + MATCH (dynamic column via another sheet).</t>
  </si>
  <si>
    <t>Q:  (Name, Designation, Salary, Mobile No.) applied to a different employee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</si>
</sst>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sz val="10"/>
      <name val="Arial"/>
      <family val="2"/>
    </font>
    <font>
      <b/>
      <sz val="16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1"/>
      <name val="Calibri"/>
      <charset val="1"/>
    </font>
    <font>
      <b/>
      <sz val="26"/>
      <color theme="1"/>
      <name val="comic"/>
      <family val="5"/>
      <charset val="1"/>
    </font>
    <font>
      <sz val="11"/>
      <color theme="1"/>
      <name val="Calibri"/>
      <family val="2"/>
    </font>
    <font>
      <sz val="12"/>
      <color theme="1"/>
      <name val="Calibri"/>
      <family val="2"/>
      <charset val="1"/>
    </font>
    <font>
      <i/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87182226020086"/>
        <bgColor rgb="FFCCCCFF"/>
      </patternFill>
    </fill>
    <fill>
      <patternFill patternType="solid">
        <fgColor rgb="FF4472C4"/>
        <bgColor rgb="FF666699"/>
      </patternFill>
    </fill>
    <fill>
      <patternFill patternType="solid">
        <fgColor theme="7" tint="0.59987182226020086"/>
        <bgColor rgb="FFFFCC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7B7B7"/>
      </bottom>
      <diagonal/>
    </border>
    <border>
      <left/>
      <right/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/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medium">
        <color indexed="64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/>
    <xf numFmtId="0" fontId="3" fillId="0" borderId="2" xfId="0" applyFont="1" applyBorder="1" applyAlignment="1">
      <alignment horizontal="center" vertical="center"/>
    </xf>
    <xf numFmtId="0" fontId="6" fillId="4" borderId="3" xfId="0" applyFont="1" applyFill="1" applyBorder="1"/>
    <xf numFmtId="0" fontId="7" fillId="4" borderId="3" xfId="0" applyFont="1" applyFill="1" applyBorder="1"/>
    <xf numFmtId="0" fontId="3" fillId="0" borderId="2" xfId="0" applyFont="1" applyBorder="1" applyAlignment="1">
      <alignment vertical="center" wrapText="1"/>
    </xf>
    <xf numFmtId="2" fontId="3" fillId="0" borderId="2" xfId="0" applyNumberFormat="1" applyFont="1" applyBorder="1" applyAlignment="1">
      <alignment horizontal="center"/>
    </xf>
    <xf numFmtId="0" fontId="3" fillId="4" borderId="2" xfId="0" applyFont="1" applyFill="1" applyBorder="1"/>
    <xf numFmtId="0" fontId="4" fillId="0" borderId="0" xfId="0" applyFont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1" fontId="10" fillId="0" borderId="3" xfId="0" applyNumberFormat="1" applyFont="1" applyBorder="1"/>
    <xf numFmtId="0" fontId="3" fillId="0" borderId="5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2" fillId="0" borderId="12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13" fillId="0" borderId="14" xfId="0" applyFont="1" applyBorder="1"/>
    <xf numFmtId="0" fontId="13" fillId="0" borderId="21" xfId="0" applyFont="1" applyBorder="1"/>
    <xf numFmtId="0" fontId="13" fillId="0" borderId="1" xfId="0" applyFont="1" applyBorder="1"/>
    <xf numFmtId="1" fontId="13" fillId="0" borderId="19" xfId="0" applyNumberFormat="1" applyFont="1" applyBorder="1"/>
    <xf numFmtId="0" fontId="13" fillId="0" borderId="0" xfId="0" applyFont="1"/>
    <xf numFmtId="0" fontId="4" fillId="5" borderId="20" xfId="0" applyFont="1" applyFill="1" applyBorder="1" applyAlignment="1">
      <alignment wrapText="1"/>
    </xf>
    <xf numFmtId="0" fontId="0" fillId="5" borderId="16" xfId="0" applyFill="1" applyBorder="1"/>
    <xf numFmtId="0" fontId="14" fillId="5" borderId="13" xfId="0" applyFont="1" applyFill="1" applyBorder="1" applyAlignment="1">
      <alignment horizontal="right"/>
    </xf>
    <xf numFmtId="0" fontId="0" fillId="5" borderId="13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" fontId="3" fillId="0" borderId="3" xfId="0" applyNumberFormat="1" applyFont="1" applyBorder="1"/>
    <xf numFmtId="0" fontId="2" fillId="0" borderId="5" xfId="0" applyFont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5" borderId="16" xfId="0" applyFont="1" applyFill="1" applyBorder="1" applyAlignment="1">
      <alignment horizontal="left" vertical="center" wrapText="1"/>
    </xf>
    <xf numFmtId="0" fontId="0" fillId="7" borderId="14" xfId="0" applyFill="1" applyBorder="1"/>
    <xf numFmtId="0" fontId="11" fillId="7" borderId="14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0" fillId="0" borderId="25" xfId="0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1" fontId="0" fillId="0" borderId="30" xfId="0" applyNumberFormat="1" applyBorder="1"/>
    <xf numFmtId="0" fontId="0" fillId="0" borderId="30" xfId="0" applyBorder="1"/>
    <xf numFmtId="0" fontId="8" fillId="7" borderId="26" xfId="0" applyFont="1" applyFill="1" applyBorder="1" applyAlignment="1">
      <alignment horizontal="right"/>
    </xf>
    <xf numFmtId="0" fontId="4" fillId="6" borderId="23" xfId="0" applyFont="1" applyFill="1" applyBorder="1" applyAlignment="1">
      <alignment horizontal="left" vertical="center" wrapText="1"/>
    </xf>
    <xf numFmtId="0" fontId="0" fillId="7" borderId="0" xfId="0" applyFill="1"/>
    <xf numFmtId="0" fontId="4" fillId="6" borderId="23" xfId="0" applyFont="1" applyFill="1" applyBorder="1" applyAlignment="1">
      <alignment vertical="center" wrapText="1"/>
    </xf>
    <xf numFmtId="0" fontId="0" fillId="7" borderId="26" xfId="0" applyFill="1" applyBorder="1"/>
    <xf numFmtId="0" fontId="0" fillId="7" borderId="28" xfId="0" applyFill="1" applyBorder="1"/>
    <xf numFmtId="0" fontId="8" fillId="7" borderId="28" xfId="0" applyFont="1" applyFill="1" applyBorder="1" applyAlignment="1">
      <alignment horizontal="right"/>
    </xf>
    <xf numFmtId="0" fontId="0" fillId="7" borderId="30" xfId="0" applyFill="1" applyBorder="1"/>
    <xf numFmtId="0" fontId="4" fillId="6" borderId="23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32" xfId="0" applyBorder="1"/>
    <xf numFmtId="0" fontId="0" fillId="0" borderId="33" xfId="0" applyBorder="1"/>
    <xf numFmtId="0" fontId="4" fillId="6" borderId="31" xfId="0" applyFont="1" applyFill="1" applyBorder="1" applyAlignment="1">
      <alignment vertical="center"/>
    </xf>
    <xf numFmtId="0" fontId="4" fillId="6" borderId="23" xfId="0" applyFont="1" applyFill="1" applyBorder="1" applyAlignment="1">
      <alignment vertical="center"/>
    </xf>
    <xf numFmtId="0" fontId="8" fillId="8" borderId="0" xfId="0" applyFont="1" applyFill="1" applyAlignment="1">
      <alignment horizontal="right"/>
    </xf>
    <xf numFmtId="0" fontId="0" fillId="8" borderId="0" xfId="0" applyFill="1" applyAlignment="1">
      <alignment vertical="center"/>
    </xf>
    <xf numFmtId="0" fontId="0" fillId="8" borderId="28" xfId="0" applyFill="1" applyBorder="1"/>
    <xf numFmtId="0" fontId="4" fillId="0" borderId="24" xfId="0" applyFont="1" applyBorder="1" applyAlignment="1">
      <alignment vertical="center"/>
    </xf>
    <xf numFmtId="0" fontId="0" fillId="0" borderId="24" xfId="0" applyBorder="1"/>
    <xf numFmtId="0" fontId="8" fillId="0" borderId="0" xfId="0" applyFont="1" applyAlignment="1">
      <alignment horizontal="right"/>
    </xf>
    <xf numFmtId="0" fontId="8" fillId="0" borderId="0" xfId="0" applyFont="1"/>
    <xf numFmtId="0" fontId="3" fillId="0" borderId="37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4" fillId="6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6" borderId="38" xfId="0" applyFont="1" applyFill="1" applyBorder="1" applyAlignment="1">
      <alignment vertical="center"/>
    </xf>
    <xf numFmtId="0" fontId="4" fillId="6" borderId="39" xfId="0" applyFont="1" applyFill="1" applyBorder="1" applyAlignment="1">
      <alignment vertical="center"/>
    </xf>
    <xf numFmtId="0" fontId="4" fillId="6" borderId="40" xfId="0" applyFont="1" applyFill="1" applyBorder="1" applyAlignment="1">
      <alignment vertical="center"/>
    </xf>
    <xf numFmtId="0" fontId="3" fillId="0" borderId="11" xfId="0" applyFont="1" applyBorder="1"/>
    <xf numFmtId="0" fontId="3" fillId="7" borderId="41" xfId="0" applyFont="1" applyFill="1" applyBorder="1"/>
    <xf numFmtId="0" fontId="3" fillId="0" borderId="42" xfId="0" applyFont="1" applyBorder="1"/>
    <xf numFmtId="1" fontId="3" fillId="0" borderId="43" xfId="0" applyNumberFormat="1" applyFont="1" applyBorder="1"/>
    <xf numFmtId="0" fontId="4" fillId="6" borderId="35" xfId="0" applyFont="1" applyFill="1" applyBorder="1" applyAlignment="1">
      <alignment vertical="center"/>
    </xf>
    <xf numFmtId="1" fontId="3" fillId="0" borderId="42" xfId="0" applyNumberFormat="1" applyFont="1" applyBorder="1"/>
    <xf numFmtId="0" fontId="3" fillId="0" borderId="43" xfId="0" applyFont="1" applyBorder="1"/>
    <xf numFmtId="0" fontId="3" fillId="0" borderId="34" xfId="0" applyFont="1" applyBorder="1"/>
    <xf numFmtId="0" fontId="4" fillId="0" borderId="3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0" fillId="0" borderId="4" xfId="0" applyBorder="1"/>
    <xf numFmtId="0" fontId="3" fillId="0" borderId="45" xfId="0" applyFont="1" applyBorder="1"/>
    <xf numFmtId="1" fontId="0" fillId="0" borderId="32" xfId="0" applyNumberFormat="1" applyBorder="1"/>
    <xf numFmtId="0" fontId="4" fillId="0" borderId="16" xfId="0" applyFont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3" fillId="0" borderId="46" xfId="0" applyFont="1" applyBorder="1"/>
    <xf numFmtId="1" fontId="0" fillId="0" borderId="25" xfId="0" applyNumberFormat="1" applyBorder="1"/>
    <xf numFmtId="0" fontId="10" fillId="0" borderId="26" xfId="0" applyFont="1" applyBorder="1"/>
    <xf numFmtId="0" fontId="10" fillId="0" borderId="0" xfId="0" applyFont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5" fillId="6" borderId="23" xfId="0" applyFont="1" applyFill="1" applyBorder="1" applyAlignment="1">
      <alignment vertical="center"/>
    </xf>
    <xf numFmtId="0" fontId="15" fillId="6" borderId="24" xfId="0" applyFont="1" applyFill="1" applyBorder="1" applyAlignment="1">
      <alignment vertical="center"/>
    </xf>
    <xf numFmtId="0" fontId="4" fillId="6" borderId="26" xfId="0" applyFont="1" applyFill="1" applyBorder="1"/>
    <xf numFmtId="0" fontId="3" fillId="7" borderId="10" xfId="0" applyFont="1" applyFill="1" applyBorder="1"/>
    <xf numFmtId="1" fontId="10" fillId="0" borderId="30" xfId="0" applyNumberFormat="1" applyFont="1" applyBorder="1" applyAlignment="1">
      <alignment horizontal="center" wrapText="1"/>
    </xf>
    <xf numFmtId="0" fontId="3" fillId="0" borderId="47" xfId="0" applyFont="1" applyBorder="1"/>
    <xf numFmtId="1" fontId="0" fillId="0" borderId="27" xfId="0" applyNumberFormat="1" applyBorder="1"/>
    <xf numFmtId="0" fontId="0" fillId="6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right"/>
    </xf>
    <xf numFmtId="0" fontId="10" fillId="6" borderId="24" xfId="0" applyFont="1" applyFill="1" applyBorder="1"/>
    <xf numFmtId="0" fontId="10" fillId="0" borderId="24" xfId="0" applyFont="1" applyBorder="1"/>
    <xf numFmtId="0" fontId="10" fillId="0" borderId="25" xfId="0" applyFont="1" applyBorder="1"/>
    <xf numFmtId="0" fontId="4" fillId="6" borderId="23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left" vertical="center" wrapText="1"/>
    </xf>
    <xf numFmtId="0" fontId="15" fillId="6" borderId="24" xfId="0" applyFont="1" applyFill="1" applyBorder="1" applyAlignment="1">
      <alignment horizontal="left" vertical="center" wrapText="1"/>
    </xf>
    <xf numFmtId="0" fontId="15" fillId="6" borderId="2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6" borderId="26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"/>
  <sheetViews>
    <sheetView topLeftCell="A7" zoomScale="66" zoomScaleNormal="84" workbookViewId="0">
      <selection activeCell="L13" sqref="L12:L13"/>
    </sheetView>
  </sheetViews>
  <sheetFormatPr defaultColWidth="8.6328125" defaultRowHeight="14.5"/>
  <cols>
    <col min="1" max="1" width="7.81640625" bestFit="1" customWidth="1"/>
    <col min="2" max="3" width="12.6328125" bestFit="1" customWidth="1"/>
    <col min="4" max="5" width="12.81640625" bestFit="1" customWidth="1"/>
    <col min="6" max="6" width="11.453125" bestFit="1" customWidth="1"/>
    <col min="7" max="7" width="7.453125" bestFit="1" customWidth="1"/>
    <col min="8" max="9" width="12.90625" bestFit="1" customWidth="1"/>
    <col min="11" max="11" width="82.81640625" bestFit="1" customWidth="1"/>
    <col min="12" max="12" width="6.90625" bestFit="1" customWidth="1"/>
    <col min="13" max="13" width="9.7265625" bestFit="1" customWidth="1"/>
    <col min="14" max="14" width="10.6328125" bestFit="1" customWidth="1"/>
    <col min="15" max="15" width="7.1796875" bestFit="1" customWidth="1"/>
    <col min="16" max="16" width="7.36328125" bestFit="1" customWidth="1"/>
    <col min="17" max="17" width="12.81640625" bestFit="1" customWidth="1"/>
    <col min="21" max="21" width="3.81640625" bestFit="1" customWidth="1"/>
    <col min="22" max="22" width="94" bestFit="1" customWidth="1"/>
    <col min="23" max="23" width="7.1796875" bestFit="1" customWidth="1"/>
    <col min="24" max="24" width="4.453125" bestFit="1" customWidth="1"/>
    <col min="25" max="25" width="10.54296875" bestFit="1" customWidth="1"/>
  </cols>
  <sheetData>
    <row r="1" spans="1:25" ht="14.25" customHeight="1">
      <c r="A1" s="130" t="s">
        <v>0</v>
      </c>
      <c r="B1" s="130"/>
      <c r="C1" s="130"/>
      <c r="D1" s="130"/>
      <c r="E1" s="130"/>
      <c r="F1" s="130"/>
      <c r="G1" s="130"/>
      <c r="H1" s="130"/>
    </row>
    <row r="2" spans="1:25" ht="14.25" customHeight="1" thickBot="1">
      <c r="A2" s="130"/>
      <c r="B2" s="130"/>
      <c r="C2" s="130"/>
      <c r="D2" s="130"/>
      <c r="E2" s="130"/>
      <c r="F2" s="130"/>
      <c r="G2" s="130"/>
      <c r="H2" s="130"/>
      <c r="U2" s="1" t="s">
        <v>35</v>
      </c>
      <c r="V2" s="1" t="s">
        <v>36</v>
      </c>
      <c r="W2" s="129" t="s">
        <v>37</v>
      </c>
      <c r="X2" s="129"/>
      <c r="Y2" s="1" t="s">
        <v>38</v>
      </c>
    </row>
    <row r="3" spans="1:25" ht="23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K3" s="131" t="s">
        <v>30</v>
      </c>
      <c r="L3" s="132"/>
      <c r="M3" s="132"/>
      <c r="N3" s="132"/>
      <c r="O3" s="132"/>
      <c r="P3" s="132"/>
      <c r="Q3" s="133"/>
      <c r="U3" s="6">
        <v>1</v>
      </c>
      <c r="V3" s="120" t="s">
        <v>39</v>
      </c>
      <c r="W3" s="6"/>
      <c r="X3" s="6"/>
      <c r="Y3" s="6" t="str">
        <f>INDEX(A3:H15,4,2)</f>
        <v>Kapil Singh</v>
      </c>
    </row>
    <row r="4" spans="1:25" ht="21" customHeight="1" thickBot="1">
      <c r="A4" s="3">
        <v>20012</v>
      </c>
      <c r="B4" s="4" t="s">
        <v>9</v>
      </c>
      <c r="C4" s="4">
        <v>26</v>
      </c>
      <c r="D4" s="3" t="s">
        <v>10</v>
      </c>
      <c r="E4" s="3" t="s">
        <v>11</v>
      </c>
      <c r="F4" s="3">
        <v>26500</v>
      </c>
      <c r="G4" s="3" t="s">
        <v>12</v>
      </c>
      <c r="H4" s="5">
        <v>8877456987</v>
      </c>
      <c r="K4" s="110" t="str" cm="1">
        <f t="array" ref="K4:Q4">_xlfn.XLOOKUP(A4,A3:A15,B3:H15)</f>
        <v>Kapil Sharma</v>
      </c>
      <c r="L4" s="111">
        <v>26</v>
      </c>
      <c r="M4" s="111" t="str">
        <v>Engineer</v>
      </c>
      <c r="N4" s="111" t="str">
        <v>Technical</v>
      </c>
      <c r="O4" s="111">
        <v>26500</v>
      </c>
      <c r="P4" s="111" t="str">
        <v>Indore</v>
      </c>
      <c r="Q4" s="117">
        <v>8877456987</v>
      </c>
      <c r="U4" s="6">
        <v>2</v>
      </c>
      <c r="V4" s="120" t="s">
        <v>40</v>
      </c>
      <c r="W4" s="121">
        <v>20012</v>
      </c>
      <c r="X4" s="121" t="s">
        <v>3</v>
      </c>
      <c r="Y4" s="6">
        <f>INDEX(A3:H15,MATCH(W4,A3:A15,0),MATCH(X4,A3:H3,0))</f>
        <v>26</v>
      </c>
    </row>
    <row r="5" spans="1:25" ht="21" customHeight="1">
      <c r="A5" s="3">
        <v>20013</v>
      </c>
      <c r="B5" s="4" t="s">
        <v>13</v>
      </c>
      <c r="C5" s="4">
        <v>25</v>
      </c>
      <c r="D5" s="3" t="s">
        <v>14</v>
      </c>
      <c r="E5" s="3" t="s">
        <v>15</v>
      </c>
      <c r="F5" s="3">
        <v>13000</v>
      </c>
      <c r="G5" s="3" t="s">
        <v>16</v>
      </c>
      <c r="H5" s="5">
        <v>8569741235</v>
      </c>
      <c r="U5" s="6">
        <v>3</v>
      </c>
      <c r="V5" s="120" t="s">
        <v>41</v>
      </c>
      <c r="W5" s="6"/>
      <c r="X5" s="6"/>
      <c r="Y5" s="6">
        <f>SUM(F4:F15)</f>
        <v>285000</v>
      </c>
    </row>
    <row r="6" spans="1:25" ht="21" customHeight="1">
      <c r="A6" s="3">
        <v>20014</v>
      </c>
      <c r="B6" s="4" t="s">
        <v>17</v>
      </c>
      <c r="C6" s="4">
        <v>28</v>
      </c>
      <c r="D6" s="3" t="s">
        <v>18</v>
      </c>
      <c r="E6" s="3" t="s">
        <v>11</v>
      </c>
      <c r="F6" s="3">
        <v>20000</v>
      </c>
      <c r="G6" s="3" t="s">
        <v>12</v>
      </c>
      <c r="H6" s="5">
        <v>7584963214</v>
      </c>
      <c r="U6" s="6">
        <v>4</v>
      </c>
      <c r="V6" s="120" t="s">
        <v>42</v>
      </c>
      <c r="W6" s="6"/>
      <c r="X6" s="6"/>
      <c r="Y6" s="6">
        <f>MIN(F4:F15)</f>
        <v>13000</v>
      </c>
    </row>
    <row r="7" spans="1:25" ht="21" customHeight="1">
      <c r="A7" s="3">
        <v>20015</v>
      </c>
      <c r="B7" s="4" t="s">
        <v>19</v>
      </c>
      <c r="C7" s="4">
        <v>27</v>
      </c>
      <c r="D7" s="3" t="s">
        <v>14</v>
      </c>
      <c r="E7" s="3" t="s">
        <v>15</v>
      </c>
      <c r="F7" s="3">
        <v>15000</v>
      </c>
      <c r="G7" s="3" t="s">
        <v>16</v>
      </c>
      <c r="H7" s="5">
        <v>7788994455</v>
      </c>
      <c r="U7" s="6">
        <v>5</v>
      </c>
      <c r="V7" s="120" t="s">
        <v>43</v>
      </c>
      <c r="W7" s="6"/>
      <c r="X7" s="6"/>
      <c r="Y7" s="6">
        <f>MAX(F4:F15)</f>
        <v>40500</v>
      </c>
    </row>
    <row r="8" spans="1:25" ht="21" customHeight="1">
      <c r="A8" s="3">
        <v>20016</v>
      </c>
      <c r="B8" s="4" t="s">
        <v>20</v>
      </c>
      <c r="C8" s="4">
        <v>25</v>
      </c>
      <c r="D8" s="3" t="s">
        <v>10</v>
      </c>
      <c r="E8" s="21" t="s">
        <v>11</v>
      </c>
      <c r="F8" s="118">
        <v>20000</v>
      </c>
      <c r="G8" s="19" t="s">
        <v>21</v>
      </c>
      <c r="H8" s="5">
        <v>8798654512</v>
      </c>
      <c r="U8" s="6">
        <v>6</v>
      </c>
      <c r="V8" s="120" t="s">
        <v>44</v>
      </c>
      <c r="W8" s="6"/>
      <c r="X8" s="6"/>
      <c r="Y8" s="6">
        <f>AVERAGE(F4:F15)</f>
        <v>23750</v>
      </c>
    </row>
    <row r="9" spans="1:25" ht="21" customHeight="1">
      <c r="A9" s="3">
        <v>20017</v>
      </c>
      <c r="B9" s="4" t="s">
        <v>22</v>
      </c>
      <c r="C9" s="4">
        <v>26</v>
      </c>
      <c r="D9" s="3" t="s">
        <v>10</v>
      </c>
      <c r="E9" s="3" t="s">
        <v>11</v>
      </c>
      <c r="F9" s="3">
        <v>33000</v>
      </c>
      <c r="G9" s="3" t="s">
        <v>16</v>
      </c>
      <c r="H9" s="5">
        <v>9874563214</v>
      </c>
      <c r="U9" s="6">
        <v>7</v>
      </c>
      <c r="V9" s="120" t="s">
        <v>45</v>
      </c>
      <c r="W9" s="6"/>
      <c r="X9" s="6"/>
      <c r="Y9" s="6">
        <f>SUMIF(C4:C15,"&gt;25",F4:F15)</f>
        <v>231000</v>
      </c>
    </row>
    <row r="10" spans="1:25" ht="21" customHeight="1" thickBot="1">
      <c r="A10" s="3">
        <v>20018</v>
      </c>
      <c r="B10" s="4" t="s">
        <v>23</v>
      </c>
      <c r="C10" s="4">
        <v>25</v>
      </c>
      <c r="D10" s="3" t="s">
        <v>18</v>
      </c>
      <c r="E10" s="3" t="s">
        <v>11</v>
      </c>
      <c r="F10" s="3">
        <v>21000</v>
      </c>
      <c r="G10" s="3" t="s">
        <v>12</v>
      </c>
      <c r="H10" s="5">
        <v>8974563214</v>
      </c>
      <c r="U10" s="6">
        <v>8</v>
      </c>
      <c r="V10" s="120" t="s">
        <v>46</v>
      </c>
      <c r="W10" s="6"/>
      <c r="X10" s="6"/>
      <c r="Y10" s="6">
        <f>SUMIF(E4:E15,E4,F4:F15)</f>
        <v>167000</v>
      </c>
    </row>
    <row r="11" spans="1:25" ht="21" customHeight="1" thickBot="1">
      <c r="A11" s="3">
        <v>20019</v>
      </c>
      <c r="B11" s="4" t="s">
        <v>24</v>
      </c>
      <c r="C11" s="4">
        <v>26</v>
      </c>
      <c r="D11" s="3" t="s">
        <v>14</v>
      </c>
      <c r="E11" s="3" t="s">
        <v>15</v>
      </c>
      <c r="F11" s="3">
        <v>31500</v>
      </c>
      <c r="G11" s="3" t="s">
        <v>16</v>
      </c>
      <c r="H11" s="5">
        <v>8745968745</v>
      </c>
      <c r="K11" s="113" t="s">
        <v>25</v>
      </c>
      <c r="L11" s="114"/>
      <c r="M11" s="114"/>
      <c r="N11" s="114"/>
      <c r="O11" s="114"/>
      <c r="P11" s="114"/>
      <c r="Q11" s="25"/>
      <c r="U11" s="6">
        <v>9</v>
      </c>
      <c r="V11" s="120" t="s">
        <v>47</v>
      </c>
      <c r="W11" s="6"/>
      <c r="X11" s="6"/>
      <c r="Y11" s="6">
        <f>SUMIFS(F4:F15,E4:E15,E5,C4:C15,"&gt;26")</f>
        <v>55500</v>
      </c>
    </row>
    <row r="12" spans="1:25" ht="21" customHeight="1">
      <c r="A12" s="3">
        <v>20020</v>
      </c>
      <c r="B12" s="4" t="s">
        <v>26</v>
      </c>
      <c r="C12" s="4">
        <v>28</v>
      </c>
      <c r="D12" s="3" t="s">
        <v>14</v>
      </c>
      <c r="E12" s="3" t="s">
        <v>15</v>
      </c>
      <c r="F12" s="3">
        <v>40500</v>
      </c>
      <c r="G12" s="3" t="s">
        <v>12</v>
      </c>
      <c r="H12" s="5">
        <v>9874569874</v>
      </c>
      <c r="K12" s="56"/>
      <c r="L12" s="122" t="str">
        <f t="array" ref="L12:N24">CHOOSE({1,2,3},F3:F15,C3:C15,A3:A15)</f>
        <v>Salary</v>
      </c>
      <c r="M12" s="123" t="str">
        <v>Age</v>
      </c>
      <c r="N12" s="123" t="str">
        <v>Emp. ID</v>
      </c>
      <c r="O12" s="124"/>
      <c r="P12" s="125"/>
      <c r="U12" s="6">
        <v>10</v>
      </c>
      <c r="V12" s="120" t="s">
        <v>48</v>
      </c>
      <c r="W12" s="6"/>
      <c r="X12" s="6"/>
      <c r="Y12" s="6">
        <f>COUNTIF(G4:G15,G5)</f>
        <v>4</v>
      </c>
    </row>
    <row r="13" spans="1:25" ht="21" customHeight="1">
      <c r="A13" s="3">
        <v>20021</v>
      </c>
      <c r="B13" s="4" t="s">
        <v>27</v>
      </c>
      <c r="C13" s="4">
        <v>27</v>
      </c>
      <c r="D13" s="3" t="s">
        <v>10</v>
      </c>
      <c r="E13" s="3" t="s">
        <v>11</v>
      </c>
      <c r="F13" s="3">
        <v>25500</v>
      </c>
      <c r="G13" s="3" t="s">
        <v>21</v>
      </c>
      <c r="H13" s="5">
        <v>8574965874</v>
      </c>
      <c r="K13" s="56"/>
      <c r="L13" s="107">
        <v>26500</v>
      </c>
      <c r="M13" s="108">
        <v>26</v>
      </c>
      <c r="N13" s="108">
        <v>20012</v>
      </c>
      <c r="O13" s="108"/>
      <c r="P13" s="109"/>
      <c r="U13" s="6">
        <v>11</v>
      </c>
      <c r="V13" s="120" t="s">
        <v>49</v>
      </c>
      <c r="W13" s="6"/>
      <c r="X13" s="6"/>
      <c r="Y13" s="6">
        <f>VLOOKUP(B9,CHOOSE({1,2},B3:B15,A3:A15),2,0)</f>
        <v>20017</v>
      </c>
    </row>
    <row r="14" spans="1:25" ht="21" customHeight="1">
      <c r="A14" s="3">
        <v>20022</v>
      </c>
      <c r="B14" s="4" t="s">
        <v>28</v>
      </c>
      <c r="C14" s="4">
        <v>26</v>
      </c>
      <c r="D14" s="3" t="s">
        <v>14</v>
      </c>
      <c r="E14" s="3" t="s">
        <v>15</v>
      </c>
      <c r="F14" s="3">
        <v>18000</v>
      </c>
      <c r="G14" s="3" t="s">
        <v>21</v>
      </c>
      <c r="H14" s="5">
        <v>8521479632</v>
      </c>
      <c r="K14" s="56"/>
      <c r="L14" s="107">
        <v>13000</v>
      </c>
      <c r="M14" s="108">
        <v>25</v>
      </c>
      <c r="N14" s="108">
        <v>20013</v>
      </c>
      <c r="O14" s="108"/>
      <c r="P14" s="109"/>
      <c r="U14" s="6">
        <v>12</v>
      </c>
      <c r="V14" s="120" t="s">
        <v>50</v>
      </c>
      <c r="W14" s="6"/>
      <c r="X14" s="6"/>
      <c r="Y14" s="6">
        <f>_xlfn.XLOOKUP(A4,A3:A15,C3:C15)</f>
        <v>26</v>
      </c>
    </row>
    <row r="15" spans="1:25" ht="21" customHeight="1">
      <c r="A15" s="3">
        <v>20023</v>
      </c>
      <c r="B15" s="4" t="s">
        <v>29</v>
      </c>
      <c r="C15" s="4">
        <v>27</v>
      </c>
      <c r="D15" s="3" t="s">
        <v>18</v>
      </c>
      <c r="E15" s="3" t="s">
        <v>11</v>
      </c>
      <c r="F15" s="3">
        <v>21000</v>
      </c>
      <c r="G15" s="3" t="s">
        <v>12</v>
      </c>
      <c r="H15" s="5">
        <v>8569745623</v>
      </c>
      <c r="K15" s="56"/>
      <c r="L15" s="107">
        <v>20000</v>
      </c>
      <c r="M15" s="108">
        <v>28</v>
      </c>
      <c r="N15" s="108">
        <v>20014</v>
      </c>
      <c r="O15" s="108"/>
      <c r="P15" s="109"/>
      <c r="U15" s="6">
        <v>13</v>
      </c>
      <c r="V15" s="120" t="s">
        <v>51</v>
      </c>
      <c r="W15" s="121">
        <v>40500</v>
      </c>
      <c r="X15" s="6"/>
      <c r="Y15" s="6" t="str">
        <f>VLOOKUP(W15,CHOOSE({1,2},F3:F15,B3:B15,),2,0)</f>
        <v>Vikas Patel</v>
      </c>
    </row>
    <row r="16" spans="1:25" ht="14.25" customHeight="1">
      <c r="K16" s="56"/>
      <c r="L16" s="107">
        <v>15000</v>
      </c>
      <c r="M16" s="108">
        <v>27</v>
      </c>
      <c r="N16" s="108">
        <v>20015</v>
      </c>
      <c r="O16" s="108"/>
      <c r="P16" s="109"/>
      <c r="U16" s="6">
        <v>14</v>
      </c>
      <c r="V16" s="120" t="s">
        <v>52</v>
      </c>
      <c r="W16" s="6"/>
      <c r="X16" s="6"/>
      <c r="Y16" s="6">
        <f>VLOOKUP(H5,CHOOSE({1,2},H3:H15,A3:A15),2,0)</f>
        <v>20013</v>
      </c>
    </row>
    <row r="17" spans="2:25" ht="14.25" customHeight="1">
      <c r="K17" s="56"/>
      <c r="L17" s="107">
        <v>20000</v>
      </c>
      <c r="M17" s="108">
        <v>25</v>
      </c>
      <c r="N17" s="108">
        <v>20016</v>
      </c>
      <c r="O17" s="108"/>
      <c r="P17" s="109"/>
      <c r="U17" s="6">
        <v>15</v>
      </c>
      <c r="V17" s="120" t="s">
        <v>53</v>
      </c>
      <c r="W17" s="6"/>
      <c r="X17" s="6"/>
      <c r="Y17" s="6">
        <f>SUM(_xlfn._xlws.FILTER(F3:F15,E3:E15="Technical"))</f>
        <v>167000</v>
      </c>
    </row>
    <row r="18" spans="2:25" ht="14.25" customHeight="1">
      <c r="K18" s="56"/>
      <c r="L18" s="107">
        <v>33000</v>
      </c>
      <c r="M18" s="108">
        <v>26</v>
      </c>
      <c r="N18" s="108">
        <v>20017</v>
      </c>
      <c r="O18" s="108"/>
      <c r="P18" s="109"/>
    </row>
    <row r="19" spans="2:25" ht="14.25" customHeight="1">
      <c r="K19" s="56"/>
      <c r="L19" s="107">
        <v>21000</v>
      </c>
      <c r="M19" s="108">
        <v>25</v>
      </c>
      <c r="N19" s="108">
        <v>20018</v>
      </c>
      <c r="O19" s="108"/>
      <c r="P19" s="109"/>
    </row>
    <row r="20" spans="2:25" ht="14.25" customHeight="1">
      <c r="K20" s="56"/>
      <c r="L20" s="107">
        <v>31500</v>
      </c>
      <c r="M20" s="108">
        <v>26</v>
      </c>
      <c r="N20" s="108">
        <v>20019</v>
      </c>
      <c r="O20" s="108"/>
      <c r="P20" s="109"/>
    </row>
    <row r="21" spans="2:25" ht="21" customHeight="1">
      <c r="K21" s="56"/>
      <c r="L21" s="107">
        <v>40500</v>
      </c>
      <c r="M21" s="108">
        <v>28</v>
      </c>
      <c r="N21" s="108">
        <v>20020</v>
      </c>
      <c r="O21" s="108"/>
      <c r="P21" s="109"/>
    </row>
    <row r="22" spans="2:25" ht="14.25" customHeight="1">
      <c r="K22" s="56"/>
      <c r="L22" s="107">
        <v>25500</v>
      </c>
      <c r="M22" s="108">
        <v>27</v>
      </c>
      <c r="N22" s="108">
        <v>20021</v>
      </c>
      <c r="O22" s="108"/>
      <c r="P22" s="109"/>
    </row>
    <row r="23" spans="2:25" ht="14.25" customHeight="1" thickBot="1">
      <c r="K23" s="56"/>
      <c r="L23" s="107">
        <v>18000</v>
      </c>
      <c r="M23" s="108">
        <v>26</v>
      </c>
      <c r="N23" s="108">
        <v>20022</v>
      </c>
      <c r="O23" s="108"/>
      <c r="P23" s="109"/>
    </row>
    <row r="24" spans="2:25" ht="21" customHeight="1" thickBot="1">
      <c r="B24" s="126" t="s">
        <v>31</v>
      </c>
      <c r="C24" s="127"/>
      <c r="D24" s="127"/>
      <c r="E24" s="127"/>
      <c r="F24" s="127"/>
      <c r="G24" s="127"/>
      <c r="H24" s="127"/>
      <c r="I24" s="128"/>
      <c r="K24" s="57"/>
      <c r="L24" s="110">
        <v>21000</v>
      </c>
      <c r="M24" s="111">
        <v>27</v>
      </c>
      <c r="N24" s="111">
        <v>20023</v>
      </c>
      <c r="O24" s="111"/>
      <c r="P24" s="112"/>
    </row>
    <row r="25" spans="2:25" ht="14.25" customHeight="1">
      <c r="B25" s="56" t="str">
        <f t="array" ref="B25:I34">_xlfn._xlws.FILTER(A3:H15,C3:C15&gt;25)</f>
        <v>Emp. ID</v>
      </c>
      <c r="C25" t="str">
        <v>Name</v>
      </c>
      <c r="D25" t="str">
        <v>Age</v>
      </c>
      <c r="E25" t="str">
        <v>Designation</v>
      </c>
      <c r="F25" t="str">
        <v>Department</v>
      </c>
      <c r="G25" t="str">
        <v>Salary</v>
      </c>
      <c r="H25" t="str">
        <v>Place</v>
      </c>
      <c r="I25" s="55" t="str">
        <v>Mob.No.</v>
      </c>
    </row>
    <row r="26" spans="2:25" ht="14.25" customHeight="1">
      <c r="B26" s="56">
        <v>20012</v>
      </c>
      <c r="C26" t="str">
        <v>Kapil Sharma</v>
      </c>
      <c r="D26">
        <v>26</v>
      </c>
      <c r="E26" t="str">
        <v>Engineer</v>
      </c>
      <c r="F26" t="str">
        <v>Technical</v>
      </c>
      <c r="G26">
        <v>26500</v>
      </c>
      <c r="H26" t="str">
        <v>Indore</v>
      </c>
      <c r="I26" s="119">
        <v>8877456987</v>
      </c>
    </row>
    <row r="27" spans="2:25" ht="14.25" customHeight="1">
      <c r="B27" s="56">
        <v>20014</v>
      </c>
      <c r="C27" t="str">
        <v>Kapil Singh</v>
      </c>
      <c r="D27">
        <v>28</v>
      </c>
      <c r="E27" t="str">
        <v>CAD Designer</v>
      </c>
      <c r="F27" t="str">
        <v>Technical</v>
      </c>
      <c r="G27">
        <v>20000</v>
      </c>
      <c r="H27" t="str">
        <v>Indore</v>
      </c>
      <c r="I27" s="119">
        <v>7584963214</v>
      </c>
    </row>
    <row r="28" spans="2:25" ht="14.25" customHeight="1">
      <c r="B28" s="56">
        <v>20015</v>
      </c>
      <c r="C28" t="str">
        <v>Ali Asgar</v>
      </c>
      <c r="D28">
        <v>27</v>
      </c>
      <c r="E28" t="str">
        <v>Accountant</v>
      </c>
      <c r="F28" t="str">
        <v>Finance</v>
      </c>
      <c r="G28">
        <v>15000</v>
      </c>
      <c r="H28" t="str">
        <v>Bhopal</v>
      </c>
      <c r="I28" s="119">
        <v>7788994455</v>
      </c>
    </row>
    <row r="29" spans="2:25" ht="14.25" customHeight="1">
      <c r="B29" s="56">
        <v>20017</v>
      </c>
      <c r="C29" t="str">
        <v>Mohan Patel</v>
      </c>
      <c r="D29">
        <v>26</v>
      </c>
      <c r="E29" t="str">
        <v>Engineer</v>
      </c>
      <c r="F29" t="str">
        <v>Technical</v>
      </c>
      <c r="G29">
        <v>33000</v>
      </c>
      <c r="H29" t="str">
        <v>Bhopal</v>
      </c>
      <c r="I29" s="119">
        <v>9874563214</v>
      </c>
    </row>
    <row r="30" spans="2:25" ht="14.25" customHeight="1">
      <c r="B30" s="56">
        <v>20019</v>
      </c>
      <c r="C30" t="str">
        <v>Deepak Singh</v>
      </c>
      <c r="D30">
        <v>26</v>
      </c>
      <c r="E30" t="str">
        <v>Accountant</v>
      </c>
      <c r="F30" t="str">
        <v>Finance</v>
      </c>
      <c r="G30">
        <v>31500</v>
      </c>
      <c r="H30" t="str">
        <v>Bhopal</v>
      </c>
      <c r="I30" s="119">
        <v>8745968745</v>
      </c>
    </row>
    <row r="31" spans="2:25" ht="14.25" customHeight="1">
      <c r="B31" s="56">
        <v>20020</v>
      </c>
      <c r="C31" t="str">
        <v>Vikas Patel</v>
      </c>
      <c r="D31">
        <v>28</v>
      </c>
      <c r="E31" t="str">
        <v>Accountant</v>
      </c>
      <c r="F31" t="str">
        <v>Finance</v>
      </c>
      <c r="G31">
        <v>40500</v>
      </c>
      <c r="H31" t="str">
        <v>Indore</v>
      </c>
      <c r="I31" s="119">
        <v>9874569874</v>
      </c>
    </row>
    <row r="32" spans="2:25" ht="14.25" customHeight="1">
      <c r="B32" s="56">
        <v>20021</v>
      </c>
      <c r="C32" t="str">
        <v>Gopal Jat</v>
      </c>
      <c r="D32">
        <v>27</v>
      </c>
      <c r="E32" t="str">
        <v>Engineer</v>
      </c>
      <c r="F32" t="str">
        <v>Technical</v>
      </c>
      <c r="G32">
        <v>25500</v>
      </c>
      <c r="H32" t="str">
        <v>ujjain</v>
      </c>
      <c r="I32" s="119">
        <v>8574965874</v>
      </c>
    </row>
    <row r="33" spans="2:9" ht="14.25" customHeight="1">
      <c r="B33" s="56">
        <v>20022</v>
      </c>
      <c r="C33" t="str">
        <v>Rohan Yadav</v>
      </c>
      <c r="D33">
        <v>26</v>
      </c>
      <c r="E33" t="str">
        <v>Accountant</v>
      </c>
      <c r="F33" t="str">
        <v>Finance</v>
      </c>
      <c r="G33">
        <v>18000</v>
      </c>
      <c r="H33" t="str">
        <v>ujjain</v>
      </c>
      <c r="I33" s="119">
        <v>8521479632</v>
      </c>
    </row>
    <row r="34" spans="2:9" ht="14.25" customHeight="1" thickBot="1">
      <c r="B34" s="57">
        <v>20023</v>
      </c>
      <c r="C34" s="58" t="str">
        <v>Janwi Rai</v>
      </c>
      <c r="D34" s="58">
        <v>27</v>
      </c>
      <c r="E34" s="58" t="str">
        <v>CAD Designer</v>
      </c>
      <c r="F34" s="58" t="str">
        <v>Technical</v>
      </c>
      <c r="G34" s="58">
        <v>21000</v>
      </c>
      <c r="H34" s="58" t="str">
        <v>Indore</v>
      </c>
      <c r="I34" s="59">
        <v>8569745623</v>
      </c>
    </row>
    <row r="35" spans="2:9" ht="21" customHeight="1">
      <c r="B35" s="126" t="s">
        <v>32</v>
      </c>
      <c r="C35" s="127"/>
      <c r="D35" s="127"/>
      <c r="E35" s="127"/>
      <c r="F35" s="127"/>
      <c r="G35" s="127"/>
      <c r="H35" s="127"/>
      <c r="I35" s="128"/>
    </row>
    <row r="36" spans="2:9" ht="14.25" customHeight="1">
      <c r="B36" s="56">
        <f t="array" ref="B36:I42">_xlfn._xlws.FILTER(A3:H15,E3:E15="Technical")</f>
        <v>20012</v>
      </c>
      <c r="C36" t="str">
        <v>Kapil Sharma</v>
      </c>
      <c r="D36">
        <v>26</v>
      </c>
      <c r="E36" t="str">
        <v>Engineer</v>
      </c>
      <c r="F36" t="str">
        <v>Technical</v>
      </c>
      <c r="G36">
        <v>26500</v>
      </c>
      <c r="H36" t="str">
        <v>Indore</v>
      </c>
      <c r="I36" s="119">
        <v>8877456987</v>
      </c>
    </row>
    <row r="37" spans="2:9" ht="14.25" customHeight="1">
      <c r="B37" s="56">
        <v>20014</v>
      </c>
      <c r="C37" t="str">
        <v>Kapil Singh</v>
      </c>
      <c r="D37">
        <v>28</v>
      </c>
      <c r="E37" t="str">
        <v>CAD Designer</v>
      </c>
      <c r="F37" t="str">
        <v>Technical</v>
      </c>
      <c r="G37">
        <v>20000</v>
      </c>
      <c r="H37" t="str">
        <v>Indore</v>
      </c>
      <c r="I37" s="119">
        <v>7584963214</v>
      </c>
    </row>
    <row r="38" spans="2:9" ht="14.25" customHeight="1">
      <c r="B38" s="56">
        <v>20016</v>
      </c>
      <c r="C38" t="str">
        <v>Sunil Singh</v>
      </c>
      <c r="D38">
        <v>25</v>
      </c>
      <c r="E38" t="str">
        <v>Engineer</v>
      </c>
      <c r="F38" t="str">
        <v>Technical</v>
      </c>
      <c r="G38">
        <v>20000</v>
      </c>
      <c r="H38" t="str">
        <v>ujjain</v>
      </c>
      <c r="I38" s="119">
        <v>8798654512</v>
      </c>
    </row>
    <row r="39" spans="2:9" ht="14.25" customHeight="1">
      <c r="B39" s="56">
        <v>20017</v>
      </c>
      <c r="C39" t="str">
        <v>Mohan Patel</v>
      </c>
      <c r="D39">
        <v>26</v>
      </c>
      <c r="E39" t="str">
        <v>Engineer</v>
      </c>
      <c r="F39" t="str">
        <v>Technical</v>
      </c>
      <c r="G39">
        <v>33000</v>
      </c>
      <c r="H39" t="str">
        <v>Bhopal</v>
      </c>
      <c r="I39" s="119">
        <v>9874563214</v>
      </c>
    </row>
    <row r="40" spans="2:9" ht="14.25" customHeight="1">
      <c r="B40" s="56">
        <v>20018</v>
      </c>
      <c r="C40" t="str">
        <v>Ravi Verma</v>
      </c>
      <c r="D40">
        <v>25</v>
      </c>
      <c r="E40" t="str">
        <v>CAD Designer</v>
      </c>
      <c r="F40" t="str">
        <v>Technical</v>
      </c>
      <c r="G40">
        <v>21000</v>
      </c>
      <c r="H40" t="str">
        <v>Indore</v>
      </c>
      <c r="I40" s="119">
        <v>8974563214</v>
      </c>
    </row>
    <row r="41" spans="2:9" ht="14.25" customHeight="1">
      <c r="B41" s="56">
        <v>20021</v>
      </c>
      <c r="C41" t="str">
        <v>Gopal Jat</v>
      </c>
      <c r="D41">
        <v>27</v>
      </c>
      <c r="E41" t="str">
        <v>Engineer</v>
      </c>
      <c r="F41" t="str">
        <v>Technical</v>
      </c>
      <c r="G41">
        <v>25500</v>
      </c>
      <c r="H41" t="str">
        <v>ujjain</v>
      </c>
      <c r="I41" s="119">
        <v>8574965874</v>
      </c>
    </row>
    <row r="42" spans="2:9" ht="14.25" customHeight="1" thickBot="1">
      <c r="B42" s="57">
        <v>20023</v>
      </c>
      <c r="C42" s="58" t="str">
        <v>Janwi Rai</v>
      </c>
      <c r="D42" s="58">
        <v>27</v>
      </c>
      <c r="E42" s="58" t="str">
        <v>CAD Designer</v>
      </c>
      <c r="F42" s="58" t="str">
        <v>Technical</v>
      </c>
      <c r="G42" s="58">
        <v>21000</v>
      </c>
      <c r="H42" s="58" t="str">
        <v>Indore</v>
      </c>
      <c r="I42" s="59">
        <v>8569745623</v>
      </c>
    </row>
    <row r="43" spans="2:9" ht="21" customHeight="1">
      <c r="B43" s="126" t="s">
        <v>33</v>
      </c>
      <c r="C43" s="127"/>
      <c r="D43" s="127"/>
      <c r="E43" s="127"/>
      <c r="F43" s="127"/>
      <c r="G43" s="127"/>
      <c r="H43" s="127"/>
      <c r="I43" s="128"/>
    </row>
    <row r="44" spans="2:9" ht="14.25" customHeight="1">
      <c r="B44" s="56">
        <f t="array" ref="B44:I47">_xlfn._xlws.FILTER(A3:H15,G3:G15="Bhopal")</f>
        <v>20013</v>
      </c>
      <c r="C44" t="str">
        <v>Sunil Grover</v>
      </c>
      <c r="D44">
        <v>25</v>
      </c>
      <c r="E44" t="str">
        <v>Accountant</v>
      </c>
      <c r="F44" t="str">
        <v>Finance</v>
      </c>
      <c r="G44">
        <v>13000</v>
      </c>
      <c r="H44" t="str">
        <v>Bhopal</v>
      </c>
      <c r="I44" s="119">
        <v>8569741235</v>
      </c>
    </row>
    <row r="45" spans="2:9" ht="14.25" customHeight="1">
      <c r="B45" s="56">
        <v>20015</v>
      </c>
      <c r="C45" t="str">
        <v>Ali Asgar</v>
      </c>
      <c r="D45">
        <v>27</v>
      </c>
      <c r="E45" t="str">
        <v>Accountant</v>
      </c>
      <c r="F45" t="str">
        <v>Finance</v>
      </c>
      <c r="G45">
        <v>15000</v>
      </c>
      <c r="H45" t="str">
        <v>Bhopal</v>
      </c>
      <c r="I45" s="119">
        <v>7788994455</v>
      </c>
    </row>
    <row r="46" spans="2:9" ht="14.25" customHeight="1">
      <c r="B46" s="56">
        <v>20017</v>
      </c>
      <c r="C46" t="str">
        <v>Mohan Patel</v>
      </c>
      <c r="D46">
        <v>26</v>
      </c>
      <c r="E46" t="str">
        <v>Engineer</v>
      </c>
      <c r="F46" t="str">
        <v>Technical</v>
      </c>
      <c r="G46">
        <v>33000</v>
      </c>
      <c r="H46" t="str">
        <v>Bhopal</v>
      </c>
      <c r="I46" s="119">
        <v>9874563214</v>
      </c>
    </row>
    <row r="47" spans="2:9" ht="14.25" customHeight="1" thickBot="1">
      <c r="B47" s="57">
        <v>20019</v>
      </c>
      <c r="C47" s="58" t="str">
        <v>Deepak Singh</v>
      </c>
      <c r="D47" s="58">
        <v>26</v>
      </c>
      <c r="E47" s="58" t="str">
        <v>Accountant</v>
      </c>
      <c r="F47" s="58" t="str">
        <v>Finance</v>
      </c>
      <c r="G47" s="58">
        <v>31500</v>
      </c>
      <c r="H47" s="58" t="str">
        <v>Bhopal</v>
      </c>
      <c r="I47" s="59">
        <v>8745968745</v>
      </c>
    </row>
    <row r="48" spans="2:9" ht="21" customHeight="1">
      <c r="B48" s="126" t="s">
        <v>34</v>
      </c>
      <c r="C48" s="127"/>
      <c r="D48" s="127"/>
      <c r="E48" s="127"/>
      <c r="F48" s="127"/>
      <c r="G48" s="127"/>
      <c r="H48" s="127"/>
      <c r="I48" s="128"/>
    </row>
    <row r="49" spans="2:9" ht="14.25" customHeight="1">
      <c r="B49" s="56" t="str">
        <f t="array" ref="B49:I52">_xlfn._xlws.FILTER(A3:H15,F3:F15&gt;30000)</f>
        <v>Emp. ID</v>
      </c>
      <c r="C49" t="str">
        <v>Name</v>
      </c>
      <c r="D49" t="str">
        <v>Age</v>
      </c>
      <c r="E49" t="str">
        <v>Designation</v>
      </c>
      <c r="F49" t="str">
        <v>Department</v>
      </c>
      <c r="G49" t="str">
        <v>Salary</v>
      </c>
      <c r="H49" t="str">
        <v>Place</v>
      </c>
      <c r="I49" s="55" t="str">
        <v>Mob.No.</v>
      </c>
    </row>
    <row r="50" spans="2:9" ht="14.25" customHeight="1">
      <c r="B50" s="56">
        <v>20017</v>
      </c>
      <c r="C50" t="str">
        <v>Mohan Patel</v>
      </c>
      <c r="D50">
        <v>26</v>
      </c>
      <c r="E50" t="str">
        <v>Engineer</v>
      </c>
      <c r="F50" t="str">
        <v>Technical</v>
      </c>
      <c r="G50">
        <v>33000</v>
      </c>
      <c r="H50" t="str">
        <v>Bhopal</v>
      </c>
      <c r="I50" s="119">
        <v>9874563214</v>
      </c>
    </row>
    <row r="51" spans="2:9" ht="14.25" customHeight="1">
      <c r="B51" s="56">
        <v>20019</v>
      </c>
      <c r="C51" t="str">
        <v>Deepak Singh</v>
      </c>
      <c r="D51">
        <v>26</v>
      </c>
      <c r="E51" t="str">
        <v>Accountant</v>
      </c>
      <c r="F51" t="str">
        <v>Finance</v>
      </c>
      <c r="G51">
        <v>31500</v>
      </c>
      <c r="H51" t="str">
        <v>Bhopal</v>
      </c>
      <c r="I51" s="119">
        <v>8745968745</v>
      </c>
    </row>
    <row r="52" spans="2:9" ht="14.25" customHeight="1" thickBot="1">
      <c r="B52" s="57">
        <v>20020</v>
      </c>
      <c r="C52" s="58" t="str">
        <v>Vikas Patel</v>
      </c>
      <c r="D52" s="58">
        <v>28</v>
      </c>
      <c r="E52" s="58" t="str">
        <v>Accountant</v>
      </c>
      <c r="F52" s="58" t="str">
        <v>Finance</v>
      </c>
      <c r="G52" s="58">
        <v>40500</v>
      </c>
      <c r="H52" s="58" t="str">
        <v>Indore</v>
      </c>
      <c r="I52" s="59">
        <v>9874569874</v>
      </c>
    </row>
    <row r="55" spans="2:9" ht="21" customHeight="1"/>
    <row r="56" spans="2:9" ht="68.25" customHeight="1"/>
    <row r="57" spans="2:9" ht="81.75" customHeight="1"/>
    <row r="58" spans="2:9" ht="41.25" customHeight="1"/>
    <row r="59" spans="2:9" ht="27.75" customHeight="1"/>
    <row r="60" spans="2:9" ht="41.25" customHeight="1"/>
    <row r="61" spans="2:9" ht="27.75" customHeight="1"/>
    <row r="62" spans="2:9" ht="54.75" customHeight="1"/>
    <row r="63" spans="2:9" ht="95.25" customHeight="1"/>
    <row r="64" spans="2:9" ht="68.25" customHeight="1"/>
    <row r="65" ht="41.25" customHeight="1"/>
    <row r="66" ht="68.25" customHeight="1"/>
    <row r="67" ht="41.25" customHeight="1"/>
    <row r="68" ht="95.25" customHeight="1"/>
    <row r="69" ht="95.25" customHeight="1"/>
    <row r="70" ht="81.75" customHeight="1"/>
  </sheetData>
  <mergeCells count="7">
    <mergeCell ref="B43:I43"/>
    <mergeCell ref="B48:I48"/>
    <mergeCell ref="W2:X2"/>
    <mergeCell ref="A1:H2"/>
    <mergeCell ref="K3:Q3"/>
    <mergeCell ref="B24:I24"/>
    <mergeCell ref="B35:I35"/>
  </mergeCells>
  <dataValidations count="1">
    <dataValidation type="list" allowBlank="1" showInputMessage="1" showErrorMessage="1" sqref="A4:A15" xr:uid="{00000000-0002-0000-0000-000000000000}">
      <formula1>$D$4:$D$15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9"/>
  <sheetViews>
    <sheetView zoomScale="83" zoomScaleNormal="100" workbookViewId="0">
      <selection activeCell="C3" sqref="C3"/>
    </sheetView>
  </sheetViews>
  <sheetFormatPr defaultColWidth="8.6328125" defaultRowHeight="14.5"/>
  <cols>
    <col min="2" max="2" width="95.08984375" bestFit="1" customWidth="1"/>
    <col min="3" max="3" width="11.81640625" bestFit="1" customWidth="1"/>
    <col min="4" max="4" width="3" bestFit="1" customWidth="1"/>
    <col min="5" max="5" width="10.81640625" bestFit="1" customWidth="1"/>
    <col min="6" max="6" width="8.08984375" bestFit="1" customWidth="1"/>
    <col min="7" max="7" width="5.90625" bestFit="1" customWidth="1"/>
    <col min="8" max="8" width="7.36328125" bestFit="1" customWidth="1"/>
    <col min="9" max="10" width="10.81640625" bestFit="1" customWidth="1"/>
  </cols>
  <sheetData>
    <row r="1" spans="2:10" ht="41.25" customHeight="1">
      <c r="B1" s="64" t="s">
        <v>103</v>
      </c>
      <c r="C1" s="54">
        <f>VLOOKUP(B2,employee!A3:H15,6,0)</f>
        <v>20000</v>
      </c>
      <c r="D1" s="12"/>
    </row>
    <row r="2" spans="2:10" ht="14.25" customHeight="1" thickBot="1">
      <c r="B2" s="65">
        <v>20016</v>
      </c>
      <c r="C2" s="105"/>
    </row>
    <row r="3" spans="2:10" ht="27.75" customHeight="1">
      <c r="B3" s="64" t="s">
        <v>104</v>
      </c>
      <c r="C3" s="79" t="str">
        <f t="array" ref="C3:I3">VLOOKUP(B4,Vlookup!A3:H15,{2,3,4,5,6,7,8},0)</f>
        <v>Sunil Grover</v>
      </c>
      <c r="D3" s="79">
        <v>25</v>
      </c>
      <c r="E3" s="79" t="str">
        <v>Accountant</v>
      </c>
      <c r="F3" s="79" t="str">
        <v>Finance</v>
      </c>
      <c r="G3" s="79">
        <v>13000</v>
      </c>
      <c r="H3" s="79" t="str">
        <v>Bhopal</v>
      </c>
      <c r="I3" s="106">
        <v>8569741235</v>
      </c>
      <c r="J3" s="12"/>
    </row>
    <row r="4" spans="2:10" ht="14.25" customHeight="1">
      <c r="B4" s="65">
        <v>20013</v>
      </c>
      <c r="I4" s="55"/>
    </row>
    <row r="5" spans="2:10" ht="14.25" customHeight="1" thickBot="1">
      <c r="B5" s="57"/>
      <c r="C5" s="58"/>
      <c r="D5" s="58"/>
      <c r="E5" s="58"/>
      <c r="F5" s="58"/>
      <c r="G5" s="58"/>
      <c r="H5" s="58"/>
      <c r="I5" s="60"/>
    </row>
    <row r="6" spans="2:10" ht="14.25" customHeight="1">
      <c r="B6" s="115" t="s">
        <v>105</v>
      </c>
      <c r="C6" s="55">
        <f>VLOOKUP(B7,Vlookup!B3:H15,MATCH(' hlookup(employee_table)'!B8,Vlookup!B3:H3,0),0)</f>
        <v>25500</v>
      </c>
    </row>
    <row r="7" spans="2:10">
      <c r="B7" s="65" t="s">
        <v>27</v>
      </c>
      <c r="C7" s="55"/>
    </row>
    <row r="8" spans="2:10">
      <c r="B8" s="116" t="s">
        <v>6</v>
      </c>
      <c r="C8" s="55"/>
    </row>
    <row r="9" spans="2:10" ht="15" thickBot="1">
      <c r="B9" s="57"/>
      <c r="C9" s="6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Normal="100" workbookViewId="0">
      <selection activeCell="K4" sqref="K4"/>
    </sheetView>
  </sheetViews>
  <sheetFormatPr defaultColWidth="8.6328125" defaultRowHeight="14.5"/>
  <cols>
    <col min="1" max="8" width="13" customWidth="1"/>
    <col min="10" max="10" width="72.6328125" bestFit="1" customWidth="1"/>
    <col min="11" max="11" width="7.36328125" bestFit="1" customWidth="1"/>
  </cols>
  <sheetData>
    <row r="1" spans="1:11" ht="14.25" customHeight="1">
      <c r="A1" s="129" t="s">
        <v>0</v>
      </c>
      <c r="B1" s="129"/>
      <c r="C1" s="129"/>
      <c r="D1" s="129"/>
      <c r="E1" s="129"/>
      <c r="F1" s="129"/>
      <c r="G1" s="129"/>
      <c r="H1" s="129"/>
      <c r="J1" s="1" t="s">
        <v>36</v>
      </c>
      <c r="K1" s="1" t="s">
        <v>38</v>
      </c>
    </row>
    <row r="2" spans="1:11" ht="14.25" customHeight="1">
      <c r="A2" s="129"/>
      <c r="B2" s="129"/>
      <c r="C2" s="129"/>
      <c r="D2" s="129"/>
      <c r="E2" s="129"/>
      <c r="F2" s="129"/>
      <c r="G2" s="129"/>
      <c r="H2" s="129"/>
      <c r="J2" s="9" t="s">
        <v>60</v>
      </c>
      <c r="K2" s="4">
        <f>SUBTOTAL(9,H4:H15)</f>
        <v>43850</v>
      </c>
    </row>
    <row r="3" spans="1:11" ht="24" customHeight="1">
      <c r="A3" s="7" t="s">
        <v>1</v>
      </c>
      <c r="B3" s="8" t="s">
        <v>2</v>
      </c>
      <c r="C3" s="8" t="s">
        <v>54</v>
      </c>
      <c r="D3" s="7" t="s">
        <v>55</v>
      </c>
      <c r="E3" s="7" t="s">
        <v>56</v>
      </c>
      <c r="F3" s="7" t="s">
        <v>57</v>
      </c>
      <c r="G3" s="7" t="s">
        <v>58</v>
      </c>
      <c r="H3" s="7" t="s">
        <v>59</v>
      </c>
      <c r="J3" s="9" t="s">
        <v>61</v>
      </c>
      <c r="K3" s="10">
        <f>SUBTOTAL(1,H4:H15)</f>
        <v>3654.1666666666665</v>
      </c>
    </row>
    <row r="4" spans="1:11" ht="21" customHeight="1">
      <c r="A4" s="3">
        <v>20012</v>
      </c>
      <c r="B4" s="4" t="s">
        <v>9</v>
      </c>
      <c r="C4" s="4">
        <v>4520</v>
      </c>
      <c r="D4" s="3">
        <v>2600</v>
      </c>
      <c r="E4" s="3">
        <v>3640</v>
      </c>
      <c r="F4" s="3">
        <v>2430</v>
      </c>
      <c r="G4" s="3">
        <v>3530</v>
      </c>
      <c r="H4" s="3">
        <v>4130</v>
      </c>
      <c r="J4" s="9" t="s">
        <v>62</v>
      </c>
      <c r="K4" s="4">
        <f>SUBTOTAL(2,H4:H15)</f>
        <v>12</v>
      </c>
    </row>
    <row r="5" spans="1:11" ht="21" customHeight="1">
      <c r="A5" s="3">
        <v>20013</v>
      </c>
      <c r="B5" s="4" t="s">
        <v>13</v>
      </c>
      <c r="C5" s="4">
        <v>2310</v>
      </c>
      <c r="D5" s="3">
        <v>3570</v>
      </c>
      <c r="E5" s="3">
        <v>4870</v>
      </c>
      <c r="F5" s="3">
        <v>3000</v>
      </c>
      <c r="G5" s="3">
        <v>4590</v>
      </c>
      <c r="H5" s="3">
        <v>3370</v>
      </c>
      <c r="J5" s="9" t="s">
        <v>63</v>
      </c>
      <c r="K5" s="10">
        <f>SUBTOTAL(101,H4:H15)</f>
        <v>3654.1666666666665</v>
      </c>
    </row>
    <row r="6" spans="1:11" ht="21" customHeight="1">
      <c r="A6" s="3">
        <v>20014</v>
      </c>
      <c r="B6" s="4" t="s">
        <v>17</v>
      </c>
      <c r="C6" s="4">
        <v>3610</v>
      </c>
      <c r="D6" s="3">
        <v>3930</v>
      </c>
      <c r="E6" s="3">
        <v>4090</v>
      </c>
      <c r="F6" s="3">
        <v>4050</v>
      </c>
      <c r="G6" s="3">
        <v>2850</v>
      </c>
      <c r="H6" s="3">
        <v>4530</v>
      </c>
      <c r="J6" s="9" t="s">
        <v>64</v>
      </c>
      <c r="K6" s="4">
        <f>SUBTOTAL(9,H7,G7)</f>
        <v>4810</v>
      </c>
    </row>
    <row r="7" spans="1:11" ht="21" customHeight="1">
      <c r="A7" s="3">
        <v>20015</v>
      </c>
      <c r="B7" s="4" t="s">
        <v>19</v>
      </c>
      <c r="C7" s="4">
        <v>4920</v>
      </c>
      <c r="D7" s="3">
        <v>4530</v>
      </c>
      <c r="E7" s="3">
        <v>4400</v>
      </c>
      <c r="F7" s="3">
        <v>4060</v>
      </c>
      <c r="G7" s="3">
        <v>2240</v>
      </c>
      <c r="H7" s="3">
        <v>2570</v>
      </c>
    </row>
    <row r="8" spans="1:11" ht="21" customHeight="1">
      <c r="A8" s="3">
        <v>20016</v>
      </c>
      <c r="B8" s="4" t="s">
        <v>20</v>
      </c>
      <c r="C8" s="4">
        <v>2920</v>
      </c>
      <c r="D8" s="3">
        <v>2080</v>
      </c>
      <c r="E8" s="3">
        <v>3040</v>
      </c>
      <c r="F8" s="3">
        <v>2960</v>
      </c>
      <c r="G8" s="3">
        <v>3010</v>
      </c>
      <c r="H8" s="3">
        <v>3400</v>
      </c>
    </row>
    <row r="9" spans="1:11" ht="21" customHeight="1">
      <c r="A9" s="3">
        <v>20017</v>
      </c>
      <c r="B9" s="4" t="s">
        <v>22</v>
      </c>
      <c r="C9" s="4">
        <v>4580</v>
      </c>
      <c r="D9" s="3">
        <v>3910</v>
      </c>
      <c r="E9" s="3">
        <v>3960</v>
      </c>
      <c r="F9" s="3">
        <v>2970</v>
      </c>
      <c r="G9" s="3">
        <v>2080</v>
      </c>
      <c r="H9" s="3">
        <v>2390</v>
      </c>
    </row>
    <row r="10" spans="1:11" ht="21" customHeight="1">
      <c r="A10" s="3">
        <v>20018</v>
      </c>
      <c r="B10" s="4" t="s">
        <v>23</v>
      </c>
      <c r="C10" s="4">
        <v>3710</v>
      </c>
      <c r="D10" s="3">
        <v>4470</v>
      </c>
      <c r="E10" s="3">
        <v>4310</v>
      </c>
      <c r="F10" s="3">
        <v>2760</v>
      </c>
      <c r="G10" s="3">
        <v>2050</v>
      </c>
      <c r="H10" s="3">
        <v>3800</v>
      </c>
    </row>
    <row r="11" spans="1:11" ht="21" customHeight="1">
      <c r="A11" s="3">
        <v>20019</v>
      </c>
      <c r="B11" s="4" t="s">
        <v>24</v>
      </c>
      <c r="C11" s="4">
        <v>2870</v>
      </c>
      <c r="D11" s="3">
        <v>2840</v>
      </c>
      <c r="E11" s="3">
        <v>4890</v>
      </c>
      <c r="F11" s="3">
        <v>2510</v>
      </c>
      <c r="G11" s="3">
        <v>3290</v>
      </c>
      <c r="H11" s="3">
        <v>2040</v>
      </c>
    </row>
    <row r="12" spans="1:11" ht="21" customHeight="1">
      <c r="A12" s="3">
        <v>20020</v>
      </c>
      <c r="B12" s="4" t="s">
        <v>26</v>
      </c>
      <c r="C12" s="4">
        <v>2160</v>
      </c>
      <c r="D12" s="3">
        <v>4350</v>
      </c>
      <c r="E12" s="3">
        <v>2950</v>
      </c>
      <c r="F12" s="3">
        <v>2730</v>
      </c>
      <c r="G12" s="3">
        <v>3890</v>
      </c>
      <c r="H12" s="3">
        <v>4820</v>
      </c>
    </row>
    <row r="13" spans="1:11" ht="21" customHeight="1">
      <c r="A13" s="3">
        <v>20021</v>
      </c>
      <c r="B13" s="4" t="s">
        <v>27</v>
      </c>
      <c r="C13" s="4">
        <v>2630</v>
      </c>
      <c r="D13" s="3">
        <v>4000</v>
      </c>
      <c r="E13" s="3">
        <v>2200</v>
      </c>
      <c r="F13" s="3">
        <v>3850</v>
      </c>
      <c r="G13" s="3">
        <v>2620</v>
      </c>
      <c r="H13" s="3">
        <v>4540</v>
      </c>
    </row>
    <row r="14" spans="1:11" ht="21" customHeight="1">
      <c r="A14" s="3">
        <v>20022</v>
      </c>
      <c r="B14" s="4" t="s">
        <v>28</v>
      </c>
      <c r="C14" s="4">
        <v>2000</v>
      </c>
      <c r="D14" s="3">
        <v>3030</v>
      </c>
      <c r="E14" s="3">
        <v>4530</v>
      </c>
      <c r="F14" s="3">
        <v>4240</v>
      </c>
      <c r="G14" s="3">
        <v>2250</v>
      </c>
      <c r="H14" s="3">
        <v>4190</v>
      </c>
    </row>
    <row r="15" spans="1:11" ht="21" customHeight="1">
      <c r="A15" s="3">
        <v>20023</v>
      </c>
      <c r="B15" s="4" t="s">
        <v>29</v>
      </c>
      <c r="C15" s="4">
        <v>2360</v>
      </c>
      <c r="D15" s="3">
        <v>3050</v>
      </c>
      <c r="E15" s="3">
        <v>4040</v>
      </c>
      <c r="F15" s="3">
        <v>3220</v>
      </c>
      <c r="G15" s="3">
        <v>2910</v>
      </c>
      <c r="H15" s="3">
        <v>4070</v>
      </c>
    </row>
    <row r="17" ht="14.25" customHeight="1"/>
    <row r="18" ht="54.75" customHeight="1"/>
    <row r="19" ht="68.25" customHeight="1"/>
    <row r="20" ht="81.75" customHeight="1"/>
    <row r="21" ht="108.75" customHeight="1"/>
    <row r="22" ht="95.25" customHeight="1"/>
  </sheetData>
  <autoFilter ref="A3:H15" xr:uid="{00000000-0009-0000-0000-000001000000}"/>
  <mergeCells count="1">
    <mergeCell ref="A1:H2"/>
  </mergeCells>
  <dataValidations count="1">
    <dataValidation type="list" allowBlank="1" showInputMessage="1" showErrorMessage="1" sqref="A4:A15" xr:uid="{00000000-0002-0000-0100-000000000000}">
      <formula1>$D$4:$D$15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Z25"/>
  <sheetViews>
    <sheetView topLeftCell="P1" zoomScale="66" zoomScaleNormal="96" workbookViewId="0">
      <selection activeCell="U8" sqref="U8"/>
    </sheetView>
  </sheetViews>
  <sheetFormatPr defaultColWidth="8.6328125" defaultRowHeight="14.5"/>
  <cols>
    <col min="2" max="2" width="10" customWidth="1"/>
    <col min="3" max="3" width="16" customWidth="1"/>
    <col min="4" max="4" width="14" customWidth="1"/>
    <col min="5" max="5" width="12" customWidth="1"/>
    <col min="6" max="7" width="10" customWidth="1"/>
    <col min="8" max="8" width="14" customWidth="1"/>
    <col min="9" max="9" width="12" customWidth="1"/>
    <col min="10" max="10" width="6.08984375" customWidth="1"/>
    <col min="11" max="11" width="16" customWidth="1"/>
    <col min="12" max="12" width="6" customWidth="1"/>
    <col min="13" max="13" width="14" customWidth="1"/>
    <col min="14" max="14" width="12" customWidth="1"/>
    <col min="15" max="16" width="10" customWidth="1"/>
    <col min="17" max="17" width="14" customWidth="1"/>
    <col min="20" max="20" width="108.7265625" bestFit="1" customWidth="1"/>
    <col min="21" max="21" width="6.08984375" bestFit="1" customWidth="1"/>
    <col min="22" max="23" width="13.36328125" bestFit="1" customWidth="1"/>
    <col min="24" max="24" width="8.08984375" bestFit="1" customWidth="1"/>
    <col min="25" max="25" width="6.36328125" bestFit="1" customWidth="1"/>
    <col min="26" max="26" width="11.26953125" bestFit="1" customWidth="1"/>
  </cols>
  <sheetData>
    <row r="3" spans="2:26" ht="23.25" customHeight="1">
      <c r="B3" s="41" t="s">
        <v>1</v>
      </c>
      <c r="C3" s="41" t="s">
        <v>2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5"/>
      <c r="J3" s="22"/>
      <c r="K3" s="41" t="s">
        <v>2</v>
      </c>
      <c r="L3" s="41" t="s">
        <v>3</v>
      </c>
      <c r="M3" s="41" t="s">
        <v>4</v>
      </c>
      <c r="N3" s="41" t="s">
        <v>5</v>
      </c>
      <c r="O3" s="41" t="s">
        <v>6</v>
      </c>
      <c r="P3" s="41" t="s">
        <v>7</v>
      </c>
      <c r="Q3" s="41" t="s">
        <v>8</v>
      </c>
      <c r="T3" s="52" t="s">
        <v>66</v>
      </c>
      <c r="U3" s="47"/>
      <c r="V3" s="32">
        <f>VLOOKUP(B7,CHOOSE({1,2},B3:B15,L3:L15),2,0)</f>
        <v>27</v>
      </c>
      <c r="W3" s="23"/>
      <c r="X3" s="23"/>
      <c r="Y3" s="23"/>
      <c r="Z3" s="24"/>
    </row>
    <row r="4" spans="2:26" ht="21" customHeight="1">
      <c r="B4" s="43">
        <v>20012</v>
      </c>
      <c r="C4" s="42" t="s">
        <v>9</v>
      </c>
      <c r="D4" s="43" t="s">
        <v>10</v>
      </c>
      <c r="E4" s="43" t="s">
        <v>11</v>
      </c>
      <c r="F4" s="43">
        <v>26500</v>
      </c>
      <c r="G4" s="43" t="s">
        <v>12</v>
      </c>
      <c r="H4" s="44">
        <v>8877456987</v>
      </c>
      <c r="I4" s="19"/>
      <c r="J4" s="21"/>
      <c r="K4" s="42" t="s">
        <v>9</v>
      </c>
      <c r="L4" s="42">
        <v>26</v>
      </c>
      <c r="M4" s="43" t="s">
        <v>10</v>
      </c>
      <c r="N4" s="43" t="s">
        <v>11</v>
      </c>
      <c r="O4" s="43">
        <v>26500</v>
      </c>
      <c r="P4" s="43" t="s">
        <v>12</v>
      </c>
      <c r="Q4" s="44">
        <v>8877456987</v>
      </c>
      <c r="T4" s="27"/>
      <c r="U4" s="28"/>
      <c r="V4" s="28"/>
      <c r="W4" s="28"/>
      <c r="X4" s="28"/>
      <c r="Y4" s="28"/>
      <c r="Z4" s="29"/>
    </row>
    <row r="5" spans="2:26" ht="21" customHeight="1">
      <c r="B5" s="43">
        <v>20013</v>
      </c>
      <c r="C5" s="42" t="s">
        <v>13</v>
      </c>
      <c r="D5" s="43" t="s">
        <v>14</v>
      </c>
      <c r="E5" s="43" t="s">
        <v>15</v>
      </c>
      <c r="F5" s="43">
        <v>13000</v>
      </c>
      <c r="G5" s="43" t="s">
        <v>16</v>
      </c>
      <c r="H5" s="44">
        <v>8569741235</v>
      </c>
      <c r="I5" s="19"/>
      <c r="J5" s="21"/>
      <c r="K5" s="42" t="s">
        <v>13</v>
      </c>
      <c r="L5" s="42">
        <v>25</v>
      </c>
      <c r="M5" s="43" t="s">
        <v>14</v>
      </c>
      <c r="N5" s="43" t="s">
        <v>15</v>
      </c>
      <c r="O5" s="43">
        <v>13000</v>
      </c>
      <c r="P5" s="43" t="s">
        <v>16</v>
      </c>
      <c r="Q5" s="44">
        <v>8569741235</v>
      </c>
      <c r="T5" s="37" t="s">
        <v>68</v>
      </c>
      <c r="U5" s="30"/>
      <c r="V5" s="33">
        <f>VLOOKUP(VLOOKUP(B4,B3:H15,2,0),K3:Q15,2,0)</f>
        <v>26</v>
      </c>
      <c r="W5" s="30"/>
      <c r="X5" s="30"/>
      <c r="Y5" s="30"/>
      <c r="Z5" s="31"/>
    </row>
    <row r="6" spans="2:26" ht="21" customHeight="1">
      <c r="B6" s="43">
        <v>20014</v>
      </c>
      <c r="C6" s="42" t="s">
        <v>17</v>
      </c>
      <c r="D6" s="43" t="s">
        <v>18</v>
      </c>
      <c r="E6" s="43" t="s">
        <v>11</v>
      </c>
      <c r="F6" s="43">
        <v>20000</v>
      </c>
      <c r="G6" s="43" t="s">
        <v>12</v>
      </c>
      <c r="H6" s="44">
        <v>7584963214</v>
      </c>
      <c r="I6" s="19"/>
      <c r="J6" s="21"/>
      <c r="K6" s="42" t="s">
        <v>17</v>
      </c>
      <c r="L6" s="42">
        <v>28</v>
      </c>
      <c r="M6" s="43" t="s">
        <v>18</v>
      </c>
      <c r="N6" s="43" t="s">
        <v>11</v>
      </c>
      <c r="O6" s="43">
        <v>20000</v>
      </c>
      <c r="P6" s="43" t="s">
        <v>12</v>
      </c>
      <c r="Q6" s="44">
        <v>7584963214</v>
      </c>
      <c r="T6" s="46" t="s">
        <v>69</v>
      </c>
      <c r="U6" s="47"/>
      <c r="V6" s="47"/>
      <c r="W6" s="47"/>
      <c r="X6" s="47"/>
      <c r="Y6" s="47"/>
      <c r="Z6" s="48"/>
    </row>
    <row r="7" spans="2:26" ht="21" customHeight="1">
      <c r="B7" s="43">
        <v>20015</v>
      </c>
      <c r="C7" s="42" t="s">
        <v>19</v>
      </c>
      <c r="D7" s="43" t="s">
        <v>14</v>
      </c>
      <c r="E7" s="43" t="s">
        <v>15</v>
      </c>
      <c r="F7" s="43">
        <v>15000</v>
      </c>
      <c r="G7" s="43" t="s">
        <v>16</v>
      </c>
      <c r="H7" s="44">
        <v>7788994455</v>
      </c>
      <c r="I7" s="19"/>
      <c r="J7" s="21"/>
      <c r="K7" s="42" t="s">
        <v>19</v>
      </c>
      <c r="L7" s="42">
        <v>27</v>
      </c>
      <c r="M7" s="43" t="s">
        <v>14</v>
      </c>
      <c r="N7" s="43" t="s">
        <v>15</v>
      </c>
      <c r="O7" s="43">
        <v>15000</v>
      </c>
      <c r="P7" s="43" t="s">
        <v>16</v>
      </c>
      <c r="Q7" s="44">
        <v>7788994455</v>
      </c>
      <c r="T7" s="27"/>
      <c r="U7" s="34" cm="1">
        <f t="array" ref="U7:Z7">VLOOKUP(VLOOKUP(B4,B3:H15,2,0),K3:Q15,{2,3,4,5,6,7},0)</f>
        <v>26</v>
      </c>
      <c r="V7" s="34" t="str">
        <v>Engineer</v>
      </c>
      <c r="W7" s="34" t="str">
        <v>Technical</v>
      </c>
      <c r="X7" s="34">
        <v>26500</v>
      </c>
      <c r="Y7" s="34" t="str">
        <v>Indore</v>
      </c>
      <c r="Z7" s="35">
        <v>8877456987</v>
      </c>
    </row>
    <row r="8" spans="2:26" ht="21" customHeight="1">
      <c r="B8" s="43">
        <v>20016</v>
      </c>
      <c r="C8" s="42" t="s">
        <v>20</v>
      </c>
      <c r="D8" s="43" t="s">
        <v>10</v>
      </c>
      <c r="E8" s="43" t="s">
        <v>11</v>
      </c>
      <c r="F8" s="43">
        <v>20000</v>
      </c>
      <c r="G8" s="43" t="s">
        <v>21</v>
      </c>
      <c r="H8" s="44">
        <v>8798654512</v>
      </c>
      <c r="I8" s="19"/>
      <c r="J8" s="21"/>
      <c r="K8" s="42" t="s">
        <v>20</v>
      </c>
      <c r="L8" s="42">
        <v>25</v>
      </c>
      <c r="M8" s="43" t="s">
        <v>10</v>
      </c>
      <c r="N8" s="43" t="s">
        <v>11</v>
      </c>
      <c r="O8" s="43">
        <v>20000</v>
      </c>
      <c r="P8" s="43" t="s">
        <v>21</v>
      </c>
      <c r="Q8" s="44">
        <v>8798654512</v>
      </c>
      <c r="T8" s="25"/>
      <c r="Z8" s="26"/>
    </row>
    <row r="9" spans="2:26" ht="21" customHeight="1">
      <c r="B9" s="43">
        <v>20017</v>
      </c>
      <c r="C9" s="42" t="s">
        <v>22</v>
      </c>
      <c r="D9" s="43" t="s">
        <v>10</v>
      </c>
      <c r="E9" s="43" t="s">
        <v>11</v>
      </c>
      <c r="F9" s="43">
        <v>33000</v>
      </c>
      <c r="G9" s="43" t="s">
        <v>16</v>
      </c>
      <c r="H9" s="44">
        <v>9874563214</v>
      </c>
      <c r="I9" s="19"/>
      <c r="J9" s="21"/>
      <c r="K9" s="42" t="s">
        <v>22</v>
      </c>
      <c r="L9" s="42">
        <v>26</v>
      </c>
      <c r="M9" s="43" t="s">
        <v>10</v>
      </c>
      <c r="N9" s="43" t="s">
        <v>11</v>
      </c>
      <c r="O9" s="43">
        <v>33000</v>
      </c>
      <c r="P9" s="43" t="s">
        <v>16</v>
      </c>
      <c r="Q9" s="44">
        <v>9874563214</v>
      </c>
      <c r="T9" s="49" t="s">
        <v>71</v>
      </c>
      <c r="U9" s="2"/>
      <c r="V9" s="2"/>
      <c r="W9" s="36" t="str">
        <f>IFERROR(VLOOKUP(VLOOKUP(B5,B3:H15,2,0),K3:Q15,MATCH(V11,K3:Q3,0),0),"Not available")</f>
        <v>Accountant</v>
      </c>
      <c r="Z9" s="26"/>
    </row>
    <row r="10" spans="2:26" ht="21" customHeight="1">
      <c r="B10" s="43">
        <v>20018</v>
      </c>
      <c r="C10" s="42" t="s">
        <v>23</v>
      </c>
      <c r="D10" s="43" t="s">
        <v>18</v>
      </c>
      <c r="E10" s="43" t="s">
        <v>11</v>
      </c>
      <c r="F10" s="43">
        <v>21000</v>
      </c>
      <c r="G10" s="43" t="s">
        <v>12</v>
      </c>
      <c r="H10" s="44">
        <v>8974563214</v>
      </c>
      <c r="I10" s="19"/>
      <c r="J10" s="21"/>
      <c r="K10" s="42" t="s">
        <v>23</v>
      </c>
      <c r="L10" s="42">
        <v>25</v>
      </c>
      <c r="M10" s="43" t="s">
        <v>18</v>
      </c>
      <c r="N10" s="43" t="s">
        <v>11</v>
      </c>
      <c r="O10" s="43">
        <v>21000</v>
      </c>
      <c r="P10" s="43" t="s">
        <v>12</v>
      </c>
      <c r="Q10" s="44">
        <v>8974563214</v>
      </c>
      <c r="T10" s="27"/>
      <c r="U10" s="28"/>
      <c r="V10" s="28"/>
      <c r="W10" s="28"/>
      <c r="X10" s="28"/>
      <c r="Y10" s="28"/>
      <c r="Z10" s="29"/>
    </row>
    <row r="11" spans="2:26" ht="15.5">
      <c r="B11" s="43">
        <v>20019</v>
      </c>
      <c r="C11" s="42" t="s">
        <v>24</v>
      </c>
      <c r="D11" s="43" t="s">
        <v>14</v>
      </c>
      <c r="E11" s="43" t="s">
        <v>15</v>
      </c>
      <c r="F11" s="43">
        <v>31500</v>
      </c>
      <c r="G11" s="43" t="s">
        <v>16</v>
      </c>
      <c r="H11" s="44">
        <v>8745968745</v>
      </c>
      <c r="I11" s="19"/>
      <c r="J11" s="21"/>
      <c r="K11" s="42" t="s">
        <v>24</v>
      </c>
      <c r="L11" s="42">
        <v>26</v>
      </c>
      <c r="M11" s="43" t="s">
        <v>14</v>
      </c>
      <c r="N11" s="43" t="s">
        <v>15</v>
      </c>
      <c r="O11" s="43">
        <v>31500</v>
      </c>
      <c r="P11" s="43" t="s">
        <v>16</v>
      </c>
      <c r="Q11" s="44">
        <v>8745968745</v>
      </c>
      <c r="T11" s="39" t="s">
        <v>65</v>
      </c>
      <c r="U11" s="50">
        <v>20019</v>
      </c>
      <c r="V11" s="51" t="s">
        <v>4</v>
      </c>
      <c r="W11" s="23"/>
      <c r="X11" s="23"/>
      <c r="Y11" s="23"/>
      <c r="Z11" s="24"/>
    </row>
    <row r="12" spans="2:26" ht="21" customHeight="1">
      <c r="B12" s="43">
        <v>20020</v>
      </c>
      <c r="C12" s="42" t="s">
        <v>26</v>
      </c>
      <c r="D12" s="43" t="s">
        <v>14</v>
      </c>
      <c r="E12" s="43" t="s">
        <v>15</v>
      </c>
      <c r="F12" s="43">
        <v>40500</v>
      </c>
      <c r="G12" s="43" t="s">
        <v>12</v>
      </c>
      <c r="H12" s="44">
        <v>9874569874</v>
      </c>
      <c r="I12" s="19"/>
      <c r="J12" s="21"/>
      <c r="K12" s="42" t="s">
        <v>26</v>
      </c>
      <c r="L12" s="42">
        <v>28</v>
      </c>
      <c r="M12" s="43" t="s">
        <v>14</v>
      </c>
      <c r="N12" s="43" t="s">
        <v>15</v>
      </c>
      <c r="O12" s="43">
        <v>40500</v>
      </c>
      <c r="P12" s="43" t="s">
        <v>12</v>
      </c>
      <c r="Q12" s="44">
        <v>9874569874</v>
      </c>
      <c r="T12" s="38" t="s">
        <v>67</v>
      </c>
      <c r="V12" s="2"/>
      <c r="W12" s="2"/>
      <c r="X12" s="2"/>
      <c r="Z12" s="26"/>
    </row>
    <row r="13" spans="2:26" ht="21" customHeight="1">
      <c r="B13" s="43">
        <v>20021</v>
      </c>
      <c r="C13" s="42" t="s">
        <v>27</v>
      </c>
      <c r="D13" s="43" t="s">
        <v>10</v>
      </c>
      <c r="E13" s="43" t="s">
        <v>11</v>
      </c>
      <c r="F13" s="43">
        <v>25500</v>
      </c>
      <c r="G13" s="43" t="s">
        <v>21</v>
      </c>
      <c r="H13" s="44">
        <v>8574965874</v>
      </c>
      <c r="I13" s="19"/>
      <c r="J13" s="21"/>
      <c r="K13" s="42" t="s">
        <v>27</v>
      </c>
      <c r="L13" s="42">
        <v>27</v>
      </c>
      <c r="M13" s="43" t="s">
        <v>10</v>
      </c>
      <c r="N13" s="43" t="s">
        <v>11</v>
      </c>
      <c r="O13" s="43">
        <v>25500</v>
      </c>
      <c r="P13" s="43" t="s">
        <v>21</v>
      </c>
      <c r="Q13" s="44">
        <v>8574965874</v>
      </c>
      <c r="T13" s="27"/>
      <c r="U13" s="28"/>
      <c r="V13" s="34" t="str">
        <f>VLOOKUP(VLOOKUP(U11,B3:H15,2,0),K3:Q15,MATCH(V11,K3:Q3,0),0)</f>
        <v>Accountant</v>
      </c>
      <c r="W13" s="28"/>
      <c r="X13" s="28"/>
      <c r="Y13" s="28"/>
      <c r="Z13" s="29"/>
    </row>
    <row r="14" spans="2:26">
      <c r="B14" s="16">
        <v>20022</v>
      </c>
      <c r="C14" s="17" t="s">
        <v>28</v>
      </c>
      <c r="D14" s="16" t="s">
        <v>14</v>
      </c>
      <c r="E14" s="16" t="s">
        <v>15</v>
      </c>
      <c r="F14" s="16">
        <v>18000</v>
      </c>
      <c r="G14" s="16" t="s">
        <v>21</v>
      </c>
      <c r="H14" s="18">
        <v>8521479632</v>
      </c>
      <c r="K14" s="13" t="s">
        <v>28</v>
      </c>
      <c r="L14" s="13">
        <v>26</v>
      </c>
      <c r="M14" s="14" t="s">
        <v>14</v>
      </c>
      <c r="N14" s="14" t="s">
        <v>15</v>
      </c>
      <c r="O14" s="14">
        <v>18000</v>
      </c>
      <c r="P14" s="14" t="s">
        <v>21</v>
      </c>
      <c r="Q14" s="15">
        <v>8521479632</v>
      </c>
      <c r="T14" s="40" t="s">
        <v>70</v>
      </c>
      <c r="U14" s="23"/>
      <c r="V14" s="32" t="str">
        <f>IFERROR(VLOOKUP(B5,B3:H15,8,0),"not available")</f>
        <v>not available</v>
      </c>
      <c r="W14" s="23"/>
      <c r="X14" s="23"/>
      <c r="Y14" s="23"/>
      <c r="Z14" s="24"/>
    </row>
    <row r="15" spans="2:26" ht="21" customHeight="1">
      <c r="B15" s="16">
        <v>20023</v>
      </c>
      <c r="C15" s="17" t="s">
        <v>29</v>
      </c>
      <c r="D15" s="16" t="s">
        <v>18</v>
      </c>
      <c r="E15" s="16" t="s">
        <v>11</v>
      </c>
      <c r="F15" s="16">
        <v>21000</v>
      </c>
      <c r="G15" s="16" t="s">
        <v>12</v>
      </c>
      <c r="H15" s="18">
        <v>8569745623</v>
      </c>
      <c r="K15" s="13" t="s">
        <v>29</v>
      </c>
      <c r="L15" s="13">
        <v>27</v>
      </c>
      <c r="M15" s="14" t="s">
        <v>18</v>
      </c>
      <c r="N15" s="14" t="s">
        <v>11</v>
      </c>
      <c r="O15" s="14">
        <v>21000</v>
      </c>
      <c r="P15" s="14" t="s">
        <v>12</v>
      </c>
      <c r="Q15" s="15">
        <v>8569745623</v>
      </c>
      <c r="T15" s="27"/>
      <c r="U15" s="28"/>
      <c r="V15" s="28"/>
      <c r="W15" s="28"/>
      <c r="X15" s="28"/>
      <c r="Y15" s="28"/>
      <c r="Z15" s="29"/>
    </row>
    <row r="17" spans="10:12" ht="18" customHeight="1"/>
    <row r="18" spans="10:12" ht="54.75" customHeight="1"/>
    <row r="19" spans="10:12" ht="14.25" customHeight="1"/>
    <row r="20" spans="10:12" ht="14.25" customHeight="1"/>
    <row r="21" spans="10:12" ht="27.75" customHeight="1"/>
    <row r="22" spans="10:12" ht="36" customHeight="1">
      <c r="J22" s="134"/>
      <c r="K22" s="134"/>
      <c r="L22" s="134"/>
    </row>
    <row r="24" spans="10:12" ht="41.25" customHeight="1"/>
    <row r="25" spans="10:12" ht="14.25" customHeight="1"/>
  </sheetData>
  <mergeCells count="1">
    <mergeCell ref="J22:L22"/>
  </mergeCells>
  <dataValidations disablePrompts="1" count="1">
    <dataValidation type="list" allowBlank="1" showInputMessage="1" showErrorMessage="1" sqref="B4:B15" xr:uid="{00000000-0002-0000-0300-000000000000}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"/>
  <sheetViews>
    <sheetView zoomScale="69" zoomScaleNormal="100" workbookViewId="0">
      <selection activeCell="J1" sqref="J1:O16"/>
    </sheetView>
  </sheetViews>
  <sheetFormatPr defaultColWidth="8.6328125" defaultRowHeight="14.5"/>
  <cols>
    <col min="1" max="1" width="16" customWidth="1"/>
    <col min="2" max="2" width="7" customWidth="1"/>
    <col min="3" max="3" width="14" customWidth="1"/>
    <col min="4" max="4" width="12" customWidth="1"/>
    <col min="5" max="6" width="10" customWidth="1"/>
    <col min="7" max="7" width="14" customWidth="1"/>
    <col min="8" max="8" width="2.81640625" customWidth="1"/>
    <col min="9" max="9" width="16" customWidth="1"/>
    <col min="10" max="10" width="13" customWidth="1"/>
    <col min="11" max="11" width="14" customWidth="1"/>
    <col min="12" max="12" width="12" customWidth="1"/>
    <col min="13" max="14" width="10" customWidth="1"/>
    <col min="15" max="15" width="14" customWidth="1"/>
    <col min="17" max="17" width="104.1796875" bestFit="1" customWidth="1"/>
    <col min="18" max="18" width="7.1796875" bestFit="1" customWidth="1"/>
    <col min="19" max="19" width="10.81640625" bestFit="1" customWidth="1"/>
    <col min="22" max="22" width="2.81640625" bestFit="1" customWidth="1"/>
  </cols>
  <sheetData>
    <row r="1" spans="1:22" ht="23.25" customHeight="1" thickBot="1">
      <c r="A1" s="1" t="s">
        <v>2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22" ht="21" customHeight="1">
      <c r="A2" s="4" t="s">
        <v>9</v>
      </c>
      <c r="B2" s="3">
        <v>20012</v>
      </c>
      <c r="C2" s="3" t="s">
        <v>10</v>
      </c>
      <c r="D2" s="3" t="s">
        <v>11</v>
      </c>
      <c r="E2" s="3">
        <v>26500</v>
      </c>
      <c r="F2" s="3" t="s">
        <v>12</v>
      </c>
      <c r="G2" s="5">
        <v>8877456987</v>
      </c>
      <c r="I2" s="4" t="s">
        <v>9</v>
      </c>
      <c r="J2" s="4">
        <v>26</v>
      </c>
      <c r="K2" s="3" t="s">
        <v>10</v>
      </c>
      <c r="L2" s="3" t="s">
        <v>11</v>
      </c>
      <c r="M2" s="3">
        <v>26500</v>
      </c>
      <c r="N2" s="3" t="s">
        <v>12</v>
      </c>
      <c r="O2" s="5">
        <v>8877456987</v>
      </c>
      <c r="Q2" s="62" t="s">
        <v>72</v>
      </c>
      <c r="R2" s="53"/>
      <c r="S2" s="54">
        <f>VLOOKUP(VLOOKUP(R3,CHOOSE({1,2},B1:B13,A1:A13),2,0),I1:O13,2,0)</f>
        <v>25</v>
      </c>
      <c r="T2" s="2"/>
      <c r="U2" s="2"/>
      <c r="V2" s="2"/>
    </row>
    <row r="3" spans="1:22" ht="21" customHeight="1">
      <c r="A3" s="4" t="s">
        <v>13</v>
      </c>
      <c r="B3" s="3">
        <v>20013</v>
      </c>
      <c r="C3" s="3" t="s">
        <v>14</v>
      </c>
      <c r="D3" s="3" t="s">
        <v>15</v>
      </c>
      <c r="E3" s="3">
        <v>13000</v>
      </c>
      <c r="F3" s="3" t="s">
        <v>16</v>
      </c>
      <c r="G3" s="5">
        <v>8569741235</v>
      </c>
      <c r="I3" s="4" t="s">
        <v>13</v>
      </c>
      <c r="J3" s="4">
        <v>25</v>
      </c>
      <c r="K3" s="3" t="s">
        <v>14</v>
      </c>
      <c r="L3" s="3" t="s">
        <v>15</v>
      </c>
      <c r="M3" s="3">
        <v>13000</v>
      </c>
      <c r="N3" s="3" t="s">
        <v>16</v>
      </c>
      <c r="O3" s="5">
        <v>8569741235</v>
      </c>
      <c r="Q3" s="61" t="s">
        <v>73</v>
      </c>
      <c r="R3" s="63">
        <v>20013</v>
      </c>
      <c r="S3" s="55"/>
    </row>
    <row r="4" spans="1:22" ht="21" customHeight="1" thickBot="1">
      <c r="A4" s="4" t="s">
        <v>17</v>
      </c>
      <c r="B4" s="3">
        <v>20014</v>
      </c>
      <c r="C4" s="3" t="s">
        <v>18</v>
      </c>
      <c r="D4" s="3" t="s">
        <v>11</v>
      </c>
      <c r="E4" s="3">
        <v>20000</v>
      </c>
      <c r="F4" s="3" t="s">
        <v>12</v>
      </c>
      <c r="G4" s="5">
        <v>7584963214</v>
      </c>
      <c r="I4" s="4" t="s">
        <v>17</v>
      </c>
      <c r="J4" s="4">
        <v>28</v>
      </c>
      <c r="K4" s="3" t="s">
        <v>18</v>
      </c>
      <c r="L4" s="3" t="s">
        <v>11</v>
      </c>
      <c r="M4" s="3">
        <v>20000</v>
      </c>
      <c r="N4" s="3" t="s">
        <v>12</v>
      </c>
      <c r="O4" s="5">
        <v>7584963214</v>
      </c>
      <c r="Q4" s="57"/>
      <c r="R4" s="58"/>
      <c r="S4" s="60"/>
    </row>
    <row r="5" spans="1:22" ht="21" customHeight="1">
      <c r="A5" s="4" t="s">
        <v>19</v>
      </c>
      <c r="B5" s="3">
        <v>20015</v>
      </c>
      <c r="C5" s="3" t="s">
        <v>14</v>
      </c>
      <c r="D5" s="3" t="s">
        <v>15</v>
      </c>
      <c r="E5" s="3">
        <v>15000</v>
      </c>
      <c r="F5" s="3" t="s">
        <v>16</v>
      </c>
      <c r="G5" s="5">
        <v>7788994455</v>
      </c>
      <c r="I5" s="4" t="s">
        <v>19</v>
      </c>
      <c r="J5" s="4">
        <v>27</v>
      </c>
      <c r="K5" s="3" t="s">
        <v>14</v>
      </c>
      <c r="L5" s="3" t="s">
        <v>15</v>
      </c>
      <c r="M5" s="3">
        <v>15000</v>
      </c>
      <c r="N5" s="3" t="s">
        <v>16</v>
      </c>
      <c r="O5" s="5">
        <v>7788994455</v>
      </c>
      <c r="Q5" s="135" t="s">
        <v>74</v>
      </c>
      <c r="R5" s="136"/>
      <c r="S5" s="137"/>
    </row>
    <row r="6" spans="1:22" ht="21" customHeight="1" thickBot="1">
      <c r="A6" s="4" t="s">
        <v>20</v>
      </c>
      <c r="B6" s="3">
        <v>20016</v>
      </c>
      <c r="C6" s="3" t="s">
        <v>10</v>
      </c>
      <c r="D6" s="3" t="s">
        <v>11</v>
      </c>
      <c r="E6" s="3">
        <v>20000</v>
      </c>
      <c r="F6" s="3" t="s">
        <v>21</v>
      </c>
      <c r="G6" s="5">
        <v>8798654512</v>
      </c>
      <c r="I6" s="4" t="s">
        <v>20</v>
      </c>
      <c r="J6" s="4">
        <v>25</v>
      </c>
      <c r="K6" s="3" t="s">
        <v>10</v>
      </c>
      <c r="L6" s="3" t="s">
        <v>11</v>
      </c>
      <c r="M6" s="3">
        <v>20000</v>
      </c>
      <c r="N6" s="3" t="s">
        <v>21</v>
      </c>
      <c r="O6" s="5">
        <v>8798654512</v>
      </c>
      <c r="Q6" s="57">
        <f t="array" ref="Q6:S6">IFERROR(VLOOKUP(VLOOKUP(R3,CHOOSE({1,2},B:B,A:A),2,0),I1:O13,{2,4,7},0),"NOT AVAILABLE")</f>
        <v>25</v>
      </c>
      <c r="R6" s="58" t="str">
        <v>Finance</v>
      </c>
      <c r="S6" s="59">
        <v>8569741235</v>
      </c>
    </row>
    <row r="7" spans="1:22" ht="21" customHeight="1">
      <c r="A7" s="4" t="s">
        <v>22</v>
      </c>
      <c r="B7" s="3">
        <v>20017</v>
      </c>
      <c r="C7" s="3" t="s">
        <v>10</v>
      </c>
      <c r="D7" s="3" t="s">
        <v>11</v>
      </c>
      <c r="E7" s="3">
        <v>33000</v>
      </c>
      <c r="F7" s="3" t="s">
        <v>16</v>
      </c>
      <c r="G7" s="5">
        <v>9874563214</v>
      </c>
      <c r="I7" s="4" t="s">
        <v>22</v>
      </c>
      <c r="J7" s="4">
        <v>26</v>
      </c>
      <c r="K7" s="3" t="s">
        <v>10</v>
      </c>
      <c r="L7" s="3" t="s">
        <v>11</v>
      </c>
      <c r="M7" s="3">
        <v>33000</v>
      </c>
      <c r="N7" s="3" t="s">
        <v>16</v>
      </c>
      <c r="O7" s="5">
        <v>9874563214</v>
      </c>
    </row>
    <row r="8" spans="1:22" ht="21" customHeight="1">
      <c r="A8" s="4" t="s">
        <v>23</v>
      </c>
      <c r="B8" s="3">
        <v>20018</v>
      </c>
      <c r="C8" s="3" t="s">
        <v>18</v>
      </c>
      <c r="D8" s="3" t="s">
        <v>11</v>
      </c>
      <c r="E8" s="3">
        <v>21000</v>
      </c>
      <c r="F8" s="3" t="s">
        <v>12</v>
      </c>
      <c r="G8" s="5">
        <v>8974563214</v>
      </c>
      <c r="I8" s="4" t="s">
        <v>23</v>
      </c>
      <c r="J8" s="4">
        <v>25</v>
      </c>
      <c r="K8" s="3" t="s">
        <v>18</v>
      </c>
      <c r="L8" s="3" t="s">
        <v>11</v>
      </c>
      <c r="M8" s="3">
        <v>21000</v>
      </c>
      <c r="N8" s="3" t="s">
        <v>12</v>
      </c>
      <c r="O8" s="5">
        <v>8974563214</v>
      </c>
    </row>
    <row r="9" spans="1:22" ht="21" customHeight="1">
      <c r="A9" s="4" t="s">
        <v>24</v>
      </c>
      <c r="B9" s="3">
        <v>20019</v>
      </c>
      <c r="C9" s="3" t="s">
        <v>14</v>
      </c>
      <c r="D9" s="3" t="s">
        <v>15</v>
      </c>
      <c r="E9" s="3">
        <v>31500</v>
      </c>
      <c r="F9" s="3" t="s">
        <v>16</v>
      </c>
      <c r="G9" s="5">
        <v>8745968745</v>
      </c>
      <c r="I9" s="4" t="s">
        <v>24</v>
      </c>
      <c r="J9" s="4">
        <v>26</v>
      </c>
      <c r="K9" s="3" t="s">
        <v>14</v>
      </c>
      <c r="L9" s="3" t="s">
        <v>15</v>
      </c>
      <c r="M9" s="3">
        <v>31500</v>
      </c>
      <c r="N9" s="3" t="s">
        <v>16</v>
      </c>
      <c r="O9" s="5">
        <v>8745968745</v>
      </c>
    </row>
    <row r="10" spans="1:22" ht="21" customHeight="1">
      <c r="A10" s="4" t="s">
        <v>26</v>
      </c>
      <c r="B10" s="3">
        <v>20020</v>
      </c>
      <c r="C10" s="3" t="s">
        <v>14</v>
      </c>
      <c r="D10" s="3" t="s">
        <v>15</v>
      </c>
      <c r="E10" s="3">
        <v>40500</v>
      </c>
      <c r="F10" s="3" t="s">
        <v>12</v>
      </c>
      <c r="G10" s="5">
        <v>9874569874</v>
      </c>
      <c r="I10" s="4" t="s">
        <v>26</v>
      </c>
      <c r="J10" s="4">
        <v>28</v>
      </c>
      <c r="K10" s="3" t="s">
        <v>14</v>
      </c>
      <c r="L10" s="3" t="s">
        <v>15</v>
      </c>
      <c r="M10" s="3">
        <v>40500</v>
      </c>
      <c r="N10" s="3" t="s">
        <v>12</v>
      </c>
      <c r="O10" s="5">
        <v>9874569874</v>
      </c>
    </row>
    <row r="11" spans="1:22" ht="21" customHeight="1">
      <c r="A11" s="4" t="s">
        <v>27</v>
      </c>
      <c r="B11" s="3">
        <v>20021</v>
      </c>
      <c r="C11" s="3" t="s">
        <v>10</v>
      </c>
      <c r="D11" s="3" t="s">
        <v>11</v>
      </c>
      <c r="E11" s="3">
        <v>25500</v>
      </c>
      <c r="F11" s="3" t="s">
        <v>21</v>
      </c>
      <c r="G11" s="5">
        <v>8574965874</v>
      </c>
      <c r="I11" s="4" t="s">
        <v>27</v>
      </c>
      <c r="J11" s="4">
        <v>27</v>
      </c>
      <c r="K11" s="3" t="s">
        <v>10</v>
      </c>
      <c r="L11" s="3" t="s">
        <v>11</v>
      </c>
      <c r="M11" s="3">
        <v>25500</v>
      </c>
      <c r="N11" s="3" t="s">
        <v>21</v>
      </c>
      <c r="O11" s="5">
        <v>8574965874</v>
      </c>
    </row>
    <row r="12" spans="1:22" ht="21" customHeight="1">
      <c r="A12" s="4" t="s">
        <v>28</v>
      </c>
      <c r="B12" s="3">
        <v>20022</v>
      </c>
      <c r="C12" s="3" t="s">
        <v>14</v>
      </c>
      <c r="D12" s="3" t="s">
        <v>15</v>
      </c>
      <c r="E12" s="3">
        <v>18000</v>
      </c>
      <c r="F12" s="3" t="s">
        <v>21</v>
      </c>
      <c r="G12" s="5">
        <v>8521479632</v>
      </c>
      <c r="I12" s="4" t="s">
        <v>28</v>
      </c>
      <c r="J12" s="4">
        <v>26</v>
      </c>
      <c r="K12" s="3" t="s">
        <v>14</v>
      </c>
      <c r="L12" s="3" t="s">
        <v>15</v>
      </c>
      <c r="M12" s="3">
        <v>18000</v>
      </c>
      <c r="N12" s="3" t="s">
        <v>21</v>
      </c>
      <c r="O12" s="5">
        <v>8521479632</v>
      </c>
    </row>
    <row r="13" spans="1:22" ht="21" customHeight="1">
      <c r="A13" s="4" t="s">
        <v>29</v>
      </c>
      <c r="B13" s="3">
        <v>20023</v>
      </c>
      <c r="C13" s="3" t="s">
        <v>18</v>
      </c>
      <c r="D13" s="3" t="s">
        <v>11</v>
      </c>
      <c r="E13" s="3">
        <v>21000</v>
      </c>
      <c r="F13" s="3" t="s">
        <v>12</v>
      </c>
      <c r="G13" s="5">
        <v>8569745623</v>
      </c>
      <c r="I13" s="4" t="s">
        <v>29</v>
      </c>
      <c r="J13" s="4">
        <v>27</v>
      </c>
      <c r="K13" s="3" t="s">
        <v>18</v>
      </c>
      <c r="L13" s="3" t="s">
        <v>11</v>
      </c>
      <c r="M13" s="3">
        <v>21000</v>
      </c>
      <c r="N13" s="3" t="s">
        <v>12</v>
      </c>
      <c r="O13" s="5">
        <v>8569745623</v>
      </c>
    </row>
    <row r="15" spans="1:22" ht="36" customHeight="1"/>
    <row r="16" spans="1:22" ht="14.25" customHeight="1"/>
    <row r="18" ht="68.25" customHeight="1"/>
    <row r="19" ht="14.25" customHeight="1"/>
  </sheetData>
  <mergeCells count="1">
    <mergeCell ref="Q5:S5"/>
  </mergeCells>
  <dataValidations count="1">
    <dataValidation type="list" allowBlank="1" showInputMessage="1" showErrorMessage="1" sqref="B2:B13" xr:uid="{00000000-0002-0000-0400-000000000000}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zoomScale="82" zoomScaleNormal="100" workbookViewId="0">
      <selection activeCell="F8" sqref="F8"/>
    </sheetView>
  </sheetViews>
  <sheetFormatPr defaultColWidth="8.6328125" defaultRowHeight="14.5"/>
  <cols>
    <col min="1" max="1" width="10" customWidth="1"/>
    <col min="2" max="2" width="8" customWidth="1"/>
    <col min="3" max="3" width="70.26953125" bestFit="1" customWidth="1"/>
    <col min="4" max="4" width="10" customWidth="1"/>
    <col min="6" max="6" width="68.08984375" bestFit="1" customWidth="1"/>
    <col min="7" max="7" width="4" bestFit="1" customWidth="1"/>
  </cols>
  <sheetData>
    <row r="1" spans="1:7" ht="51" customHeight="1">
      <c r="A1" s="1" t="s">
        <v>75</v>
      </c>
      <c r="B1" s="20" t="s">
        <v>76</v>
      </c>
      <c r="C1" s="69" t="s">
        <v>77</v>
      </c>
      <c r="D1" s="54" t="str">
        <f>VLOOKUP(D2,A1:B6,2,1)</f>
        <v>B</v>
      </c>
    </row>
    <row r="2" spans="1:7" ht="14.25" customHeight="1" thickBot="1">
      <c r="A2" s="3">
        <v>0</v>
      </c>
      <c r="B2" s="21" t="s">
        <v>78</v>
      </c>
      <c r="C2" s="67" t="s">
        <v>79</v>
      </c>
      <c r="D2" s="68">
        <v>82</v>
      </c>
    </row>
    <row r="3" spans="1:7" ht="14.25" customHeight="1">
      <c r="A3" s="3">
        <v>40</v>
      </c>
      <c r="B3" s="3" t="s">
        <v>80</v>
      </c>
    </row>
    <row r="4" spans="1:7" ht="14.25" customHeight="1">
      <c r="A4" s="3">
        <v>60</v>
      </c>
      <c r="B4" s="3" t="s">
        <v>81</v>
      </c>
    </row>
    <row r="5" spans="1:7" ht="14.25" customHeight="1">
      <c r="A5" s="3">
        <v>75</v>
      </c>
      <c r="B5" s="3" t="s">
        <v>82</v>
      </c>
    </row>
    <row r="6" spans="1:7" ht="14.25" customHeight="1">
      <c r="A6" s="3">
        <v>90</v>
      </c>
      <c r="B6" s="3" t="s">
        <v>83</v>
      </c>
    </row>
    <row r="8" spans="1:7" ht="68.25" customHeight="1"/>
    <row r="9" spans="1:7" ht="14.25" customHeight="1"/>
    <row r="10" spans="1:7" ht="14.25" customHeight="1" thickBot="1">
      <c r="A10" s="1" t="s">
        <v>87</v>
      </c>
      <c r="B10" s="1" t="s">
        <v>86</v>
      </c>
      <c r="C10" s="1" t="s">
        <v>88</v>
      </c>
      <c r="D10" s="1" t="s">
        <v>89</v>
      </c>
    </row>
    <row r="11" spans="1:7">
      <c r="A11" s="3" t="s">
        <v>90</v>
      </c>
      <c r="B11" s="3">
        <v>110</v>
      </c>
      <c r="C11" s="3">
        <v>105</v>
      </c>
      <c r="D11" s="3">
        <v>106</v>
      </c>
      <c r="F11" s="64" t="s">
        <v>84</v>
      </c>
      <c r="G11" s="54">
        <f>VLOOKUP(F12,A10:D13,MATCH(F13,A10:D10,0),0)</f>
        <v>110</v>
      </c>
    </row>
    <row r="12" spans="1:7">
      <c r="A12" s="3" t="s">
        <v>85</v>
      </c>
      <c r="B12" s="3">
        <v>110</v>
      </c>
      <c r="C12" s="3">
        <v>104</v>
      </c>
      <c r="D12" s="3">
        <v>105</v>
      </c>
      <c r="F12" s="65" t="s">
        <v>85</v>
      </c>
      <c r="G12" s="55"/>
    </row>
    <row r="13" spans="1:7" ht="14.25" customHeight="1" thickBot="1">
      <c r="A13" s="3" t="s">
        <v>91</v>
      </c>
      <c r="B13" s="3">
        <v>103</v>
      </c>
      <c r="C13" s="3">
        <v>100</v>
      </c>
      <c r="D13" s="3">
        <v>106</v>
      </c>
      <c r="F13" s="66" t="s">
        <v>86</v>
      </c>
      <c r="G13" s="6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40"/>
  <sheetViews>
    <sheetView topLeftCell="A2" zoomScale="49" zoomScaleNormal="100" workbookViewId="0">
      <selection activeCell="H15" sqref="H15"/>
    </sheetView>
  </sheetViews>
  <sheetFormatPr defaultColWidth="8.6328125" defaultRowHeight="14.5"/>
  <cols>
    <col min="3" max="3" width="87.6328125" bestFit="1" customWidth="1"/>
    <col min="4" max="4" width="12.90625" bestFit="1" customWidth="1"/>
    <col min="5" max="5" width="3.453125" bestFit="1" customWidth="1"/>
    <col min="6" max="6" width="12.90625" bestFit="1" customWidth="1"/>
    <col min="7" max="7" width="11" bestFit="1" customWidth="1"/>
    <col min="8" max="8" width="12.08984375" bestFit="1" customWidth="1"/>
    <col min="9" max="9" width="12.90625" bestFit="1" customWidth="1"/>
    <col min="10" max="10" width="10.81640625" bestFit="1" customWidth="1"/>
    <col min="11" max="11" width="11.36328125" bestFit="1" customWidth="1"/>
    <col min="12" max="12" width="12.08984375" bestFit="1" customWidth="1"/>
    <col min="13" max="13" width="12" customWidth="1"/>
    <col min="14" max="15" width="10.81640625" bestFit="1" customWidth="1"/>
    <col min="16" max="16" width="11.6328125" bestFit="1" customWidth="1"/>
    <col min="17" max="17" width="12.08984375" bestFit="1" customWidth="1"/>
  </cols>
  <sheetData>
    <row r="2" spans="3:17" ht="21" customHeight="1">
      <c r="C2" s="138" t="s">
        <v>0</v>
      </c>
      <c r="D2" s="138"/>
      <c r="E2" s="1" t="s">
        <v>1</v>
      </c>
      <c r="F2" s="1">
        <v>20012</v>
      </c>
      <c r="G2" s="1">
        <v>20013</v>
      </c>
      <c r="H2" s="1">
        <v>20014</v>
      </c>
      <c r="I2" s="1">
        <v>20015</v>
      </c>
      <c r="J2" s="1">
        <v>20016</v>
      </c>
      <c r="K2" s="1">
        <v>20017</v>
      </c>
      <c r="L2" s="1">
        <v>20018</v>
      </c>
      <c r="M2" s="1">
        <v>20019</v>
      </c>
      <c r="N2" s="1">
        <v>20020</v>
      </c>
      <c r="O2" s="1">
        <v>20021</v>
      </c>
      <c r="P2" s="1">
        <v>20022</v>
      </c>
      <c r="Q2" s="1">
        <v>20023</v>
      </c>
    </row>
    <row r="3" spans="3:17" ht="23.25" customHeight="1">
      <c r="C3" s="138"/>
      <c r="D3" s="138"/>
      <c r="E3" s="11" t="s">
        <v>2</v>
      </c>
      <c r="F3" s="4" t="s">
        <v>9</v>
      </c>
      <c r="G3" s="4" t="s">
        <v>13</v>
      </c>
      <c r="H3" s="4" t="s">
        <v>17</v>
      </c>
      <c r="I3" s="4" t="s">
        <v>19</v>
      </c>
      <c r="J3" s="4" t="s">
        <v>20</v>
      </c>
      <c r="K3" s="4" t="s">
        <v>22</v>
      </c>
      <c r="L3" s="4" t="s">
        <v>23</v>
      </c>
      <c r="M3" s="4" t="s">
        <v>24</v>
      </c>
      <c r="N3" s="4" t="s">
        <v>26</v>
      </c>
      <c r="O3" s="4" t="s">
        <v>27</v>
      </c>
      <c r="P3" s="4" t="s">
        <v>28</v>
      </c>
      <c r="Q3" s="4" t="s">
        <v>29</v>
      </c>
    </row>
    <row r="4" spans="3:17" ht="23.25" customHeight="1">
      <c r="C4" s="138"/>
      <c r="D4" s="138"/>
      <c r="E4" s="11" t="s">
        <v>3</v>
      </c>
      <c r="F4" s="4">
        <v>26</v>
      </c>
      <c r="G4" s="4">
        <v>25</v>
      </c>
      <c r="H4" s="4">
        <v>28</v>
      </c>
      <c r="I4" s="4">
        <v>27</v>
      </c>
      <c r="J4" s="4">
        <v>25</v>
      </c>
      <c r="K4" s="4">
        <v>26</v>
      </c>
      <c r="L4" s="4">
        <v>25</v>
      </c>
      <c r="M4" s="4">
        <v>26</v>
      </c>
      <c r="N4" s="4">
        <v>28</v>
      </c>
      <c r="O4" s="4">
        <v>27</v>
      </c>
      <c r="P4" s="4">
        <v>26</v>
      </c>
      <c r="Q4" s="4">
        <v>27</v>
      </c>
    </row>
    <row r="5" spans="3:17" ht="21" customHeight="1">
      <c r="C5" s="138"/>
      <c r="D5" s="138"/>
      <c r="E5" s="11" t="s">
        <v>4</v>
      </c>
      <c r="F5" s="3" t="s">
        <v>10</v>
      </c>
      <c r="G5" s="3" t="s">
        <v>14</v>
      </c>
      <c r="H5" s="3" t="s">
        <v>18</v>
      </c>
      <c r="I5" s="3" t="s">
        <v>14</v>
      </c>
      <c r="J5" s="3" t="s">
        <v>10</v>
      </c>
      <c r="K5" s="3" t="s">
        <v>10</v>
      </c>
      <c r="L5" s="3" t="s">
        <v>18</v>
      </c>
      <c r="M5" s="3" t="s">
        <v>14</v>
      </c>
      <c r="N5" s="3" t="s">
        <v>14</v>
      </c>
      <c r="O5" s="3" t="s">
        <v>10</v>
      </c>
      <c r="P5" s="3" t="s">
        <v>14</v>
      </c>
      <c r="Q5" s="3" t="s">
        <v>18</v>
      </c>
    </row>
    <row r="6" spans="3:17" ht="21" customHeight="1">
      <c r="C6" s="138"/>
      <c r="D6" s="138"/>
      <c r="E6" s="11" t="s">
        <v>5</v>
      </c>
      <c r="F6" s="3" t="s">
        <v>11</v>
      </c>
      <c r="G6" s="3" t="s">
        <v>15</v>
      </c>
      <c r="H6" s="3" t="s">
        <v>11</v>
      </c>
      <c r="I6" s="3" t="s">
        <v>15</v>
      </c>
      <c r="J6" s="3" t="s">
        <v>11</v>
      </c>
      <c r="K6" s="3" t="s">
        <v>11</v>
      </c>
      <c r="L6" s="3" t="s">
        <v>11</v>
      </c>
      <c r="M6" s="3" t="s">
        <v>15</v>
      </c>
      <c r="N6" s="3" t="s">
        <v>15</v>
      </c>
      <c r="O6" s="3" t="s">
        <v>11</v>
      </c>
      <c r="P6" s="3" t="s">
        <v>15</v>
      </c>
      <c r="Q6" s="3" t="s">
        <v>11</v>
      </c>
    </row>
    <row r="7" spans="3:17" ht="21" customHeight="1">
      <c r="C7" s="138"/>
      <c r="D7" s="138"/>
      <c r="E7" s="11" t="s">
        <v>6</v>
      </c>
      <c r="F7" s="3">
        <v>26500</v>
      </c>
      <c r="G7" s="3">
        <v>13000</v>
      </c>
      <c r="H7" s="3">
        <v>20000</v>
      </c>
      <c r="I7" s="3">
        <v>15000</v>
      </c>
      <c r="J7" s="3">
        <v>20000</v>
      </c>
      <c r="K7" s="3">
        <v>33000</v>
      </c>
      <c r="L7" s="3">
        <v>21000</v>
      </c>
      <c r="M7" s="3">
        <v>31500</v>
      </c>
      <c r="N7" s="3">
        <v>40500</v>
      </c>
      <c r="O7" s="3">
        <v>25500</v>
      </c>
      <c r="P7" s="3">
        <v>18000</v>
      </c>
      <c r="Q7" s="3">
        <v>21000</v>
      </c>
    </row>
    <row r="8" spans="3:17" ht="21" customHeight="1">
      <c r="C8" s="138"/>
      <c r="D8" s="138"/>
      <c r="E8" s="11" t="s">
        <v>7</v>
      </c>
      <c r="F8" s="3" t="s">
        <v>12</v>
      </c>
      <c r="G8" s="3" t="s">
        <v>16</v>
      </c>
      <c r="H8" s="3" t="s">
        <v>12</v>
      </c>
      <c r="I8" s="3" t="s">
        <v>16</v>
      </c>
      <c r="J8" s="3" t="s">
        <v>21</v>
      </c>
      <c r="K8" s="3" t="s">
        <v>16</v>
      </c>
      <c r="L8" s="3" t="s">
        <v>12</v>
      </c>
      <c r="M8" s="3" t="s">
        <v>16</v>
      </c>
      <c r="N8" s="3" t="s">
        <v>12</v>
      </c>
      <c r="O8" s="3" t="s">
        <v>21</v>
      </c>
      <c r="P8" s="3" t="s">
        <v>21</v>
      </c>
      <c r="Q8" s="3" t="s">
        <v>12</v>
      </c>
    </row>
    <row r="9" spans="3:17" ht="21" customHeight="1">
      <c r="C9" s="138"/>
      <c r="D9" s="138"/>
      <c r="E9" s="11" t="s">
        <v>8</v>
      </c>
      <c r="F9" s="5">
        <v>8877456987</v>
      </c>
      <c r="G9" s="5">
        <v>8569741235</v>
      </c>
      <c r="H9" s="5">
        <v>7584963214</v>
      </c>
      <c r="I9" s="5">
        <v>7788994455</v>
      </c>
      <c r="J9" s="5">
        <v>8798654512</v>
      </c>
      <c r="K9" s="5">
        <v>9874563214</v>
      </c>
      <c r="L9" s="5">
        <v>8974563214</v>
      </c>
      <c r="M9" s="5">
        <v>8745968745</v>
      </c>
      <c r="N9" s="5">
        <v>9874569874</v>
      </c>
      <c r="O9" s="5">
        <v>8574965874</v>
      </c>
      <c r="P9" s="5">
        <v>8521479632</v>
      </c>
      <c r="Q9" s="5">
        <v>8569745623</v>
      </c>
    </row>
    <row r="12" spans="3:17" ht="15" thickBot="1">
      <c r="C12" s="75" t="s">
        <v>92</v>
      </c>
      <c r="D12" s="76">
        <v>20014</v>
      </c>
    </row>
    <row r="13" spans="3:17" ht="36" customHeight="1" thickBot="1">
      <c r="C13" s="73" t="s">
        <v>93</v>
      </c>
      <c r="D13" s="71" t="str">
        <f>HLOOKUP(D12,C2:Q9,2,0)</f>
        <v>Kapil Singh</v>
      </c>
    </row>
    <row r="14" spans="3:17" ht="14.25" customHeight="1" thickBot="1"/>
    <row r="15" spans="3:17" ht="41.25" customHeight="1" thickBot="1">
      <c r="C15" s="73" t="s">
        <v>94</v>
      </c>
      <c r="D15" s="72" t="str">
        <f t="array" ref="D15:F15">HLOOKUP(D12,E2:Q9,{2,3,4},0)</f>
        <v>Kapil Singh</v>
      </c>
      <c r="E15" s="72">
        <v>28</v>
      </c>
      <c r="F15" s="71" t="str">
        <v>CAD Designer</v>
      </c>
    </row>
    <row r="16" spans="3:17" ht="14.25" customHeight="1"/>
    <row r="17" spans="3:7" ht="14.25" customHeight="1" thickBot="1"/>
    <row r="18" spans="3:7" ht="27.75" customHeight="1">
      <c r="C18" s="74" t="s">
        <v>95</v>
      </c>
      <c r="D18" s="54">
        <f>HLOOKUP(D12,E2:Q9,MATCH(C19,E2:E9,0),0)</f>
        <v>20000</v>
      </c>
      <c r="E18" s="70"/>
      <c r="F18" s="70"/>
    </row>
    <row r="19" spans="3:7" ht="14.25" customHeight="1" thickBot="1">
      <c r="C19" s="77" t="s">
        <v>6</v>
      </c>
      <c r="D19" s="60"/>
    </row>
    <row r="20" spans="3:7" ht="14.25" customHeight="1"/>
    <row r="21" spans="3:7" ht="14.25" customHeight="1"/>
    <row r="22" spans="3:7" ht="14.25" customHeight="1" thickBot="1"/>
    <row r="23" spans="3:7" ht="14.25" customHeight="1">
      <c r="C23" s="74" t="s">
        <v>96</v>
      </c>
      <c r="D23" s="54" t="str">
        <f>HLOOKUP($D$12,$E$2:$Q$9,ROWS($E$2:E3),0)</f>
        <v>Kapil Singh</v>
      </c>
      <c r="E23" s="70"/>
      <c r="F23" s="70"/>
      <c r="G23" s="70"/>
    </row>
    <row r="24" spans="3:7" ht="14.25" customHeight="1">
      <c r="C24" s="56"/>
      <c r="D24" s="55">
        <f>HLOOKUP($D$12,$E$2:$Q$9,ROWS($E$2:E4),0)</f>
        <v>28</v>
      </c>
    </row>
    <row r="25" spans="3:7" ht="14.25" customHeight="1">
      <c r="C25" s="56"/>
      <c r="D25" s="55" t="str">
        <f>HLOOKUP($D$12,$E$2:$Q$9,ROWS($E$2:E5),0)</f>
        <v>CAD Designer</v>
      </c>
    </row>
    <row r="26" spans="3:7" ht="27.75" customHeight="1">
      <c r="C26" s="56"/>
      <c r="D26" s="55" t="str">
        <f>HLOOKUP($D$12,$E$2:$Q$9,ROWS($E$2:E6),0)</f>
        <v>Technical</v>
      </c>
    </row>
    <row r="27" spans="3:7" ht="14.25" customHeight="1">
      <c r="C27" s="56"/>
      <c r="D27" s="55">
        <f>HLOOKUP($D$12,$E$2:$Q$9,ROWS($E$2:E7),0)</f>
        <v>20000</v>
      </c>
    </row>
    <row r="28" spans="3:7" ht="14.25" customHeight="1">
      <c r="C28" s="56"/>
      <c r="D28" s="55" t="str">
        <f>HLOOKUP($D$12,$E$2:$Q$9,ROWS($E$2:E8),0)</f>
        <v>Indore</v>
      </c>
    </row>
    <row r="29" spans="3:7" ht="14.25" customHeight="1" thickBot="1">
      <c r="C29" s="57"/>
      <c r="D29" s="59">
        <f>HLOOKUP($D$12,$E$2:$Q$9,ROWS($E$2:E9),0)</f>
        <v>7584963214</v>
      </c>
      <c r="F29" s="70"/>
      <c r="G29" s="70"/>
    </row>
    <row r="30" spans="3:7" ht="14.25" customHeight="1"/>
    <row r="31" spans="3:7" ht="14.25" customHeight="1"/>
    <row r="32" spans="3:7" ht="14.25" customHeight="1"/>
    <row r="33" spans="2:9" ht="14.25" customHeight="1" thickBot="1"/>
    <row r="34" spans="2:9" ht="68.25" customHeight="1">
      <c r="B34" s="126" t="s">
        <v>97</v>
      </c>
      <c r="C34" s="127"/>
      <c r="D34" s="127"/>
      <c r="E34" s="127"/>
      <c r="F34" s="127"/>
      <c r="G34" s="127"/>
      <c r="H34" s="127"/>
      <c r="I34" s="54" t="str">
        <f t="shared" ref="I34:I40" si="0">HLOOKUP($D$12,$E$2:$Q$9,ROW(E2),0)</f>
        <v>Kapil Singh</v>
      </c>
    </row>
    <row r="35" spans="2:9">
      <c r="B35" s="56"/>
      <c r="I35" s="55">
        <f t="shared" si="0"/>
        <v>28</v>
      </c>
    </row>
    <row r="36" spans="2:9">
      <c r="B36" s="56"/>
      <c r="I36" s="55" t="str">
        <f t="shared" si="0"/>
        <v>CAD Designer</v>
      </c>
    </row>
    <row r="37" spans="2:9">
      <c r="B37" s="56"/>
      <c r="I37" s="55" t="str">
        <f t="shared" si="0"/>
        <v>Technical</v>
      </c>
    </row>
    <row r="38" spans="2:9">
      <c r="B38" s="56"/>
      <c r="I38" s="55">
        <f t="shared" si="0"/>
        <v>20000</v>
      </c>
    </row>
    <row r="39" spans="2:9">
      <c r="B39" s="56"/>
      <c r="I39" s="55" t="str">
        <f t="shared" si="0"/>
        <v>Indore</v>
      </c>
    </row>
    <row r="40" spans="2:9" ht="15" thickBot="1">
      <c r="B40" s="57"/>
      <c r="C40" s="58"/>
      <c r="D40" s="58"/>
      <c r="E40" s="58"/>
      <c r="F40" s="58"/>
      <c r="G40" s="58"/>
      <c r="H40" s="58"/>
      <c r="I40" s="60">
        <f t="shared" si="0"/>
        <v>7584963214</v>
      </c>
    </row>
  </sheetData>
  <mergeCells count="2">
    <mergeCell ref="B34:H34"/>
    <mergeCell ref="C2:D9"/>
  </mergeCells>
  <dataValidations count="1">
    <dataValidation type="list" allowBlank="1" showInputMessage="1" showErrorMessage="1" sqref="F2:Q2" xr:uid="{00000000-0002-0000-0600-000000000000}">
      <formula1>$D$4:$D$15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1"/>
  <sheetViews>
    <sheetView tabSelected="1" zoomScale="31" zoomScaleNormal="95" workbookViewId="0">
      <selection activeCell="S7" sqref="S7"/>
    </sheetView>
  </sheetViews>
  <sheetFormatPr defaultColWidth="8.6328125" defaultRowHeight="14.5"/>
  <cols>
    <col min="1" max="1" width="10" customWidth="1"/>
    <col min="2" max="2" width="16" customWidth="1"/>
    <col min="3" max="3" width="6" customWidth="1"/>
    <col min="4" max="5" width="12" customWidth="1"/>
    <col min="6" max="7" width="10" customWidth="1"/>
    <col min="8" max="8" width="12" customWidth="1"/>
    <col min="10" max="10" width="16" customWidth="1"/>
    <col min="11" max="11" width="6" customWidth="1"/>
    <col min="12" max="12" width="101.90625" bestFit="1" customWidth="1"/>
    <col min="13" max="13" width="13.26953125" bestFit="1" customWidth="1"/>
    <col min="14" max="14" width="12.81640625" bestFit="1" customWidth="1"/>
    <col min="15" max="15" width="11.26953125" bestFit="1" customWidth="1"/>
    <col min="16" max="16" width="12.81640625" bestFit="1" customWidth="1"/>
    <col min="17" max="17" width="7.1796875" bestFit="1" customWidth="1"/>
    <col min="18" max="19" width="12.81640625" bestFit="1" customWidth="1"/>
    <col min="20" max="20" width="10.54296875" bestFit="1" customWidth="1"/>
    <col min="21" max="21" width="7.6328125" bestFit="1" customWidth="1"/>
    <col min="22" max="22" width="6.36328125" bestFit="1" customWidth="1"/>
    <col min="23" max="23" width="6.54296875" bestFit="1" customWidth="1"/>
    <col min="24" max="24" width="11.81640625" bestFit="1" customWidth="1"/>
  </cols>
  <sheetData>
    <row r="1" spans="1:19" ht="14.25" customHeight="1">
      <c r="A1" s="139" t="s">
        <v>0</v>
      </c>
      <c r="B1" s="139"/>
      <c r="C1" s="139"/>
      <c r="D1" s="139"/>
      <c r="E1" s="139"/>
      <c r="F1" s="139"/>
      <c r="G1" s="139"/>
      <c r="H1" s="139"/>
    </row>
    <row r="2" spans="1:19" ht="14.25" customHeight="1">
      <c r="A2" s="139"/>
      <c r="B2" s="139"/>
      <c r="C2" s="139"/>
      <c r="D2" s="139"/>
      <c r="E2" s="139"/>
      <c r="F2" s="139"/>
      <c r="G2" s="139"/>
      <c r="H2" s="139"/>
    </row>
    <row r="3" spans="1:19" ht="23.25" customHeight="1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L3" s="83"/>
      <c r="M3" s="83"/>
      <c r="N3" s="83"/>
      <c r="O3" s="83"/>
      <c r="P3" s="83"/>
      <c r="Q3" s="83"/>
      <c r="R3" s="83"/>
      <c r="S3" s="83"/>
    </row>
    <row r="4" spans="1:19" ht="21" customHeight="1">
      <c r="A4" s="3">
        <v>20012</v>
      </c>
      <c r="B4" s="4" t="s">
        <v>9</v>
      </c>
      <c r="C4" s="4">
        <v>26</v>
      </c>
      <c r="D4" s="3" t="s">
        <v>10</v>
      </c>
      <c r="E4" s="3" t="s">
        <v>11</v>
      </c>
      <c r="F4" s="3">
        <v>26500</v>
      </c>
      <c r="G4" s="3" t="s">
        <v>12</v>
      </c>
      <c r="H4" s="5">
        <v>8877456987</v>
      </c>
      <c r="L4" s="87" t="s">
        <v>98</v>
      </c>
      <c r="M4" s="88"/>
      <c r="N4" s="88"/>
      <c r="O4" s="88"/>
      <c r="P4" s="88"/>
      <c r="Q4" s="88"/>
      <c r="R4" s="88"/>
      <c r="S4" s="89"/>
    </row>
    <row r="5" spans="1:19" ht="21" customHeight="1">
      <c r="A5" s="3">
        <v>20013</v>
      </c>
      <c r="B5" s="4" t="s">
        <v>13</v>
      </c>
      <c r="C5" s="4">
        <v>25</v>
      </c>
      <c r="D5" s="3" t="s">
        <v>14</v>
      </c>
      <c r="E5" s="3" t="s">
        <v>15</v>
      </c>
      <c r="F5" s="3">
        <v>13000</v>
      </c>
      <c r="G5" s="3" t="s">
        <v>16</v>
      </c>
      <c r="H5" s="5">
        <v>8569741235</v>
      </c>
      <c r="L5" s="61" t="s">
        <v>92</v>
      </c>
      <c r="M5" s="3"/>
      <c r="N5" s="3"/>
      <c r="O5" s="3"/>
      <c r="P5" s="3"/>
      <c r="Q5" s="3"/>
      <c r="R5" s="3"/>
      <c r="S5" s="90"/>
    </row>
    <row r="6" spans="1:19" ht="21" customHeight="1" thickBot="1">
      <c r="A6" s="3">
        <v>20014</v>
      </c>
      <c r="B6" s="4" t="s">
        <v>17</v>
      </c>
      <c r="C6" s="4">
        <v>28</v>
      </c>
      <c r="D6" s="3" t="s">
        <v>18</v>
      </c>
      <c r="E6" s="3" t="s">
        <v>11</v>
      </c>
      <c r="F6" s="3">
        <v>20000</v>
      </c>
      <c r="G6" s="3" t="s">
        <v>12</v>
      </c>
      <c r="H6" s="5">
        <v>7584963214</v>
      </c>
      <c r="L6" s="91">
        <v>20015</v>
      </c>
      <c r="M6" s="92" t="str">
        <f>VLOOKUP(L6,A3:H15,2,0)</f>
        <v>Ali Asgar</v>
      </c>
      <c r="N6" s="92">
        <f>VLOOKUP(L6,A3:H15,3,0)</f>
        <v>27</v>
      </c>
      <c r="O6" s="92" t="str">
        <f>VLOOKUP(L6,A3:H15,4,0)</f>
        <v>Accountant</v>
      </c>
      <c r="P6" s="92" t="str">
        <f>VLOOKUP(L6,A3:H15,5,0)</f>
        <v>Finance</v>
      </c>
      <c r="Q6" s="92">
        <f>VLOOKUP(L6,A3:H15,6,0)</f>
        <v>15000</v>
      </c>
      <c r="R6" s="92" t="str">
        <f>VLOOKUP(L6,A3:H15,7,0)</f>
        <v>Bhopal</v>
      </c>
      <c r="S6" s="93">
        <f>VLOOKUP(L6,A3:H15,8,0)</f>
        <v>7788994455</v>
      </c>
    </row>
    <row r="7" spans="1:19" ht="21" customHeight="1" thickBot="1">
      <c r="A7" s="3">
        <v>20015</v>
      </c>
      <c r="B7" s="4" t="s">
        <v>19</v>
      </c>
      <c r="C7" s="4">
        <v>27</v>
      </c>
      <c r="D7" s="3" t="s">
        <v>14</v>
      </c>
      <c r="E7" s="3" t="s">
        <v>15</v>
      </c>
      <c r="F7" s="3">
        <v>15000</v>
      </c>
      <c r="G7" s="3" t="s">
        <v>16</v>
      </c>
      <c r="H7" s="5">
        <v>7788994455</v>
      </c>
      <c r="J7" s="2"/>
      <c r="L7" s="94" t="s">
        <v>99</v>
      </c>
      <c r="M7" s="82">
        <f>VLOOKUP(B8,B3:H15,5,0)</f>
        <v>20000</v>
      </c>
      <c r="N7" s="98"/>
      <c r="O7" s="98"/>
      <c r="P7" s="98"/>
      <c r="Q7" s="98"/>
      <c r="R7" s="99"/>
      <c r="S7" s="100"/>
    </row>
    <row r="8" spans="1:19" ht="21" customHeight="1" thickBot="1">
      <c r="A8" s="3">
        <v>20016</v>
      </c>
      <c r="B8" s="4" t="s">
        <v>20</v>
      </c>
      <c r="C8" s="4">
        <v>25</v>
      </c>
      <c r="D8" s="3" t="s">
        <v>10</v>
      </c>
      <c r="E8" s="3" t="s">
        <v>11</v>
      </c>
      <c r="F8" s="3">
        <v>20000</v>
      </c>
      <c r="G8" s="3" t="s">
        <v>21</v>
      </c>
      <c r="H8" s="5">
        <v>8798654512</v>
      </c>
    </row>
    <row r="9" spans="1:19" ht="21" customHeight="1">
      <c r="A9" s="3">
        <v>20017</v>
      </c>
      <c r="B9" s="4" t="s">
        <v>22</v>
      </c>
      <c r="C9" s="4">
        <v>26</v>
      </c>
      <c r="D9" s="3" t="s">
        <v>10</v>
      </c>
      <c r="E9" s="3" t="s">
        <v>11</v>
      </c>
      <c r="F9" s="3">
        <v>33000</v>
      </c>
      <c r="G9" s="3" t="s">
        <v>16</v>
      </c>
      <c r="H9" s="5">
        <v>9874563214</v>
      </c>
      <c r="L9" s="84" t="s">
        <v>106</v>
      </c>
      <c r="M9" s="85"/>
      <c r="N9" s="85"/>
      <c r="O9" s="85"/>
      <c r="P9" s="85"/>
      <c r="Q9" s="85"/>
      <c r="R9" s="85"/>
      <c r="S9" s="86"/>
    </row>
    <row r="10" spans="1:19" ht="21" customHeight="1">
      <c r="A10" s="3">
        <v>20018</v>
      </c>
      <c r="B10" s="4" t="s">
        <v>23</v>
      </c>
      <c r="C10" s="4">
        <v>25</v>
      </c>
      <c r="D10" s="3" t="s">
        <v>18</v>
      </c>
      <c r="E10" s="3" t="s">
        <v>11</v>
      </c>
      <c r="F10" s="3">
        <v>21000</v>
      </c>
      <c r="G10" s="3" t="s">
        <v>12</v>
      </c>
      <c r="H10" s="5">
        <v>8974563214</v>
      </c>
      <c r="L10" s="56">
        <v>20016</v>
      </c>
      <c r="M10" s="3" t="str">
        <f t="array" ref="M10:P10">VLOOKUP(A8,A3:H15,{2,4,6,8},0)</f>
        <v>Sunil Singh</v>
      </c>
      <c r="N10" s="3" t="str">
        <v>Engineer</v>
      </c>
      <c r="O10" s="3">
        <v>20000</v>
      </c>
      <c r="P10" s="5">
        <v>8798654512</v>
      </c>
      <c r="Q10" s="3"/>
      <c r="R10" s="3"/>
      <c r="S10" s="90"/>
    </row>
    <row r="11" spans="1:19" ht="21" customHeight="1">
      <c r="A11" s="3">
        <v>20019</v>
      </c>
      <c r="B11" s="4" t="s">
        <v>24</v>
      </c>
      <c r="C11" s="4">
        <v>26</v>
      </c>
      <c r="D11" s="3" t="s">
        <v>14</v>
      </c>
      <c r="E11" s="3" t="s">
        <v>15</v>
      </c>
      <c r="F11" s="3">
        <v>31500</v>
      </c>
      <c r="G11" s="3" t="s">
        <v>16</v>
      </c>
      <c r="H11" s="5">
        <v>8745968745</v>
      </c>
      <c r="L11" s="56">
        <v>20017</v>
      </c>
      <c r="M11" s="3" t="str">
        <f t="array" ref="M11:P11">VLOOKUP(A9,A4:H16,{2,4,6,8},0)</f>
        <v>Mohan Patel</v>
      </c>
      <c r="N11" s="3" t="str">
        <v>Engineer</v>
      </c>
      <c r="O11" s="3">
        <v>33000</v>
      </c>
      <c r="P11" s="5">
        <v>9874563214</v>
      </c>
      <c r="S11" s="55"/>
    </row>
    <row r="12" spans="1:19" ht="21" customHeight="1" thickBot="1">
      <c r="A12" s="3">
        <v>20020</v>
      </c>
      <c r="B12" s="4" t="s">
        <v>26</v>
      </c>
      <c r="C12" s="4">
        <v>28</v>
      </c>
      <c r="D12" s="3" t="s">
        <v>14</v>
      </c>
      <c r="E12" s="3" t="s">
        <v>15</v>
      </c>
      <c r="F12" s="3">
        <v>40500</v>
      </c>
      <c r="G12" s="3" t="s">
        <v>12</v>
      </c>
      <c r="H12" s="5">
        <v>9874569874</v>
      </c>
      <c r="L12" s="57">
        <v>20020</v>
      </c>
      <c r="M12" s="92" t="str">
        <f t="array" ref="M12:P12">VLOOKUP(A10,A5:H17,{2,4,6,8},0)</f>
        <v>Ravi Verma</v>
      </c>
      <c r="N12" s="92" t="str">
        <v>CAD Designer</v>
      </c>
      <c r="O12" s="92">
        <v>21000</v>
      </c>
      <c r="P12" s="95">
        <v>8974563214</v>
      </c>
      <c r="Q12" s="92"/>
      <c r="R12" s="92"/>
      <c r="S12" s="96"/>
    </row>
    <row r="13" spans="1:19" ht="21" customHeight="1" thickBot="1">
      <c r="A13" s="3">
        <v>20021</v>
      </c>
      <c r="B13" s="4" t="s">
        <v>27</v>
      </c>
      <c r="C13" s="4">
        <v>27</v>
      </c>
      <c r="D13" s="3" t="s">
        <v>10</v>
      </c>
      <c r="E13" s="3" t="s">
        <v>11</v>
      </c>
      <c r="F13" s="3">
        <v>25500</v>
      </c>
      <c r="G13" s="3" t="s">
        <v>21</v>
      </c>
      <c r="H13" s="5">
        <v>8574965874</v>
      </c>
      <c r="M13" s="101"/>
      <c r="N13" s="101"/>
      <c r="O13" s="101"/>
      <c r="P13" s="101"/>
      <c r="Q13" s="101"/>
      <c r="R13" s="101"/>
      <c r="S13" s="97"/>
    </row>
    <row r="14" spans="1:19" ht="21" customHeight="1" thickBot="1">
      <c r="A14" s="3">
        <v>20022</v>
      </c>
      <c r="B14" s="4" t="s">
        <v>28</v>
      </c>
      <c r="C14" s="4">
        <v>26</v>
      </c>
      <c r="D14" s="3" t="s">
        <v>14</v>
      </c>
      <c r="E14" s="3" t="s">
        <v>15</v>
      </c>
      <c r="F14" s="3">
        <v>18000</v>
      </c>
      <c r="G14" s="3" t="s">
        <v>21</v>
      </c>
      <c r="H14" s="5">
        <v>8521479632</v>
      </c>
      <c r="L14" s="73" t="s">
        <v>100</v>
      </c>
      <c r="M14" s="72">
        <f t="array" ref="M14:R14">VLOOKUP(B12,B3:H15,{2,3,4,5,6,7},0)</f>
        <v>28</v>
      </c>
      <c r="N14" s="72" t="str">
        <v>Accountant</v>
      </c>
      <c r="O14" s="72" t="str">
        <v>Finance</v>
      </c>
      <c r="P14" s="72">
        <v>40500</v>
      </c>
      <c r="Q14" s="72" t="str">
        <v>Indore</v>
      </c>
      <c r="R14" s="102">
        <v>9874569874</v>
      </c>
    </row>
    <row r="15" spans="1:19" ht="21" customHeight="1" thickBot="1">
      <c r="A15" s="3">
        <v>20023</v>
      </c>
      <c r="B15" s="4" t="s">
        <v>29</v>
      </c>
      <c r="C15" s="4">
        <v>27</v>
      </c>
      <c r="D15" s="3" t="s">
        <v>18</v>
      </c>
      <c r="E15" s="3" t="s">
        <v>11</v>
      </c>
      <c r="F15" s="3">
        <v>21000</v>
      </c>
      <c r="G15" s="3" t="s">
        <v>12</v>
      </c>
      <c r="H15" s="5">
        <v>8569745623</v>
      </c>
      <c r="S15" s="3"/>
    </row>
    <row r="16" spans="1:19">
      <c r="L16" s="74" t="s">
        <v>101</v>
      </c>
      <c r="M16" s="78"/>
      <c r="N16" s="78"/>
      <c r="O16" s="79"/>
      <c r="P16" s="79"/>
      <c r="Q16" s="79"/>
      <c r="R16" s="79"/>
      <c r="S16" s="54"/>
    </row>
    <row r="17" spans="12:19" ht="27.75" customHeight="1">
      <c r="L17" s="56"/>
      <c r="M17" s="80" t="s">
        <v>92</v>
      </c>
      <c r="N17" s="81" t="s">
        <v>2</v>
      </c>
      <c r="S17" s="55"/>
    </row>
    <row r="18" spans="12:19" ht="36" customHeight="1" thickBot="1">
      <c r="L18" s="57"/>
      <c r="M18" s="58">
        <v>20017</v>
      </c>
      <c r="N18" s="58" t="str">
        <f>VLOOKUP(M18,A3:H15,MATCH(N17,A3:H3,0),0)</f>
        <v>Mohan Patel</v>
      </c>
      <c r="O18" s="58"/>
      <c r="P18" s="58"/>
      <c r="Q18" s="58"/>
      <c r="R18" s="58"/>
      <c r="S18" s="60"/>
    </row>
    <row r="19" spans="12:19" ht="14.25" customHeight="1"/>
    <row r="20" spans="12:19" ht="14.25" customHeight="1" thickBot="1"/>
    <row r="21" spans="12:19" ht="36" customHeight="1" thickBot="1">
      <c r="L21" s="104" t="s">
        <v>102</v>
      </c>
      <c r="M21" s="72">
        <f>MATCH(B3,A3:H3,0)</f>
        <v>2</v>
      </c>
      <c r="N21" s="103"/>
      <c r="O21" s="2"/>
      <c r="P21" s="2"/>
    </row>
  </sheetData>
  <mergeCells count="1">
    <mergeCell ref="A1:H2"/>
  </mergeCells>
  <dataValidations disablePrompts="1" count="3">
    <dataValidation type="list" allowBlank="1" showInputMessage="1" showErrorMessage="1" sqref="A4:A15" xr:uid="{00000000-0002-0000-0700-000000000000}">
      <formula1>$D$4:$D$15</formula1>
      <formula2>0</formula2>
    </dataValidation>
    <dataValidation type="list" allowBlank="1" showInputMessage="1" showErrorMessage="1" sqref="M18 J20" xr:uid="{00000000-0002-0000-0700-000001000000}">
      <formula1>$A$4:$A$15</formula1>
      <formula2>0</formula2>
    </dataValidation>
    <dataValidation type="list" allowBlank="1" showInputMessage="1" showErrorMessage="1" sqref="N17" xr:uid="{00000000-0002-0000-0700-000002000000}">
      <formula1>$A$3:$H$3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</vt:lpstr>
      <vt:lpstr> hlookup(employee_table)</vt:lpstr>
      <vt:lpstr>subtotal</vt:lpstr>
      <vt:lpstr>Vlookup(2)</vt:lpstr>
      <vt:lpstr>vlookup(3)</vt:lpstr>
      <vt:lpstr>approximate_match</vt:lpstr>
      <vt:lpstr>hlookup(2)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 Kumar</dc:creator>
  <dc:description/>
  <cp:lastModifiedBy>vishwas9302821830@outlook.com</cp:lastModifiedBy>
  <cp:revision>0</cp:revision>
  <dcterms:created xsi:type="dcterms:W3CDTF">2026-01-12T05:14:39Z</dcterms:created>
  <dcterms:modified xsi:type="dcterms:W3CDTF">2026-08-22T08:05:09Z</dcterms:modified>
  <dc:language>en-US</dc:language>
</cp:coreProperties>
</file>