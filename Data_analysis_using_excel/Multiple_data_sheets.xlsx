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ISHWAS SHARMA\Documents\Xcel_portfolio\"/>
    </mc:Choice>
  </mc:AlternateContent>
  <xr:revisionPtr revIDLastSave="0" documentId="8_{F41EB874-1D91-47B8-A57F-19394AE06DD9}" xr6:coauthVersionLast="47" xr6:coauthVersionMax="47" xr10:uidLastSave="{00000000-0000-0000-0000-000000000000}"/>
  <bookViews>
    <workbookView xWindow="-110" yWindow="-110" windowWidth="19420" windowHeight="10300" tabRatio="500" firstSheet="3" activeTab="9" xr2:uid="{00000000-000D-0000-FFFF-FFFF00000000}"/>
  </bookViews>
  <sheets>
    <sheet name="Sales Table" sheetId="1" r:id="rId1"/>
    <sheet name="Employee Table" sheetId="2" r:id="rId2"/>
    <sheet name="Product Table" sheetId="3" r:id="rId3"/>
    <sheet name="Employee Table(2)" sheetId="12" r:id="rId4"/>
    <sheet name="FoodStore" sheetId="10" r:id="rId5"/>
    <sheet name="Filter" sheetId="5" r:id="rId6"/>
    <sheet name="Filter with multiple condition" sheetId="6" r:id="rId7"/>
    <sheet name="index" sheetId="7" r:id="rId8"/>
    <sheet name="student_table(1)" sheetId="8" r:id="rId9"/>
    <sheet name="student Table" sheetId="9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" i="12" l="1"/>
  <c r="K4" i="12" a="1"/>
  <c r="K4" i="12" s="1"/>
  <c r="K7" i="12" a="1"/>
  <c r="K7" i="12" s="1"/>
  <c r="K10" i="12" a="1"/>
  <c r="K10" i="12" s="1"/>
  <c r="L12" i="12"/>
  <c r="M12" i="12"/>
  <c r="N12" i="12"/>
  <c r="O12" i="12"/>
  <c r="F2" i="10"/>
  <c r="F3" i="10"/>
  <c r="F4" i="10"/>
  <c r="F5" i="10"/>
  <c r="F6" i="10"/>
  <c r="F7" i="10"/>
  <c r="F8" i="10"/>
  <c r="F9" i="10"/>
  <c r="F10" i="10"/>
  <c r="C11" i="10"/>
  <c r="F11" i="10" s="1"/>
  <c r="D11" i="10"/>
  <c r="E11" i="10"/>
  <c r="C15" i="10"/>
  <c r="C16" i="10"/>
  <c r="C17" i="10"/>
  <c r="C18" i="10"/>
  <c r="D6" i="9" a="1"/>
  <c r="D6" i="9" s="1"/>
  <c r="D5" i="9" a="1"/>
  <c r="D5" i="9" s="1"/>
  <c r="J4" i="9"/>
  <c r="D4" i="9" a="1"/>
  <c r="D4" i="9" s="1"/>
  <c r="J3" i="9"/>
  <c r="D3" i="9" a="1"/>
  <c r="D3" i="9" s="1"/>
  <c r="D2" i="9" a="1"/>
  <c r="D2" i="9" s="1"/>
  <c r="A2" i="8" a="1"/>
  <c r="A18" i="8" s="1"/>
  <c r="I15" i="7"/>
  <c r="I12" i="7"/>
  <c r="I9" i="7"/>
  <c r="I6" i="7"/>
  <c r="I5" i="7"/>
  <c r="I4" i="7"/>
  <c r="I3" i="7"/>
  <c r="I2" i="7"/>
  <c r="N26" i="6"/>
  <c r="K26" i="6"/>
  <c r="J26" i="6"/>
  <c r="M25" i="6"/>
  <c r="K25" i="6"/>
  <c r="J25" i="6" a="1"/>
  <c r="L25" i="6" s="1"/>
  <c r="K22" i="6"/>
  <c r="J22" i="6" a="1"/>
  <c r="N22" i="6" s="1"/>
  <c r="J22" i="6"/>
  <c r="J20" i="6" a="1"/>
  <c r="J20" i="6" s="1"/>
  <c r="N18" i="6"/>
  <c r="M18" i="6"/>
  <c r="K18" i="6"/>
  <c r="J18" i="6"/>
  <c r="N17" i="6"/>
  <c r="K17" i="6"/>
  <c r="J17" i="6"/>
  <c r="M16" i="6"/>
  <c r="L16" i="6"/>
  <c r="K16" i="6"/>
  <c r="J16" i="6" a="1"/>
  <c r="M17" i="6" s="1"/>
  <c r="K14" i="6"/>
  <c r="J14" i="6" a="1"/>
  <c r="N14" i="6" s="1"/>
  <c r="J14" i="6"/>
  <c r="J12" i="6" a="1"/>
  <c r="J12" i="6" s="1"/>
  <c r="J7" i="6" a="1"/>
  <c r="L8" i="6" s="1"/>
  <c r="M3" i="6"/>
  <c r="J3" i="6" a="1"/>
  <c r="L3" i="6" s="1"/>
  <c r="H19" i="5"/>
  <c r="G19" i="5" a="1"/>
  <c r="I19" i="5" s="1"/>
  <c r="G19" i="5"/>
  <c r="G17" i="5" a="1"/>
  <c r="I17" i="5" s="1"/>
  <c r="G13" i="5" a="1"/>
  <c r="H15" i="5" s="1"/>
  <c r="I10" i="5"/>
  <c r="H10" i="5"/>
  <c r="G10" i="5"/>
  <c r="H9" i="5"/>
  <c r="G9" i="5"/>
  <c r="I8" i="5"/>
  <c r="H8" i="5"/>
  <c r="G8" i="5"/>
  <c r="I7" i="5"/>
  <c r="H7" i="5"/>
  <c r="G7" i="5" a="1"/>
  <c r="I9" i="5" s="1"/>
  <c r="G7" i="5"/>
  <c r="I4" i="5"/>
  <c r="H4" i="5"/>
  <c r="G4" i="5"/>
  <c r="I3" i="5"/>
  <c r="H3" i="5"/>
  <c r="G3" i="5" a="1"/>
  <c r="G3" i="5" s="1"/>
  <c r="K10" i="3"/>
  <c r="K7" i="3" a="1"/>
  <c r="M7" i="3" s="1"/>
  <c r="G7" i="3"/>
  <c r="G6" i="3"/>
  <c r="G5" i="3"/>
  <c r="K4" i="3" a="1"/>
  <c r="K6" i="3" s="1"/>
  <c r="G4" i="3"/>
  <c r="K3" i="3"/>
  <c r="G3" i="3"/>
  <c r="K2" i="3"/>
  <c r="G2" i="3"/>
  <c r="F6" i="2"/>
  <c r="F5" i="2"/>
  <c r="K4" i="2"/>
  <c r="F4" i="2"/>
  <c r="K3" i="2"/>
  <c r="F3" i="2"/>
  <c r="K2" i="2"/>
  <c r="F2" i="2"/>
  <c r="I7" i="1"/>
  <c r="I6" i="1"/>
  <c r="I5" i="1"/>
  <c r="I4" i="1"/>
  <c r="I3" i="1"/>
  <c r="I2" i="1"/>
  <c r="L14" i="6" l="1"/>
  <c r="N16" i="6"/>
  <c r="L18" i="6"/>
  <c r="L22" i="6"/>
  <c r="N25" i="6"/>
  <c r="A3" i="8"/>
  <c r="F4" i="8" s="1" a="1"/>
  <c r="A11" i="8"/>
  <c r="A19" i="8"/>
  <c r="K7" i="3"/>
  <c r="H13" i="5"/>
  <c r="G16" i="5"/>
  <c r="N3" i="6"/>
  <c r="K7" i="6"/>
  <c r="N8" i="6"/>
  <c r="K12" i="6"/>
  <c r="M14" i="6"/>
  <c r="M22" i="6"/>
  <c r="A4" i="8"/>
  <c r="A12" i="8"/>
  <c r="A20" i="8"/>
  <c r="I15" i="5"/>
  <c r="M8" i="6"/>
  <c r="K4" i="3"/>
  <c r="L7" i="3"/>
  <c r="G14" i="5"/>
  <c r="I16" i="5"/>
  <c r="K4" i="6"/>
  <c r="M7" i="6"/>
  <c r="K9" i="6"/>
  <c r="M12" i="6"/>
  <c r="J16" i="6"/>
  <c r="L17" i="6"/>
  <c r="J25" i="6"/>
  <c r="L26" i="6"/>
  <c r="A6" i="8"/>
  <c r="A14" i="8"/>
  <c r="I13" i="5"/>
  <c r="H16" i="5"/>
  <c r="J4" i="6"/>
  <c r="L7" i="6"/>
  <c r="J9" i="6"/>
  <c r="L12" i="6"/>
  <c r="A5" i="8"/>
  <c r="A13" i="8"/>
  <c r="A21" i="8"/>
  <c r="K5" i="3"/>
  <c r="H14" i="5"/>
  <c r="G17" i="5"/>
  <c r="J3" i="6"/>
  <c r="L4" i="6"/>
  <c r="N7" i="6"/>
  <c r="L9" i="6"/>
  <c r="N12" i="6"/>
  <c r="M26" i="6"/>
  <c r="A7" i="8"/>
  <c r="A15" i="8"/>
  <c r="I14" i="5"/>
  <c r="M4" i="6"/>
  <c r="J8" i="6"/>
  <c r="M9" i="6"/>
  <c r="A8" i="8"/>
  <c r="A16" i="8"/>
  <c r="G15" i="5"/>
  <c r="H17" i="5"/>
  <c r="K3" i="6"/>
  <c r="N4" i="6"/>
  <c r="K8" i="6"/>
  <c r="N9" i="6"/>
  <c r="A2" i="8"/>
  <c r="A9" i="8"/>
  <c r="A17" i="8"/>
  <c r="G13" i="5"/>
  <c r="J7" i="6"/>
  <c r="A10" i="8"/>
  <c r="I8" i="8" l="1"/>
  <c r="I6" i="8"/>
  <c r="I4" i="8"/>
  <c r="H8" i="8"/>
  <c r="H6" i="8"/>
  <c r="H4" i="8"/>
  <c r="G8" i="8"/>
  <c r="G6" i="8"/>
  <c r="G4" i="8"/>
  <c r="F8" i="8"/>
  <c r="F6" i="8"/>
  <c r="H9" i="8"/>
  <c r="H7" i="8"/>
  <c r="H5" i="8"/>
  <c r="I9" i="8"/>
  <c r="I7" i="8"/>
  <c r="I5" i="8"/>
  <c r="F4" i="8"/>
  <c r="G9" i="8"/>
  <c r="G7" i="8"/>
  <c r="G5" i="8"/>
  <c r="F9" i="8"/>
  <c r="F7" i="8"/>
  <c r="F5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<sst xmlns="http://schemas.openxmlformats.org/spreadsheetml/2006/main" count="324" uniqueCount="198">
  <si>
    <t>Order ID</t>
  </si>
  <si>
    <t>Product</t>
  </si>
  <si>
    <t>Region</t>
  </si>
  <si>
    <t>Sales</t>
  </si>
  <si>
    <t>Quantity</t>
  </si>
  <si>
    <t>Questions</t>
  </si>
  <si>
    <t>ANSWER</t>
  </si>
  <si>
    <t>Laptop</t>
  </si>
  <si>
    <t>North</t>
  </si>
  <si>
    <t>q1</t>
  </si>
  <si>
    <t>Find Total Sales.</t>
  </si>
  <si>
    <t>Mobile</t>
  </si>
  <si>
    <t>South</t>
  </si>
  <si>
    <t>q2</t>
  </si>
  <si>
    <t>Total sales of Mobile</t>
  </si>
  <si>
    <t>East</t>
  </si>
  <si>
    <t>q3</t>
  </si>
  <si>
    <t>Count Order from North</t>
  </si>
  <si>
    <t>Table</t>
  </si>
  <si>
    <t>West</t>
  </si>
  <si>
    <t>q4</t>
  </si>
  <si>
    <t>Average Sales</t>
  </si>
  <si>
    <t>q5</t>
  </si>
  <si>
    <t>Highest Sales</t>
  </si>
  <si>
    <t>q6</t>
  </si>
  <si>
    <t>Find Product for order ID=103</t>
  </si>
  <si>
    <t>Emp ID</t>
  </si>
  <si>
    <t>Name</t>
  </si>
  <si>
    <t>Dept</t>
  </si>
  <si>
    <t>Salary</t>
  </si>
  <si>
    <t>Experience</t>
  </si>
  <si>
    <t>Level</t>
  </si>
  <si>
    <t>Answers</t>
  </si>
  <si>
    <t>A</t>
  </si>
  <si>
    <t>HR</t>
  </si>
  <si>
    <t>Total Salary of IT Department</t>
  </si>
  <si>
    <t>B</t>
  </si>
  <si>
    <t>IT</t>
  </si>
  <si>
    <t>Count Employees with Salary&gt;30000</t>
  </si>
  <si>
    <t>C</t>
  </si>
  <si>
    <t>Find Name using Emp ID=204</t>
  </si>
  <si>
    <t>D</t>
  </si>
  <si>
    <t>Fin</t>
  </si>
  <si>
    <t>IF condition (Experience&gt;5=Senior)</t>
  </si>
  <si>
    <t>See the 'Level' column above (Senior if Experience &gt; 5, else Junior).</t>
  </si>
  <si>
    <t>E</t>
  </si>
  <si>
    <t>Sales Rep</t>
  </si>
  <si>
    <t>RANK</t>
  </si>
  <si>
    <t>QUESTIONS</t>
  </si>
  <si>
    <t>ANSWERS</t>
  </si>
  <si>
    <t>Q1</t>
  </si>
  <si>
    <t>TOTAL SALES WHERE: PRODUCT=LAPTOP,REGION=NORTH</t>
  </si>
  <si>
    <t>Q2</t>
  </si>
  <si>
    <t>COUNT ORDER WHERE: SALES&gt;30000,SALES REP=A</t>
  </si>
  <si>
    <t>Q3</t>
  </si>
  <si>
    <t>GET UNIQUE PRODUCT LIST</t>
  </si>
  <si>
    <t>Tablet</t>
  </si>
  <si>
    <t>Q4</t>
  </si>
  <si>
    <t>TOP 3 SALES VALUES</t>
  </si>
  <si>
    <t>Q5</t>
  </si>
  <si>
    <t>RANK SALES (HIGHEST=1)</t>
  </si>
  <si>
    <t>See the 'RANK' column above (1 = highest Sales).</t>
  </si>
  <si>
    <t>Q6</t>
  </si>
  <si>
    <t>DYNAMIC LOOKUP (COLUMN CHANGES)</t>
  </si>
  <si>
    <t>Department</t>
  </si>
  <si>
    <t>Amit</t>
  </si>
  <si>
    <t>Riya</t>
  </si>
  <si>
    <t>Show the list of employees from the sales department</t>
  </si>
  <si>
    <t>Mohit</t>
  </si>
  <si>
    <t>Neha</t>
  </si>
  <si>
    <t>Sohan</t>
  </si>
  <si>
    <t>Priti</t>
  </si>
  <si>
    <t>Show employee with salary greater than 40000.</t>
  </si>
  <si>
    <t>Show employee from both hr and it department</t>
  </si>
  <si>
    <t>Show employees  from sales department and salary greater tha 30000</t>
  </si>
  <si>
    <t>Show IT department employees with salary above 55000</t>
  </si>
  <si>
    <t>City</t>
  </si>
  <si>
    <t>EMP101</t>
  </si>
  <si>
    <t>Delhi</t>
  </si>
  <si>
    <t>EMP102</t>
  </si>
  <si>
    <t>Mumbai</t>
  </si>
  <si>
    <t>Filter IT Department Employees</t>
  </si>
  <si>
    <t>EMP103</t>
  </si>
  <si>
    <t>Ram</t>
  </si>
  <si>
    <t>Pune</t>
  </si>
  <si>
    <t>EMP104</t>
  </si>
  <si>
    <t>Pooja</t>
  </si>
  <si>
    <t>Finance</t>
  </si>
  <si>
    <t>Bhopal</t>
  </si>
  <si>
    <t>EMP106</t>
  </si>
  <si>
    <t>Karan</t>
  </si>
  <si>
    <t>Indore</t>
  </si>
  <si>
    <t>Filter Salary&gt;30000</t>
  </si>
  <si>
    <t>Filter Top Salary Employee</t>
  </si>
  <si>
    <t>Multiple Condition (Dept = IT AND Salary &gt; 30000)</t>
  </si>
  <si>
    <t>Multiple Condition (Dept = IT OR City = Delhi)</t>
  </si>
  <si>
    <t>IF NO data Found (Error Handling)</t>
  </si>
  <si>
    <t>Q7</t>
  </si>
  <si>
    <t>Filter Using Text Starts With "A"</t>
  </si>
  <si>
    <t>Q8</t>
  </si>
  <si>
    <t>Dynamic Filter (Using cell Value)</t>
  </si>
  <si>
    <t>ID</t>
  </si>
  <si>
    <t>Math</t>
  </si>
  <si>
    <t>Science</t>
  </si>
  <si>
    <t>English</t>
  </si>
  <si>
    <t>Answer</t>
  </si>
  <si>
    <t>Rahul</t>
  </si>
  <si>
    <t>Find the Math marks of Priya using INDEX.</t>
  </si>
  <si>
    <t>Priya</t>
  </si>
  <si>
    <t>Get the Science marks of Aman.</t>
  </si>
  <si>
    <t>Aman</t>
  </si>
  <si>
    <t>Retrieve the English marks of Neha.</t>
  </si>
  <si>
    <t>Find the value at Row 3,Column 2 using INDEX</t>
  </si>
  <si>
    <t>Use index to return Riya's Science marks dynamically.</t>
  </si>
  <si>
    <t>Combine Index with match to find Rahuls English marks.</t>
  </si>
  <si>
    <t>Get marks based on row number from one cell and column number from another cell.</t>
  </si>
  <si>
    <t>Find marks using two way lookup (Name+Subject).</t>
  </si>
  <si>
    <t>Group</t>
  </si>
  <si>
    <t>Score</t>
  </si>
  <si>
    <t>RED</t>
  </si>
  <si>
    <t>Q: List all students in the selected Group, using FILTER.</t>
  </si>
  <si>
    <t>BLUE</t>
  </si>
  <si>
    <t>Select Group:</t>
  </si>
  <si>
    <t>YELLOW</t>
  </si>
  <si>
    <t>GREEN</t>
  </si>
  <si>
    <t>F</t>
  </si>
  <si>
    <t>G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</si>
  <si>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</si>
  <si>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</si>
  <si>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</si>
  <si>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</si>
  <si>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</si>
  <si>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</si>
  <si>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</si>
  <si>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</si>
  <si>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</si>
  <si>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</si>
  <si>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</si>
  <si>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</si>
  <si>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</si>
  <si>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Roll NO.</t>
  </si>
  <si>
    <t>Marks</t>
  </si>
  <si>
    <t>Grade</t>
  </si>
  <si>
    <t>Assign Grade</t>
  </si>
  <si>
    <t>See the 'Grade' column above (A/B/C or Fail, based on Marks).</t>
  </si>
  <si>
    <t>Count Students passed (&gt;50)</t>
  </si>
  <si>
    <t>Average Marks</t>
  </si>
  <si>
    <t>Find maximum sales of the selected product (MAX + XLOOKUP).</t>
  </si>
  <si>
    <t>Find minimum sales of the selected product (MIN + XLOOKUP).</t>
  </si>
  <si>
    <t>Find average sales of the selected product (AVERAGE + XLOOKUP).</t>
  </si>
  <si>
    <t>Find total sales of the selected product (SUM + XLOOKUP).</t>
  </si>
  <si>
    <t>Question</t>
  </si>
  <si>
    <t>Candy</t>
  </si>
  <si>
    <t>Enter Product Name:</t>
  </si>
  <si>
    <t>Total</t>
  </si>
  <si>
    <t>Fruit Juice</t>
  </si>
  <si>
    <t>XYZ009</t>
  </si>
  <si>
    <t>Energy Drinks</t>
  </si>
  <si>
    <t>XYZ008</t>
  </si>
  <si>
    <t>Cold Drinks</t>
  </si>
  <si>
    <t>XYZ007</t>
  </si>
  <si>
    <t>Biscuits</t>
  </si>
  <si>
    <t>XYZ006</t>
  </si>
  <si>
    <t>Milk Powder</t>
  </si>
  <si>
    <t>XYZ005</t>
  </si>
  <si>
    <t>Sugar</t>
  </si>
  <si>
    <t>XYZ004</t>
  </si>
  <si>
    <t>Chocolate</t>
  </si>
  <si>
    <t>XYZ003</t>
  </si>
  <si>
    <t>XYZ002</t>
  </si>
  <si>
    <t>Coffee</t>
  </si>
  <si>
    <t>XYZ001</t>
  </si>
  <si>
    <t>Mar</t>
  </si>
  <si>
    <t>Feb</t>
  </si>
  <si>
    <t>Jan</t>
  </si>
  <si>
    <t>HSN Code</t>
  </si>
  <si>
    <t>Q: Find Feb, Mar, Apr and May values for the employee named in B3, using VLOOKUP + COLUMN (dynamic column index).</t>
  </si>
  <si>
    <t>Poonam</t>
  </si>
  <si>
    <t>EMP110</t>
  </si>
  <si>
    <t>Anjali</t>
  </si>
  <si>
    <t>EMP109</t>
  </si>
  <si>
    <t>Q: Average monthly value for the given employee (AVERAGE of VLOOKUP columns Jan-May).</t>
  </si>
  <si>
    <t>EMP108</t>
  </si>
  <si>
    <t>Vikram</t>
  </si>
  <si>
    <t>EMP107</t>
  </si>
  <si>
    <t>Q: Minimum monthly value for the given employee (MIN of VLOOKUP columns Jan-May).</t>
  </si>
  <si>
    <t>EMP105</t>
  </si>
  <si>
    <t>Raj</t>
  </si>
  <si>
    <t>Given Name:</t>
  </si>
  <si>
    <t>Q: Total for the given employee (SUM of VLOOKUP columns Jan-May).</t>
  </si>
  <si>
    <t>Q: Find the total (Jan-May) for Pooja using SUM.</t>
  </si>
  <si>
    <t>may</t>
  </si>
  <si>
    <t>apr</t>
  </si>
  <si>
    <t>mar</t>
  </si>
  <si>
    <t>feb</t>
  </si>
  <si>
    <t>jan</t>
  </si>
  <si>
    <t xml:space="preserve"> Name</t>
  </si>
  <si>
    <t>EMP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</si>
</sst>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CCFFFF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89013336588644"/>
        <bgColor rgb="FFCCFFFF"/>
      </patternFill>
    </fill>
  </fills>
  <borders count="3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1" fillId="0" borderId="1" xfId="0" applyFont="1" applyBorder="1"/>
    <xf numFmtId="0" fontId="1" fillId="0" borderId="1" xfId="0" applyFont="1" applyBorder="1" applyAlignment="1">
      <alignment vertical="center" wrapText="1"/>
    </xf>
    <xf numFmtId="0" fontId="1" fillId="0" borderId="4" xfId="0" applyFont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vertical="center" wrapText="1"/>
    </xf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5" fillId="3" borderId="9" xfId="0" applyFont="1" applyFill="1" applyBorder="1"/>
    <xf numFmtId="0" fontId="5" fillId="3" borderId="10" xfId="0" applyFont="1" applyFill="1" applyBorder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5" fillId="0" borderId="1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5" fillId="0" borderId="0" xfId="0" applyFont="1" applyAlignment="1">
      <alignment horizontal="right"/>
    </xf>
    <xf numFmtId="0" fontId="5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3" fontId="5" fillId="5" borderId="23" xfId="0" applyNumberFormat="1" applyFont="1" applyFill="1" applyBorder="1"/>
    <xf numFmtId="3" fontId="5" fillId="5" borderId="1" xfId="0" applyNumberFormat="1" applyFont="1" applyFill="1" applyBorder="1"/>
    <xf numFmtId="0" fontId="5" fillId="5" borderId="1" xfId="0" applyFont="1" applyFill="1" applyBorder="1"/>
    <xf numFmtId="3" fontId="3" fillId="0" borderId="23" xfId="0" applyNumberFormat="1" applyFont="1" applyBorder="1"/>
    <xf numFmtId="3" fontId="3" fillId="0" borderId="1" xfId="0" applyNumberFormat="1" applyFont="1" applyBorder="1"/>
    <xf numFmtId="0" fontId="2" fillId="2" borderId="2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5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24" xfId="0" applyBorder="1"/>
    <xf numFmtId="0" fontId="4" fillId="0" borderId="11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6" borderId="25" xfId="0" applyFont="1" applyFill="1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18" xfId="0" applyBorder="1" applyAlignment="1">
      <alignment vertical="center"/>
    </xf>
    <xf numFmtId="0" fontId="0" fillId="0" borderId="26" xfId="0" applyBorder="1" applyAlignment="1">
      <alignment vertical="center"/>
    </xf>
    <xf numFmtId="0" fontId="4" fillId="6" borderId="27" xfId="0" applyFont="1" applyFill="1" applyBorder="1" applyAlignment="1">
      <alignment horizontal="left" vertical="center" wrapText="1"/>
    </xf>
    <xf numFmtId="0" fontId="0" fillId="0" borderId="28" xfId="0" applyBorder="1"/>
    <xf numFmtId="0" fontId="0" fillId="0" borderId="29" xfId="0" applyBorder="1" applyAlignment="1">
      <alignment vertical="center"/>
    </xf>
    <xf numFmtId="0" fontId="0" fillId="0" borderId="14" xfId="0" applyBorder="1"/>
    <xf numFmtId="0" fontId="0" fillId="7" borderId="0" xfId="0" applyFill="1" applyAlignment="1">
      <alignment vertical="center"/>
    </xf>
    <xf numFmtId="0" fontId="0" fillId="0" borderId="28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/>
    <xf numFmtId="0" fontId="5" fillId="7" borderId="10" xfId="0" applyFont="1" applyFill="1" applyBorder="1" applyAlignment="1">
      <alignment horizontal="right"/>
    </xf>
    <xf numFmtId="0" fontId="4" fillId="6" borderId="25" xfId="0" applyFont="1" applyFill="1" applyBorder="1" applyAlignment="1">
      <alignment horizontal="left" vertical="center" wrapText="1"/>
    </xf>
    <xf numFmtId="0" fontId="4" fillId="6" borderId="27" xfId="0" applyFont="1" applyFill="1" applyBorder="1" applyAlignment="1">
      <alignment vertical="center" wrapText="1"/>
    </xf>
    <xf numFmtId="0" fontId="6" fillId="8" borderId="2" xfId="0" applyFont="1" applyFill="1" applyBorder="1" applyAlignment="1">
      <alignment horizontal="justify" vertical="center" wrapText="1"/>
    </xf>
    <xf numFmtId="0" fontId="5" fillId="4" borderId="0" xfId="0" applyFont="1" applyFill="1" applyAlignment="1">
      <alignment horizontal="center"/>
    </xf>
    <xf numFmtId="0" fontId="3" fillId="0" borderId="23" xfId="0" applyFont="1" applyBorder="1" applyAlignment="1">
      <alignment vertical="center" wrapText="1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"/>
  <sheetViews>
    <sheetView zoomScaleNormal="100" workbookViewId="0"/>
  </sheetViews>
  <sheetFormatPr defaultColWidth="8.6328125" defaultRowHeight="14.5" x14ac:dyDescent="0.35"/>
  <cols>
    <col min="1" max="5" width="10" style="1" customWidth="1"/>
    <col min="7" max="7" width="6" style="1" customWidth="1"/>
    <col min="8" max="8" width="32" style="1" customWidth="1"/>
    <col min="9" max="9" width="12" style="1" customWidth="1"/>
    <col min="11" max="11" width="6.81640625" style="1" customWidth="1"/>
  </cols>
  <sheetData>
    <row r="1" spans="1:9" ht="27.7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 s="2" t="s">
        <v>5</v>
      </c>
      <c r="H1" s="2"/>
      <c r="I1" s="2" t="s">
        <v>6</v>
      </c>
    </row>
    <row r="2" spans="1:9" ht="14.25" customHeight="1" x14ac:dyDescent="0.35">
      <c r="A2" s="3">
        <v>101</v>
      </c>
      <c r="B2" s="3" t="s">
        <v>7</v>
      </c>
      <c r="C2" s="3" t="s">
        <v>8</v>
      </c>
      <c r="D2" s="3">
        <v>50000</v>
      </c>
      <c r="E2" s="3">
        <v>2</v>
      </c>
      <c r="G2" s="3" t="s">
        <v>9</v>
      </c>
      <c r="H2" s="4" t="s">
        <v>10</v>
      </c>
      <c r="I2" s="3">
        <f>SUM(D2:D6)</f>
        <v>155000</v>
      </c>
    </row>
    <row r="3" spans="1:9" ht="14.25" customHeight="1" x14ac:dyDescent="0.35">
      <c r="A3" s="3">
        <v>102</v>
      </c>
      <c r="B3" s="3" t="s">
        <v>11</v>
      </c>
      <c r="C3" s="3" t="s">
        <v>12</v>
      </c>
      <c r="D3" s="3">
        <v>20000</v>
      </c>
      <c r="E3" s="3">
        <v>5</v>
      </c>
      <c r="G3" s="3" t="s">
        <v>13</v>
      </c>
      <c r="H3" s="4" t="s">
        <v>14</v>
      </c>
      <c r="I3" s="3">
        <f>SUMIF(B2:B6,"Mobile",D2:D6)</f>
        <v>45000</v>
      </c>
    </row>
    <row r="4" spans="1:9" ht="14.25" customHeight="1" x14ac:dyDescent="0.35">
      <c r="A4" s="3">
        <v>103</v>
      </c>
      <c r="B4" s="3" t="s">
        <v>7</v>
      </c>
      <c r="C4" s="3" t="s">
        <v>15</v>
      </c>
      <c r="D4" s="3">
        <v>45000</v>
      </c>
      <c r="E4" s="3">
        <v>3</v>
      </c>
      <c r="G4" s="3" t="s">
        <v>16</v>
      </c>
      <c r="H4" s="4" t="s">
        <v>17</v>
      </c>
      <c r="I4" s="3">
        <f>COUNTIF(C2:C6,"North")</f>
        <v>2</v>
      </c>
    </row>
    <row r="5" spans="1:9" ht="14.25" customHeight="1" x14ac:dyDescent="0.35">
      <c r="A5" s="3">
        <v>104</v>
      </c>
      <c r="B5" s="3" t="s">
        <v>18</v>
      </c>
      <c r="C5" s="3" t="s">
        <v>19</v>
      </c>
      <c r="D5" s="3">
        <v>15000</v>
      </c>
      <c r="E5" s="3">
        <v>4</v>
      </c>
      <c r="G5" s="3" t="s">
        <v>20</v>
      </c>
      <c r="H5" s="4" t="s">
        <v>21</v>
      </c>
      <c r="I5" s="3">
        <f>AVERAGE(D2:D6)</f>
        <v>31000</v>
      </c>
    </row>
    <row r="6" spans="1:9" ht="14.25" customHeight="1" x14ac:dyDescent="0.35">
      <c r="A6" s="3">
        <v>105</v>
      </c>
      <c r="B6" s="3" t="s">
        <v>11</v>
      </c>
      <c r="C6" s="3" t="s">
        <v>8</v>
      </c>
      <c r="D6" s="3">
        <v>25000</v>
      </c>
      <c r="E6" s="3">
        <v>2</v>
      </c>
      <c r="G6" s="3" t="s">
        <v>22</v>
      </c>
      <c r="H6" s="4" t="s">
        <v>23</v>
      </c>
      <c r="I6" s="3">
        <f>MAX(D2:D6)</f>
        <v>50000</v>
      </c>
    </row>
    <row r="7" spans="1:9" ht="14.25" customHeight="1" x14ac:dyDescent="0.35">
      <c r="G7" s="3" t="s">
        <v>24</v>
      </c>
      <c r="H7" s="4" t="s">
        <v>25</v>
      </c>
      <c r="I7" s="3" t="str">
        <f>VLOOKUP(A4,A1:E6,2,0)</f>
        <v>Laptop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zoomScaleNormal="100" workbookViewId="0"/>
  </sheetViews>
  <sheetFormatPr defaultColWidth="8.6328125" defaultRowHeight="14.5" x14ac:dyDescent="0.35"/>
  <cols>
    <col min="1" max="1" width="8" style="1" customWidth="1"/>
    <col min="2" max="3" width="7" style="1" customWidth="1"/>
    <col min="4" max="4" width="9" style="1" customWidth="1"/>
    <col min="5" max="6" width="11" style="1" customWidth="1"/>
    <col min="7" max="7" width="2.90625" style="1" customWidth="1"/>
    <col min="8" max="8" width="30.08984375" style="1" customWidth="1"/>
    <col min="9" max="9" width="6" style="1" customWidth="1"/>
    <col min="10" max="10" width="34" style="1" customWidth="1"/>
    <col min="11" max="11" width="16" style="1" customWidth="1"/>
  </cols>
  <sheetData>
    <row r="1" spans="1:11" ht="14.25" customHeight="1" x14ac:dyDescent="0.35">
      <c r="A1" s="2" t="s">
        <v>26</v>
      </c>
      <c r="B1" s="2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I1" s="2"/>
      <c r="J1" s="2" t="s">
        <v>5</v>
      </c>
      <c r="K1" s="2" t="s">
        <v>32</v>
      </c>
    </row>
    <row r="2" spans="1:11" ht="14.25" customHeight="1" x14ac:dyDescent="0.35">
      <c r="A2" s="3">
        <v>201</v>
      </c>
      <c r="B2" s="3" t="s">
        <v>33</v>
      </c>
      <c r="C2" s="3" t="s">
        <v>34</v>
      </c>
      <c r="D2" s="3">
        <v>25000</v>
      </c>
      <c r="E2" s="3">
        <v>2</v>
      </c>
      <c r="F2" s="3" t="str">
        <f>IF(E2&gt;5,"Senior","Junior")</f>
        <v>Junior</v>
      </c>
      <c r="I2" s="3" t="s">
        <v>9</v>
      </c>
      <c r="J2" s="4" t="s">
        <v>35</v>
      </c>
      <c r="K2" s="3">
        <f>SUMIF(C2:C6,C3,D2:D6)</f>
        <v>120000</v>
      </c>
    </row>
    <row r="3" spans="1:11" ht="14.25" customHeight="1" x14ac:dyDescent="0.35">
      <c r="A3" s="3">
        <v>202</v>
      </c>
      <c r="B3" s="3" t="s">
        <v>36</v>
      </c>
      <c r="C3" s="3" t="s">
        <v>37</v>
      </c>
      <c r="D3" s="3">
        <v>40000</v>
      </c>
      <c r="E3" s="3">
        <v>5</v>
      </c>
      <c r="F3" s="3" t="str">
        <f>IF(E3&gt;5,"Senior","Junior")</f>
        <v>Junior</v>
      </c>
      <c r="I3" s="3" t="s">
        <v>13</v>
      </c>
      <c r="J3" s="4" t="s">
        <v>38</v>
      </c>
      <c r="K3" s="3">
        <f>COUNTIF(D2:D6,"&gt;30000")</f>
        <v>3</v>
      </c>
    </row>
    <row r="4" spans="1:11" ht="14.25" customHeight="1" x14ac:dyDescent="0.35">
      <c r="A4" s="3">
        <v>203</v>
      </c>
      <c r="B4" s="3" t="s">
        <v>39</v>
      </c>
      <c r="C4" s="3" t="s">
        <v>37</v>
      </c>
      <c r="D4" s="3">
        <v>35000</v>
      </c>
      <c r="E4" s="3">
        <v>4</v>
      </c>
      <c r="F4" s="3" t="str">
        <f>IF(E4&gt;5,"Senior","Junior")</f>
        <v>Junior</v>
      </c>
      <c r="I4" s="3" t="s">
        <v>16</v>
      </c>
      <c r="J4" s="4" t="s">
        <v>40</v>
      </c>
      <c r="K4" s="3" t="str">
        <f>VLOOKUP(A5,A1:E6,2,0)</f>
        <v>D</v>
      </c>
    </row>
    <row r="5" spans="1:11" ht="14.25" customHeight="1" x14ac:dyDescent="0.35">
      <c r="A5" s="3">
        <v>204</v>
      </c>
      <c r="B5" s="3" t="s">
        <v>41</v>
      </c>
      <c r="C5" s="3" t="s">
        <v>42</v>
      </c>
      <c r="D5" s="3">
        <v>30000</v>
      </c>
      <c r="E5" s="3">
        <v>3</v>
      </c>
      <c r="F5" s="3" t="str">
        <f>IF(E5&gt;5,"Senior","Junior")</f>
        <v>Junior</v>
      </c>
      <c r="I5" s="3" t="s">
        <v>20</v>
      </c>
      <c r="J5" s="4" t="s">
        <v>43</v>
      </c>
      <c r="K5" s="5" t="s">
        <v>44</v>
      </c>
    </row>
    <row r="6" spans="1:11" ht="14.25" customHeight="1" x14ac:dyDescent="0.35">
      <c r="A6" s="3">
        <v>205</v>
      </c>
      <c r="B6" s="3" t="s">
        <v>45</v>
      </c>
      <c r="C6" s="3" t="s">
        <v>37</v>
      </c>
      <c r="D6" s="3">
        <v>45000</v>
      </c>
      <c r="E6" s="3">
        <v>6</v>
      </c>
      <c r="F6" s="3" t="str">
        <f>IF(E6&gt;5,"Senior","Junior")</f>
        <v>Senior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"/>
  <sheetViews>
    <sheetView zoomScaleNormal="100" workbookViewId="0"/>
  </sheetViews>
  <sheetFormatPr defaultColWidth="8.6328125" defaultRowHeight="14.5" x14ac:dyDescent="0.35"/>
  <cols>
    <col min="1" max="6" width="9" style="1" customWidth="1"/>
    <col min="7" max="7" width="7" style="1" customWidth="1"/>
    <col min="9" max="9" width="5" style="1" customWidth="1"/>
    <col min="10" max="10" width="34" style="1" customWidth="1"/>
    <col min="11" max="11" width="12" style="1" customWidth="1"/>
    <col min="12" max="13" width="10" style="1" customWidth="1"/>
    <col min="16" max="16" width="6.81640625" style="1" customWidth="1"/>
  </cols>
  <sheetData>
    <row r="1" spans="1:13" ht="14.2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46</v>
      </c>
      <c r="G1" s="2" t="s">
        <v>47</v>
      </c>
      <c r="I1" s="2"/>
      <c r="J1" s="2" t="s">
        <v>48</v>
      </c>
      <c r="K1" s="2" t="s">
        <v>49</v>
      </c>
    </row>
    <row r="2" spans="1:13" ht="27.75" customHeight="1" x14ac:dyDescent="0.35">
      <c r="A2" s="3">
        <v>101</v>
      </c>
      <c r="B2" s="3" t="s">
        <v>7</v>
      </c>
      <c r="C2" s="3" t="s">
        <v>8</v>
      </c>
      <c r="D2" s="3">
        <v>50000</v>
      </c>
      <c r="E2" s="3">
        <v>2</v>
      </c>
      <c r="F2" s="3" t="s">
        <v>33</v>
      </c>
      <c r="G2" s="3">
        <f t="shared" ref="G2:G7" si="0">RANK(D2,$D$2:$D$7,)</f>
        <v>2</v>
      </c>
      <c r="I2" s="3" t="s">
        <v>50</v>
      </c>
      <c r="J2" s="4" t="s">
        <v>51</v>
      </c>
      <c r="K2" s="3">
        <f>SUMIFS(D2:D7,B2:B7,B2,C2:C7,C2)</f>
        <v>105000</v>
      </c>
    </row>
    <row r="3" spans="1:13" ht="27.75" customHeight="1" x14ac:dyDescent="0.35">
      <c r="A3" s="3">
        <v>102</v>
      </c>
      <c r="B3" s="3" t="s">
        <v>11</v>
      </c>
      <c r="C3" s="3" t="s">
        <v>12</v>
      </c>
      <c r="D3" s="3">
        <v>20000</v>
      </c>
      <c r="E3" s="3">
        <v>5</v>
      </c>
      <c r="F3" s="3" t="s">
        <v>36</v>
      </c>
      <c r="G3" s="3">
        <f t="shared" si="0"/>
        <v>5</v>
      </c>
      <c r="I3" s="3" t="s">
        <v>52</v>
      </c>
      <c r="J3" s="4" t="s">
        <v>53</v>
      </c>
      <c r="K3" s="3">
        <f>COUNTIFS(D2:D7,"&gt;30000",F2:F7,F2)</f>
        <v>3</v>
      </c>
    </row>
    <row r="4" spans="1:13" ht="14.25" customHeight="1" x14ac:dyDescent="0.35">
      <c r="A4" s="3">
        <v>103</v>
      </c>
      <c r="B4" s="3" t="s">
        <v>7</v>
      </c>
      <c r="C4" s="3" t="s">
        <v>15</v>
      </c>
      <c r="D4" s="3">
        <v>45000</v>
      </c>
      <c r="E4" s="3">
        <v>3</v>
      </c>
      <c r="F4" s="3" t="s">
        <v>33</v>
      </c>
      <c r="G4" s="3">
        <f t="shared" si="0"/>
        <v>3</v>
      </c>
      <c r="I4" s="3" t="s">
        <v>54</v>
      </c>
      <c r="J4" s="4" t="s">
        <v>55</v>
      </c>
      <c r="K4" s="3" t="str">
        <f t="array" ref="K4:K6">_xlfn.UNIQUE(B2:B7)</f>
        <v>Laptop</v>
      </c>
    </row>
    <row r="5" spans="1:13" ht="14.25" customHeight="1" x14ac:dyDescent="0.35">
      <c r="A5" s="3">
        <v>104</v>
      </c>
      <c r="B5" s="3" t="s">
        <v>56</v>
      </c>
      <c r="C5" s="3" t="s">
        <v>19</v>
      </c>
      <c r="D5" s="3">
        <v>15000</v>
      </c>
      <c r="E5" s="3">
        <v>4</v>
      </c>
      <c r="F5" s="3" t="s">
        <v>39</v>
      </c>
      <c r="G5" s="3">
        <f t="shared" si="0"/>
        <v>6</v>
      </c>
      <c r="I5" s="3"/>
      <c r="J5" s="4"/>
      <c r="K5" s="3" t="str">
        <v>Mobile</v>
      </c>
    </row>
    <row r="6" spans="1:13" ht="14.25" customHeight="1" x14ac:dyDescent="0.35">
      <c r="A6" s="3">
        <v>105</v>
      </c>
      <c r="B6" s="3" t="s">
        <v>11</v>
      </c>
      <c r="C6" s="3" t="s">
        <v>8</v>
      </c>
      <c r="D6" s="3">
        <v>25000</v>
      </c>
      <c r="E6" s="3">
        <v>2</v>
      </c>
      <c r="F6" s="3" t="s">
        <v>36</v>
      </c>
      <c r="G6" s="3">
        <f t="shared" si="0"/>
        <v>4</v>
      </c>
      <c r="I6" s="3"/>
      <c r="J6" s="4"/>
      <c r="K6" s="3" t="str">
        <v>Tablet</v>
      </c>
    </row>
    <row r="7" spans="1:13" ht="14.25" customHeight="1" x14ac:dyDescent="0.35">
      <c r="A7" s="3">
        <v>106</v>
      </c>
      <c r="B7" s="3" t="s">
        <v>7</v>
      </c>
      <c r="C7" s="3" t="s">
        <v>8</v>
      </c>
      <c r="D7" s="3">
        <v>55000</v>
      </c>
      <c r="E7" s="3">
        <v>1</v>
      </c>
      <c r="F7" s="3" t="s">
        <v>33</v>
      </c>
      <c r="G7" s="3">
        <f t="shared" si="0"/>
        <v>1</v>
      </c>
      <c r="I7" s="3" t="s">
        <v>57</v>
      </c>
      <c r="J7" s="4" t="s">
        <v>58</v>
      </c>
      <c r="K7" s="3">
        <f t="array" ref="K7:M7">LARGE(D2:D7,{1,2,3})</f>
        <v>55000</v>
      </c>
      <c r="L7" s="6">
        <v>50000</v>
      </c>
      <c r="M7" s="6">
        <v>45000</v>
      </c>
    </row>
    <row r="8" spans="1:13" ht="14.25" customHeight="1" x14ac:dyDescent="0.35">
      <c r="I8" s="3" t="s">
        <v>59</v>
      </c>
      <c r="J8" s="4" t="s">
        <v>60</v>
      </c>
      <c r="K8" s="5" t="s">
        <v>61</v>
      </c>
    </row>
    <row r="9" spans="1:13" ht="14.25" customHeight="1" x14ac:dyDescent="0.35">
      <c r="I9" s="3"/>
      <c r="J9" s="4"/>
      <c r="K9" s="3">
        <v>101</v>
      </c>
      <c r="L9" s="6" t="s">
        <v>3</v>
      </c>
    </row>
    <row r="10" spans="1:13" ht="27.75" customHeight="1" x14ac:dyDescent="0.35">
      <c r="I10" s="3" t="s">
        <v>62</v>
      </c>
      <c r="J10" s="4" t="s">
        <v>63</v>
      </c>
      <c r="K10" s="3">
        <f>VLOOKUP(K9,A1:F7,MATCH(L9,A1:F1,0),0)</f>
        <v>50000</v>
      </c>
      <c r="L10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CF3B0-EFD1-44FF-B183-D793B995A321}">
  <dimension ref="A1:P14"/>
  <sheetViews>
    <sheetView zoomScale="73" workbookViewId="0">
      <selection activeCell="K20" sqref="K20"/>
    </sheetView>
  </sheetViews>
  <sheetFormatPr defaultRowHeight="12.5" x14ac:dyDescent="0.25"/>
  <cols>
    <col min="1" max="2" width="7.7265625" bestFit="1" customWidth="1"/>
    <col min="3" max="4" width="3.81640625" bestFit="1" customWidth="1"/>
    <col min="5" max="5" width="4.1796875" bestFit="1" customWidth="1"/>
    <col min="6" max="6" width="3.81640625" bestFit="1" customWidth="1"/>
    <col min="7" max="7" width="4.36328125" bestFit="1" customWidth="1"/>
    <col min="11" max="11" width="101.54296875" bestFit="1" customWidth="1"/>
    <col min="12" max="12" width="11.453125" bestFit="1" customWidth="1"/>
    <col min="13" max="15" width="3.81640625" bestFit="1" customWidth="1"/>
  </cols>
  <sheetData>
    <row r="1" spans="1:16" ht="14.5" x14ac:dyDescent="0.25">
      <c r="A1" s="67" t="s">
        <v>197</v>
      </c>
      <c r="B1" s="2" t="s">
        <v>196</v>
      </c>
      <c r="C1" s="2" t="s">
        <v>195</v>
      </c>
      <c r="D1" s="2" t="s">
        <v>194</v>
      </c>
      <c r="E1" s="2" t="s">
        <v>193</v>
      </c>
      <c r="F1" s="2" t="s">
        <v>192</v>
      </c>
      <c r="G1" s="2" t="s">
        <v>191</v>
      </c>
      <c r="H1" s="46"/>
      <c r="I1" s="46"/>
      <c r="K1" s="66" t="s">
        <v>190</v>
      </c>
      <c r="L1" s="63"/>
      <c r="M1" s="63"/>
      <c r="N1" s="63"/>
      <c r="O1" s="62"/>
      <c r="P1" s="46"/>
    </row>
    <row r="2" spans="1:16" ht="15" thickBot="1" x14ac:dyDescent="0.3">
      <c r="A2" s="53" t="s">
        <v>77</v>
      </c>
      <c r="B2" s="4" t="s">
        <v>65</v>
      </c>
      <c r="C2" s="4">
        <v>517</v>
      </c>
      <c r="D2" s="4">
        <v>447</v>
      </c>
      <c r="E2" s="4">
        <v>434</v>
      </c>
      <c r="F2" s="4">
        <v>376</v>
      </c>
      <c r="G2" s="4">
        <v>326</v>
      </c>
      <c r="H2" s="46"/>
      <c r="I2" s="46"/>
      <c r="K2" s="55">
        <f>SUM(C5:G5)</f>
        <v>2579</v>
      </c>
      <c r="O2" s="54"/>
      <c r="P2" s="46"/>
    </row>
    <row r="3" spans="1:16" ht="14.5" x14ac:dyDescent="0.35">
      <c r="A3" s="53" t="s">
        <v>79</v>
      </c>
      <c r="B3" s="4" t="s">
        <v>69</v>
      </c>
      <c r="C3" s="4">
        <v>540</v>
      </c>
      <c r="D3" s="4">
        <v>229</v>
      </c>
      <c r="E3" s="4">
        <v>997</v>
      </c>
      <c r="F3" s="4">
        <v>747</v>
      </c>
      <c r="G3" s="4">
        <v>266</v>
      </c>
      <c r="H3" s="46"/>
      <c r="I3" s="46"/>
      <c r="K3" s="65" t="s">
        <v>189</v>
      </c>
      <c r="L3" s="64" t="s">
        <v>188</v>
      </c>
      <c r="M3" s="63"/>
      <c r="N3" s="63"/>
      <c r="O3" s="62"/>
      <c r="P3" s="46"/>
    </row>
    <row r="4" spans="1:16" ht="14.5" x14ac:dyDescent="0.25">
      <c r="A4" s="53" t="s">
        <v>82</v>
      </c>
      <c r="B4" s="4" t="s">
        <v>187</v>
      </c>
      <c r="C4" s="4">
        <v>647</v>
      </c>
      <c r="D4" s="4">
        <v>753</v>
      </c>
      <c r="E4" s="4">
        <v>729</v>
      </c>
      <c r="F4" s="4">
        <v>177</v>
      </c>
      <c r="G4" s="4">
        <v>772</v>
      </c>
      <c r="H4" s="46"/>
      <c r="I4" s="46"/>
      <c r="K4" s="61" cm="1">
        <f t="array" ref="K4">SUM(VLOOKUP(L4,B1:G11,{2,3,4,5,6},0))</f>
        <v>2579</v>
      </c>
      <c r="L4" s="60" t="s">
        <v>86</v>
      </c>
      <c r="O4" s="54"/>
      <c r="P4" s="46"/>
    </row>
    <row r="5" spans="1:16" ht="15" thickBot="1" x14ac:dyDescent="0.3">
      <c r="A5" s="53" t="s">
        <v>85</v>
      </c>
      <c r="B5" s="4" t="s">
        <v>86</v>
      </c>
      <c r="C5" s="4">
        <v>330</v>
      </c>
      <c r="D5" s="4">
        <v>217</v>
      </c>
      <c r="E5" s="4">
        <v>675</v>
      </c>
      <c r="F5" s="4">
        <v>915</v>
      </c>
      <c r="G5" s="4">
        <v>442</v>
      </c>
      <c r="H5" s="46"/>
      <c r="I5" s="46"/>
      <c r="K5" s="49"/>
      <c r="L5" s="59"/>
      <c r="M5" s="59"/>
      <c r="N5" s="59"/>
      <c r="O5" s="47"/>
      <c r="P5" s="46"/>
    </row>
    <row r="6" spans="1:16" ht="14.5" x14ac:dyDescent="0.25">
      <c r="A6" s="53" t="s">
        <v>186</v>
      </c>
      <c r="B6" s="4" t="s">
        <v>65</v>
      </c>
      <c r="C6" s="4">
        <v>380</v>
      </c>
      <c r="D6" s="4">
        <v>652</v>
      </c>
      <c r="E6" s="4">
        <v>211</v>
      </c>
      <c r="F6" s="4">
        <v>510</v>
      </c>
      <c r="G6" s="4">
        <v>903</v>
      </c>
      <c r="H6" s="46"/>
      <c r="I6" s="46"/>
      <c r="K6" s="56" t="s">
        <v>185</v>
      </c>
      <c r="O6" s="54"/>
      <c r="P6" s="46"/>
    </row>
    <row r="7" spans="1:16" ht="15" thickBot="1" x14ac:dyDescent="0.3">
      <c r="A7" s="53" t="s">
        <v>89</v>
      </c>
      <c r="B7" s="4" t="s">
        <v>179</v>
      </c>
      <c r="C7" s="4">
        <v>143</v>
      </c>
      <c r="D7" s="4">
        <v>532</v>
      </c>
      <c r="E7" s="4">
        <v>713</v>
      </c>
      <c r="F7" s="4">
        <v>783</v>
      </c>
      <c r="G7" s="4">
        <v>928</v>
      </c>
      <c r="H7" s="46"/>
      <c r="I7" s="46"/>
      <c r="K7" s="58">
        <f t="array" ref="K7">MIN(VLOOKUP(L4,B1:G11,{2,3,4,5,6},0))</f>
        <v>217</v>
      </c>
      <c r="O7" s="54"/>
      <c r="P7" s="46"/>
    </row>
    <row r="8" spans="1:16" ht="15" thickBot="1" x14ac:dyDescent="0.3">
      <c r="A8" s="53" t="s">
        <v>184</v>
      </c>
      <c r="B8" s="4" t="s">
        <v>183</v>
      </c>
      <c r="C8" s="4">
        <v>762</v>
      </c>
      <c r="D8" s="4">
        <v>778</v>
      </c>
      <c r="E8" s="4">
        <v>396</v>
      </c>
      <c r="F8" s="4">
        <v>894</v>
      </c>
      <c r="G8" s="4">
        <v>130</v>
      </c>
      <c r="H8" s="46"/>
      <c r="I8" s="46"/>
      <c r="K8" s="57"/>
      <c r="O8" s="54"/>
      <c r="P8" s="46"/>
    </row>
    <row r="9" spans="1:16" ht="14.5" x14ac:dyDescent="0.25">
      <c r="A9" s="53" t="s">
        <v>182</v>
      </c>
      <c r="B9" s="4" t="s">
        <v>106</v>
      </c>
      <c r="C9" s="4">
        <v>318</v>
      </c>
      <c r="D9" s="4">
        <v>305</v>
      </c>
      <c r="E9" s="4">
        <v>314</v>
      </c>
      <c r="F9" s="4">
        <v>294</v>
      </c>
      <c r="G9" s="4">
        <v>597</v>
      </c>
      <c r="H9" s="46"/>
      <c r="I9" s="46"/>
      <c r="K9" s="56" t="s">
        <v>181</v>
      </c>
      <c r="O9" s="54"/>
      <c r="P9" s="46"/>
    </row>
    <row r="10" spans="1:16" ht="15" thickBot="1" x14ac:dyDescent="0.3">
      <c r="A10" s="53" t="s">
        <v>180</v>
      </c>
      <c r="B10" s="4" t="s">
        <v>179</v>
      </c>
      <c r="C10" s="4">
        <v>534</v>
      </c>
      <c r="D10" s="4">
        <v>168</v>
      </c>
      <c r="E10" s="4">
        <v>739</v>
      </c>
      <c r="F10" s="4">
        <v>524</v>
      </c>
      <c r="G10" s="4">
        <v>408</v>
      </c>
      <c r="H10" s="46"/>
      <c r="I10" s="46"/>
      <c r="K10" s="55">
        <f t="array" ref="K10">AVERAGE(VLOOKUP(L4,B1:G11,{2,3,4,5,6},0))</f>
        <v>515.79999999999995</v>
      </c>
      <c r="O10" s="54"/>
      <c r="P10" s="46"/>
    </row>
    <row r="11" spans="1:16" ht="14.5" x14ac:dyDescent="0.25">
      <c r="A11" s="53" t="s">
        <v>178</v>
      </c>
      <c r="B11" s="4" t="s">
        <v>177</v>
      </c>
      <c r="C11" s="4">
        <v>123</v>
      </c>
      <c r="D11" s="4">
        <v>677</v>
      </c>
      <c r="E11" s="4">
        <v>322</v>
      </c>
      <c r="F11" s="4">
        <v>553</v>
      </c>
      <c r="G11" s="4">
        <v>741</v>
      </c>
      <c r="H11" s="46"/>
      <c r="I11" s="46"/>
      <c r="K11" s="52" t="s">
        <v>176</v>
      </c>
      <c r="L11" s="51"/>
      <c r="M11" s="51"/>
      <c r="N11" s="51"/>
      <c r="O11" s="50"/>
      <c r="P11" s="46"/>
    </row>
    <row r="12" spans="1:16" ht="13" thickBot="1" x14ac:dyDescent="0.3">
      <c r="A12" s="46"/>
      <c r="H12" s="46"/>
      <c r="I12" s="46"/>
      <c r="K12" s="49"/>
      <c r="L12" s="48">
        <f>VLOOKUP($B$3,$B$1:$G$11,COLUMN(C1),0)</f>
        <v>229</v>
      </c>
      <c r="M12" s="48">
        <f>VLOOKUP($B$3,$B$1:$G$11,COLUMN(D1),0)</f>
        <v>997</v>
      </c>
      <c r="N12" s="48">
        <f>VLOOKUP($B$3,$B$1:$G$11,COLUMN(E1),0)</f>
        <v>747</v>
      </c>
      <c r="O12" s="47">
        <f>VLOOKUP($B$3,$B$1:$G$11,COLUMN(F1),0)</f>
        <v>266</v>
      </c>
      <c r="P12" s="46"/>
    </row>
    <row r="13" spans="1:16" x14ac:dyDescent="0.25">
      <c r="A13" s="46"/>
      <c r="H13" s="46"/>
      <c r="I13" s="46"/>
      <c r="O13" s="46"/>
      <c r="P13" s="46"/>
    </row>
    <row r="14" spans="1:16" x14ac:dyDescent="0.25">
      <c r="A14" s="46"/>
      <c r="H14" s="46"/>
      <c r="I14" s="46"/>
      <c r="O14" s="46"/>
      <c r="P14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1008E-13B2-484C-ABFE-606A3C85B1C7}">
  <dimension ref="A1:F18"/>
  <sheetViews>
    <sheetView zoomScale="72" workbookViewId="0">
      <selection activeCell="L6" sqref="L6"/>
    </sheetView>
  </sheetViews>
  <sheetFormatPr defaultRowHeight="12.5" x14ac:dyDescent="0.25"/>
  <cols>
    <col min="1" max="1" width="18.54296875" bestFit="1" customWidth="1"/>
    <col min="2" max="2" width="12.1796875" bestFit="1" customWidth="1"/>
    <col min="3" max="3" width="7.08984375" bestFit="1" customWidth="1"/>
    <col min="4" max="5" width="5.36328125" bestFit="1" customWidth="1"/>
    <col min="6" max="6" width="6.36328125" bestFit="1" customWidth="1"/>
  </cols>
  <sheetData>
    <row r="1" spans="1:6" ht="14.5" x14ac:dyDescent="0.25">
      <c r="A1" s="2" t="s">
        <v>175</v>
      </c>
      <c r="B1" s="2" t="s">
        <v>1</v>
      </c>
      <c r="C1" s="2" t="s">
        <v>174</v>
      </c>
      <c r="D1" s="2" t="s">
        <v>173</v>
      </c>
      <c r="E1" s="2" t="s">
        <v>172</v>
      </c>
      <c r="F1" s="45" t="s">
        <v>154</v>
      </c>
    </row>
    <row r="2" spans="1:6" ht="14.5" x14ac:dyDescent="0.35">
      <c r="A2" s="3" t="s">
        <v>171</v>
      </c>
      <c r="B2" s="3" t="s">
        <v>170</v>
      </c>
      <c r="C2" s="44">
        <v>20</v>
      </c>
      <c r="D2" s="44">
        <v>1010</v>
      </c>
      <c r="E2" s="44">
        <v>840</v>
      </c>
      <c r="F2" s="43">
        <f t="shared" ref="F2:F11" si="0">SUM(C2:E2)</f>
        <v>1870</v>
      </c>
    </row>
    <row r="3" spans="1:6" ht="14.5" x14ac:dyDescent="0.35">
      <c r="A3" s="3" t="s">
        <v>169</v>
      </c>
      <c r="B3" s="3" t="s">
        <v>152</v>
      </c>
      <c r="C3" s="44">
        <v>1080</v>
      </c>
      <c r="D3" s="44">
        <v>800</v>
      </c>
      <c r="E3" s="44">
        <v>1780</v>
      </c>
      <c r="F3" s="43">
        <f t="shared" si="0"/>
        <v>3660</v>
      </c>
    </row>
    <row r="4" spans="1:6" ht="14.5" x14ac:dyDescent="0.35">
      <c r="A4" s="3" t="s">
        <v>168</v>
      </c>
      <c r="B4" s="3" t="s">
        <v>167</v>
      </c>
      <c r="C4" s="44">
        <v>1700</v>
      </c>
      <c r="D4" s="44">
        <v>810</v>
      </c>
      <c r="E4" s="44">
        <v>550</v>
      </c>
      <c r="F4" s="43">
        <f t="shared" si="0"/>
        <v>3060</v>
      </c>
    </row>
    <row r="5" spans="1:6" ht="14.5" x14ac:dyDescent="0.35">
      <c r="A5" s="3" t="s">
        <v>166</v>
      </c>
      <c r="B5" s="3" t="s">
        <v>165</v>
      </c>
      <c r="C5" s="44">
        <v>1550</v>
      </c>
      <c r="D5" s="44">
        <v>1480</v>
      </c>
      <c r="E5" s="44">
        <v>850</v>
      </c>
      <c r="F5" s="43">
        <f t="shared" si="0"/>
        <v>3880</v>
      </c>
    </row>
    <row r="6" spans="1:6" ht="14.5" x14ac:dyDescent="0.35">
      <c r="A6" s="3" t="s">
        <v>164</v>
      </c>
      <c r="B6" s="3" t="s">
        <v>163</v>
      </c>
      <c r="C6" s="44">
        <v>1680</v>
      </c>
      <c r="D6" s="44">
        <v>660</v>
      </c>
      <c r="E6" s="44">
        <v>1140</v>
      </c>
      <c r="F6" s="43">
        <f t="shared" si="0"/>
        <v>3480</v>
      </c>
    </row>
    <row r="7" spans="1:6" ht="14.5" x14ac:dyDescent="0.35">
      <c r="A7" s="3" t="s">
        <v>162</v>
      </c>
      <c r="B7" s="3" t="s">
        <v>161</v>
      </c>
      <c r="C7" s="44">
        <v>560</v>
      </c>
      <c r="D7" s="44">
        <v>710</v>
      </c>
      <c r="E7" s="44">
        <v>570</v>
      </c>
      <c r="F7" s="43">
        <f t="shared" si="0"/>
        <v>1840</v>
      </c>
    </row>
    <row r="8" spans="1:6" ht="14.5" x14ac:dyDescent="0.35">
      <c r="A8" s="3" t="s">
        <v>160</v>
      </c>
      <c r="B8" s="3" t="s">
        <v>159</v>
      </c>
      <c r="C8" s="44">
        <v>480</v>
      </c>
      <c r="D8" s="44">
        <v>820</v>
      </c>
      <c r="E8" s="44">
        <v>930</v>
      </c>
      <c r="F8" s="43">
        <f t="shared" si="0"/>
        <v>2230</v>
      </c>
    </row>
    <row r="9" spans="1:6" ht="14.5" x14ac:dyDescent="0.35">
      <c r="A9" s="3" t="s">
        <v>158</v>
      </c>
      <c r="B9" s="3" t="s">
        <v>157</v>
      </c>
      <c r="C9" s="44">
        <v>1010</v>
      </c>
      <c r="D9" s="44">
        <v>810</v>
      </c>
      <c r="E9" s="44">
        <v>1350</v>
      </c>
      <c r="F9" s="43">
        <f t="shared" si="0"/>
        <v>3170</v>
      </c>
    </row>
    <row r="10" spans="1:6" ht="14.5" x14ac:dyDescent="0.35">
      <c r="A10" s="3" t="s">
        <v>156</v>
      </c>
      <c r="B10" s="3" t="s">
        <v>155</v>
      </c>
      <c r="C10" s="44">
        <v>1350</v>
      </c>
      <c r="D10" s="44">
        <v>1520</v>
      </c>
      <c r="E10" s="44">
        <v>1570</v>
      </c>
      <c r="F10" s="43">
        <f t="shared" si="0"/>
        <v>4440</v>
      </c>
    </row>
    <row r="11" spans="1:6" ht="14.5" x14ac:dyDescent="0.35">
      <c r="A11" s="42"/>
      <c r="B11" s="42" t="s">
        <v>154</v>
      </c>
      <c r="C11" s="41">
        <f>SUM(C2:C10)</f>
        <v>9430</v>
      </c>
      <c r="D11" s="41">
        <f>SUM(D2:D10)</f>
        <v>8620</v>
      </c>
      <c r="E11" s="41">
        <f>SUM(E2:E10)</f>
        <v>9580</v>
      </c>
      <c r="F11" s="40">
        <f t="shared" si="0"/>
        <v>27630</v>
      </c>
    </row>
    <row r="13" spans="1:6" ht="14.5" x14ac:dyDescent="0.35">
      <c r="A13" s="33" t="s">
        <v>153</v>
      </c>
      <c r="B13" s="39" t="s">
        <v>152</v>
      </c>
    </row>
    <row r="14" spans="1:6" ht="14.5" x14ac:dyDescent="0.35">
      <c r="A14" s="68" t="s">
        <v>151</v>
      </c>
      <c r="B14" s="68"/>
      <c r="C14" s="38" t="s">
        <v>105</v>
      </c>
    </row>
    <row r="15" spans="1:6" ht="14.5" x14ac:dyDescent="0.25">
      <c r="A15" s="69" t="s">
        <v>150</v>
      </c>
      <c r="B15" s="69"/>
      <c r="C15" s="37">
        <f>SUM(_xlfn.XLOOKUP(B13,B1:B10,C1:E10))</f>
        <v>3660</v>
      </c>
    </row>
    <row r="16" spans="1:6" ht="14.5" x14ac:dyDescent="0.25">
      <c r="A16" s="69" t="s">
        <v>149</v>
      </c>
      <c r="B16" s="69"/>
      <c r="C16" s="37">
        <f>AVERAGE(_xlfn.XLOOKUP(B13,B1:B10,C1:E10))</f>
        <v>1220</v>
      </c>
    </row>
    <row r="17" spans="1:3" ht="14.5" x14ac:dyDescent="0.25">
      <c r="A17" s="69" t="s">
        <v>148</v>
      </c>
      <c r="B17" s="69"/>
      <c r="C17" s="37">
        <f>MIN(_xlfn.XLOOKUP(B13,B1:B10,C1:E10))</f>
        <v>800</v>
      </c>
    </row>
    <row r="18" spans="1:3" ht="14.5" x14ac:dyDescent="0.25">
      <c r="A18" s="69" t="s">
        <v>147</v>
      </c>
      <c r="B18" s="69"/>
      <c r="C18" s="37">
        <f>MAX(_xlfn.XLOOKUP(B13,B1:B10,C1:E10))</f>
        <v>1780</v>
      </c>
    </row>
  </sheetData>
  <mergeCells count="5">
    <mergeCell ref="A14:B14"/>
    <mergeCell ref="A15:B15"/>
    <mergeCell ref="A16:B16"/>
    <mergeCell ref="A17:B17"/>
    <mergeCell ref="A18:B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zoomScaleNormal="100" workbookViewId="0">
      <selection activeCell="K14" sqref="K14"/>
    </sheetView>
  </sheetViews>
  <sheetFormatPr defaultColWidth="8.6328125" defaultRowHeight="14.5" x14ac:dyDescent="0.35"/>
  <cols>
    <col min="1" max="1" width="6" style="1" customWidth="1"/>
    <col min="2" max="2" width="11.08984375" style="1" bestFit="1" customWidth="1"/>
    <col min="3" max="3" width="5.81640625" style="1" bestFit="1" customWidth="1"/>
    <col min="4" max="4" width="9" style="1" customWidth="1"/>
    <col min="5" max="5" width="1.81640625" style="1" bestFit="1" customWidth="1"/>
    <col min="6" max="6" width="59.90625" style="1" bestFit="1" customWidth="1"/>
    <col min="7" max="7" width="7.90625" style="1" bestFit="1" customWidth="1"/>
    <col min="8" max="8" width="10.90625" style="1" bestFit="1" customWidth="1"/>
    <col min="9" max="9" width="5.81640625" style="1" bestFit="1" customWidth="1"/>
  </cols>
  <sheetData>
    <row r="1" spans="1:9" ht="27.75" customHeight="1" x14ac:dyDescent="0.35">
      <c r="A1" s="2" t="s">
        <v>27</v>
      </c>
      <c r="B1" s="2" t="s">
        <v>64</v>
      </c>
      <c r="C1" s="2" t="s">
        <v>29</v>
      </c>
      <c r="D1" s="2"/>
      <c r="F1" s="2"/>
      <c r="G1" s="2"/>
      <c r="H1" s="2"/>
      <c r="I1" s="2"/>
    </row>
    <row r="2" spans="1:9" ht="14.25" customHeight="1" x14ac:dyDescent="0.35">
      <c r="A2" s="3" t="s">
        <v>65</v>
      </c>
      <c r="B2" s="3" t="s">
        <v>3</v>
      </c>
      <c r="C2" s="3">
        <v>35000</v>
      </c>
      <c r="D2" s="3"/>
      <c r="E2" s="10"/>
      <c r="F2" s="11" t="s">
        <v>5</v>
      </c>
      <c r="G2" s="12" t="s">
        <v>32</v>
      </c>
      <c r="H2" s="3"/>
      <c r="I2" s="3"/>
    </row>
    <row r="3" spans="1:9" ht="14.25" customHeight="1" x14ac:dyDescent="0.35">
      <c r="A3" s="3" t="s">
        <v>66</v>
      </c>
      <c r="B3" s="3" t="s">
        <v>34</v>
      </c>
      <c r="C3" s="3">
        <v>45000</v>
      </c>
      <c r="D3" s="3"/>
      <c r="E3" s="6">
        <v>1</v>
      </c>
      <c r="F3" s="3" t="s">
        <v>67</v>
      </c>
      <c r="G3" s="4" t="str">
        <f t="array" ref="G3:I4">_xlfn._xlws.FILTER(A1:C7,B1:B7="Sales")</f>
        <v>Amit</v>
      </c>
      <c r="H3" s="3" t="str">
        <v>Sales</v>
      </c>
      <c r="I3" s="3">
        <v>35000</v>
      </c>
    </row>
    <row r="4" spans="1:9" ht="14.25" customHeight="1" x14ac:dyDescent="0.35">
      <c r="A4" s="3" t="s">
        <v>68</v>
      </c>
      <c r="B4" s="3" t="s">
        <v>3</v>
      </c>
      <c r="C4" s="3">
        <v>30000</v>
      </c>
      <c r="D4" s="3"/>
      <c r="E4" s="13"/>
      <c r="F4" s="3"/>
      <c r="G4" s="4" t="str">
        <v>Mohit</v>
      </c>
      <c r="H4" s="3" t="str">
        <v>Sales</v>
      </c>
      <c r="I4" s="3">
        <v>30000</v>
      </c>
    </row>
    <row r="5" spans="1:9" ht="14.25" customHeight="1" x14ac:dyDescent="0.35">
      <c r="A5" s="3" t="s">
        <v>69</v>
      </c>
      <c r="B5" s="3" t="s">
        <v>37</v>
      </c>
      <c r="C5" s="3">
        <v>55000</v>
      </c>
      <c r="D5" s="3"/>
      <c r="E5" s="13"/>
      <c r="F5" s="3"/>
      <c r="G5" s="4"/>
      <c r="H5" s="3"/>
      <c r="I5" s="3"/>
    </row>
    <row r="6" spans="1:9" ht="14.25" customHeight="1" x14ac:dyDescent="0.35">
      <c r="A6" s="3" t="s">
        <v>70</v>
      </c>
      <c r="B6" s="3" t="s">
        <v>34</v>
      </c>
      <c r="C6" s="3">
        <v>40000</v>
      </c>
      <c r="D6" s="3"/>
      <c r="E6" s="13"/>
      <c r="F6" s="3"/>
      <c r="G6" s="4"/>
      <c r="H6" s="3"/>
      <c r="I6" s="3"/>
    </row>
    <row r="7" spans="1:9" ht="14.25" customHeight="1" x14ac:dyDescent="0.35">
      <c r="A7" s="6" t="s">
        <v>71</v>
      </c>
      <c r="B7" s="6" t="s">
        <v>37</v>
      </c>
      <c r="C7" s="14">
        <v>60000</v>
      </c>
      <c r="E7" s="6">
        <v>2</v>
      </c>
      <c r="F7" s="3" t="s">
        <v>72</v>
      </c>
      <c r="G7" s="4" t="str">
        <f t="array" ref="G7:I10">_xlfn._xlws.FILTER(A1:C7,C1:C7&gt;40000)</f>
        <v>Name</v>
      </c>
      <c r="H7" s="3" t="str">
        <v>Department</v>
      </c>
      <c r="I7" s="3" t="str">
        <v>Salary</v>
      </c>
    </row>
    <row r="8" spans="1:9" ht="14.25" customHeight="1" x14ac:dyDescent="0.35">
      <c r="E8" s="13"/>
      <c r="F8" s="3"/>
      <c r="G8" s="4" t="str">
        <v>Riya</v>
      </c>
      <c r="H8" s="3" t="str">
        <v>HR</v>
      </c>
      <c r="I8" s="3">
        <v>45000</v>
      </c>
    </row>
    <row r="9" spans="1:9" ht="14.25" customHeight="1" x14ac:dyDescent="0.35">
      <c r="E9" s="13"/>
      <c r="F9" s="3"/>
      <c r="G9" s="4" t="str">
        <v>Neha</v>
      </c>
      <c r="H9" s="3" t="str">
        <v>IT</v>
      </c>
      <c r="I9" s="3">
        <v>55000</v>
      </c>
    </row>
    <row r="10" spans="1:9" ht="14.25" customHeight="1" x14ac:dyDescent="0.35">
      <c r="E10" s="13"/>
      <c r="F10" s="3"/>
      <c r="G10" s="4" t="str">
        <v>Priti</v>
      </c>
      <c r="H10" s="3" t="str">
        <v>IT</v>
      </c>
      <c r="I10" s="3">
        <v>60000</v>
      </c>
    </row>
    <row r="11" spans="1:9" ht="14.25" customHeight="1" x14ac:dyDescent="0.35">
      <c r="E11" s="13"/>
      <c r="F11" s="3"/>
      <c r="G11" s="4"/>
      <c r="H11" s="3"/>
      <c r="I11" s="3"/>
    </row>
    <row r="12" spans="1:9" ht="14.25" customHeight="1" x14ac:dyDescent="0.35">
      <c r="E12" s="13"/>
      <c r="F12" s="3"/>
      <c r="G12" s="4"/>
      <c r="H12" s="3"/>
      <c r="I12" s="3"/>
    </row>
    <row r="13" spans="1:9" ht="14.25" customHeight="1" x14ac:dyDescent="0.35">
      <c r="E13" s="6">
        <v>3</v>
      </c>
      <c r="F13" s="3" t="s">
        <v>73</v>
      </c>
      <c r="G13" s="4" t="str">
        <f t="array" ref="G13:I16">_xlfn._xlws.FILTER(A1:C7,(B1:B7="HR")+(B1:B7="IT"))</f>
        <v>Riya</v>
      </c>
      <c r="H13" s="3" t="str">
        <v>HR</v>
      </c>
      <c r="I13" s="3">
        <v>45000</v>
      </c>
    </row>
    <row r="14" spans="1:9" ht="14.25" customHeight="1" x14ac:dyDescent="0.35">
      <c r="E14" s="13"/>
      <c r="F14" s="3"/>
      <c r="G14" s="4" t="str">
        <v>Neha</v>
      </c>
      <c r="H14" s="3" t="str">
        <v>IT</v>
      </c>
      <c r="I14" s="3">
        <v>55000</v>
      </c>
    </row>
    <row r="15" spans="1:9" ht="14.25" customHeight="1" x14ac:dyDescent="0.35">
      <c r="E15" s="13"/>
      <c r="F15" s="3"/>
      <c r="G15" s="4" t="str">
        <v>Sohan</v>
      </c>
      <c r="H15" s="3" t="str">
        <v>HR</v>
      </c>
      <c r="I15" s="3">
        <v>40000</v>
      </c>
    </row>
    <row r="16" spans="1:9" ht="14.25" customHeight="1" x14ac:dyDescent="0.35">
      <c r="E16" s="15"/>
      <c r="F16" s="3"/>
      <c r="G16" s="4" t="str">
        <v>Priti</v>
      </c>
      <c r="H16" s="3" t="str">
        <v>IT</v>
      </c>
      <c r="I16" s="3">
        <v>60000</v>
      </c>
    </row>
    <row r="17" spans="5:9" ht="14.25" customHeight="1" x14ac:dyDescent="0.35">
      <c r="E17" s="6">
        <v>4</v>
      </c>
      <c r="F17" s="3" t="s">
        <v>74</v>
      </c>
      <c r="G17" s="4" t="str">
        <f t="array" ref="G17:I17">_xlfn._xlws.FILTER(A1:C7,(B1:B7="Sales")*(C1:C7&gt;30000))</f>
        <v>Amit</v>
      </c>
      <c r="H17" s="3" t="str">
        <v>Sales</v>
      </c>
      <c r="I17" s="3">
        <v>35000</v>
      </c>
    </row>
    <row r="18" spans="5:9" ht="14.25" customHeight="1" x14ac:dyDescent="0.35">
      <c r="E18" s="15"/>
      <c r="F18" s="3"/>
      <c r="G18" s="4"/>
      <c r="H18" s="3"/>
      <c r="I18" s="3"/>
    </row>
    <row r="19" spans="5:9" ht="14.25" customHeight="1" x14ac:dyDescent="0.35">
      <c r="E19" s="6">
        <v>5</v>
      </c>
      <c r="F19" s="3" t="s">
        <v>75</v>
      </c>
      <c r="G19" s="4" t="str">
        <f t="array" ref="G19:I19">_xlfn._xlws.FILTER(A1:C7,(B1:B7="IT")*(C1:C7&gt;55000))</f>
        <v>Priti</v>
      </c>
      <c r="H19" s="3" t="str">
        <v>IT</v>
      </c>
      <c r="I19" s="3">
        <v>60000</v>
      </c>
    </row>
    <row r="20" spans="5:9" ht="14.25" customHeight="1" x14ac:dyDescent="0.35">
      <c r="E20" s="15"/>
      <c r="F20" s="3"/>
      <c r="G20" s="4"/>
      <c r="H20" s="3"/>
      <c r="I20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6"/>
  <sheetViews>
    <sheetView zoomScale="69" zoomScaleNormal="100" workbookViewId="0"/>
  </sheetViews>
  <sheetFormatPr defaultColWidth="8.6328125" defaultRowHeight="14.5" x14ac:dyDescent="0.35"/>
  <cols>
    <col min="1" max="1" width="9" style="1" customWidth="1"/>
    <col min="2" max="3" width="8" style="1" customWidth="1"/>
    <col min="4" max="4" width="9" style="1" customWidth="1"/>
    <col min="5" max="5" width="10" style="1" customWidth="1"/>
    <col min="8" max="8" width="5" style="1" customWidth="1"/>
    <col min="9" max="9" width="32" style="1" customWidth="1"/>
    <col min="10" max="10" width="10" style="1" customWidth="1"/>
    <col min="11" max="11" width="8" style="1" customWidth="1"/>
    <col min="12" max="12" width="9" style="1" customWidth="1"/>
    <col min="13" max="15" width="10" style="1" customWidth="1"/>
  </cols>
  <sheetData>
    <row r="1" spans="1:14" ht="14.25" customHeight="1" x14ac:dyDescent="0.35">
      <c r="A1" s="2" t="s">
        <v>26</v>
      </c>
      <c r="B1" s="2" t="s">
        <v>27</v>
      </c>
      <c r="C1" s="2" t="s">
        <v>28</v>
      </c>
      <c r="D1" s="2" t="s">
        <v>29</v>
      </c>
      <c r="E1" s="2" t="s">
        <v>76</v>
      </c>
      <c r="H1" s="16"/>
      <c r="I1" s="17" t="s">
        <v>5</v>
      </c>
      <c r="J1" s="18" t="s">
        <v>32</v>
      </c>
      <c r="K1" s="19"/>
      <c r="L1" s="19"/>
      <c r="M1" s="19"/>
      <c r="N1" s="20"/>
    </row>
    <row r="2" spans="1:14" ht="15" customHeight="1" x14ac:dyDescent="0.35">
      <c r="A2" s="3" t="s">
        <v>77</v>
      </c>
      <c r="B2" s="3" t="s">
        <v>65</v>
      </c>
      <c r="C2" s="3" t="s">
        <v>34</v>
      </c>
      <c r="D2" s="3">
        <v>25000</v>
      </c>
      <c r="E2" s="3" t="s">
        <v>78</v>
      </c>
      <c r="H2" s="21"/>
      <c r="I2" s="22"/>
      <c r="J2" s="23"/>
      <c r="K2" s="23"/>
      <c r="L2" s="23"/>
      <c r="M2" s="23"/>
      <c r="N2" s="24"/>
    </row>
    <row r="3" spans="1:14" ht="14.25" customHeight="1" x14ac:dyDescent="0.35">
      <c r="A3" s="3" t="s">
        <v>79</v>
      </c>
      <c r="B3" s="3" t="s">
        <v>69</v>
      </c>
      <c r="C3" s="3" t="s">
        <v>37</v>
      </c>
      <c r="D3" s="3">
        <v>32000</v>
      </c>
      <c r="E3" s="3" t="s">
        <v>80</v>
      </c>
      <c r="H3" s="25" t="s">
        <v>50</v>
      </c>
      <c r="I3" s="9" t="s">
        <v>81</v>
      </c>
      <c r="J3" s="8" t="str">
        <f t="array" ref="J3:N4">_xlfn._xlws.FILTER(A1:E6,C1:C6="IT")</f>
        <v>EMP102</v>
      </c>
      <c r="K3" s="8" t="str">
        <v>Neha</v>
      </c>
      <c r="L3" s="8" t="str">
        <v>IT</v>
      </c>
      <c r="M3" s="8">
        <v>32000</v>
      </c>
      <c r="N3" s="8" t="str">
        <v>Mumbai</v>
      </c>
    </row>
    <row r="4" spans="1:14" ht="14.25" customHeight="1" x14ac:dyDescent="0.35">
      <c r="A4" s="3" t="s">
        <v>82</v>
      </c>
      <c r="B4" s="3" t="s">
        <v>83</v>
      </c>
      <c r="C4" s="3" t="s">
        <v>3</v>
      </c>
      <c r="D4" s="3">
        <v>28000</v>
      </c>
      <c r="E4" s="3" t="s">
        <v>84</v>
      </c>
      <c r="H4" s="26"/>
      <c r="I4" s="27"/>
      <c r="J4" s="1" t="str">
        <v>EMP106</v>
      </c>
      <c r="K4" s="1" t="str">
        <v>Karan</v>
      </c>
      <c r="L4" s="1" t="str">
        <v>IT</v>
      </c>
      <c r="M4" s="1">
        <v>30000</v>
      </c>
      <c r="N4" s="28" t="str">
        <v>Indore</v>
      </c>
    </row>
    <row r="5" spans="1:14" ht="14.25" customHeight="1" x14ac:dyDescent="0.35">
      <c r="A5" s="3" t="s">
        <v>85</v>
      </c>
      <c r="B5" s="3" t="s">
        <v>86</v>
      </c>
      <c r="C5" s="3" t="s">
        <v>87</v>
      </c>
      <c r="D5" s="3">
        <v>35000</v>
      </c>
      <c r="E5" s="3" t="s">
        <v>88</v>
      </c>
      <c r="H5" s="26"/>
      <c r="I5" s="27"/>
      <c r="N5" s="28"/>
    </row>
    <row r="6" spans="1:14" ht="15" customHeight="1" x14ac:dyDescent="0.35">
      <c r="A6" s="3" t="s">
        <v>89</v>
      </c>
      <c r="B6" s="3" t="s">
        <v>90</v>
      </c>
      <c r="C6" s="3" t="s">
        <v>37</v>
      </c>
      <c r="D6" s="3">
        <v>30000</v>
      </c>
      <c r="E6" s="3" t="s">
        <v>91</v>
      </c>
      <c r="H6" s="21"/>
      <c r="I6" s="22"/>
      <c r="J6" s="23"/>
      <c r="K6" s="23"/>
      <c r="L6" s="23"/>
      <c r="M6" s="23"/>
      <c r="N6" s="24"/>
    </row>
    <row r="7" spans="1:14" ht="14.25" customHeight="1" x14ac:dyDescent="0.35">
      <c r="H7" s="25" t="s">
        <v>52</v>
      </c>
      <c r="I7" s="9" t="s">
        <v>92</v>
      </c>
      <c r="J7" s="8" t="str">
        <f t="array" ref="J7:N9">_xlfn._xlws.FILTER(A1:E6,D1:D6&gt;30000)</f>
        <v>Emp ID</v>
      </c>
      <c r="K7" s="8" t="str">
        <v>Name</v>
      </c>
      <c r="L7" s="8" t="str">
        <v>Dept</v>
      </c>
      <c r="M7" s="8" t="str">
        <v>Salary</v>
      </c>
      <c r="N7" s="8" t="str">
        <v>City</v>
      </c>
    </row>
    <row r="8" spans="1:14" ht="14.25" customHeight="1" x14ac:dyDescent="0.35">
      <c r="H8" s="8"/>
      <c r="I8" s="8"/>
      <c r="J8" s="8" t="str">
        <v>EMP102</v>
      </c>
      <c r="K8" s="8" t="str">
        <v>Neha</v>
      </c>
      <c r="L8" s="8" t="str">
        <v>IT</v>
      </c>
      <c r="M8" s="8">
        <v>32000</v>
      </c>
      <c r="N8" s="8" t="str">
        <v>Mumbai</v>
      </c>
    </row>
    <row r="9" spans="1:14" ht="14.25" customHeight="1" x14ac:dyDescent="0.35">
      <c r="H9" s="8"/>
      <c r="I9" s="8"/>
      <c r="J9" s="8" t="str">
        <v>EMP104</v>
      </c>
      <c r="K9" s="8" t="str">
        <v>Pooja</v>
      </c>
      <c r="L9" s="8" t="str">
        <v>Finance</v>
      </c>
      <c r="M9" s="8">
        <v>35000</v>
      </c>
      <c r="N9" s="8" t="str">
        <v>Bhopal</v>
      </c>
    </row>
    <row r="10" spans="1:14" ht="14.25" customHeight="1" x14ac:dyDescent="0.35">
      <c r="H10" s="26"/>
      <c r="I10" s="27"/>
      <c r="N10" s="28"/>
    </row>
    <row r="11" spans="1:14" ht="15" customHeight="1" x14ac:dyDescent="0.35">
      <c r="H11" s="21"/>
      <c r="I11" s="22"/>
      <c r="J11" s="23"/>
      <c r="K11" s="23"/>
      <c r="L11" s="23"/>
      <c r="M11" s="23"/>
      <c r="N11" s="24"/>
    </row>
    <row r="12" spans="1:14" ht="14.25" customHeight="1" x14ac:dyDescent="0.35">
      <c r="H12" s="25" t="s">
        <v>62</v>
      </c>
      <c r="I12" s="9" t="s">
        <v>93</v>
      </c>
      <c r="J12" s="8" t="str">
        <f t="array" ref="J12:N12">_xlfn._xlws.FILTER(A1:E6,D1:D6=LARGE(D1:D6,1))</f>
        <v>EMP104</v>
      </c>
      <c r="K12" s="8" t="str">
        <v>Pooja</v>
      </c>
      <c r="L12" s="8" t="str">
        <v>Finance</v>
      </c>
      <c r="M12" s="8">
        <v>35000</v>
      </c>
      <c r="N12" s="8" t="str">
        <v>Bhopal</v>
      </c>
    </row>
    <row r="13" spans="1:14" ht="15" customHeight="1" x14ac:dyDescent="0.35">
      <c r="H13" s="21"/>
      <c r="I13" s="22"/>
      <c r="J13" s="23"/>
      <c r="K13" s="23"/>
      <c r="L13" s="23"/>
      <c r="M13" s="23"/>
      <c r="N13" s="24"/>
    </row>
    <row r="14" spans="1:14" ht="27.75" customHeight="1" x14ac:dyDescent="0.35">
      <c r="H14" s="25" t="s">
        <v>54</v>
      </c>
      <c r="I14" s="9" t="s">
        <v>94</v>
      </c>
      <c r="J14" s="8" t="str">
        <f t="array" ref="J14:N14">_xlfn._xlws.FILTER(A1:E6,(C1:C6="IT")*(D1:D6&gt;30000))</f>
        <v>EMP102</v>
      </c>
      <c r="K14" s="8" t="str">
        <v>Neha</v>
      </c>
      <c r="L14" s="8" t="str">
        <v>IT</v>
      </c>
      <c r="M14" s="8">
        <v>32000</v>
      </c>
      <c r="N14" s="8" t="str">
        <v>Mumbai</v>
      </c>
    </row>
    <row r="15" spans="1:14" ht="15" customHeight="1" x14ac:dyDescent="0.35">
      <c r="H15" s="21"/>
      <c r="I15" s="22"/>
      <c r="J15" s="23"/>
      <c r="K15" s="23"/>
      <c r="L15" s="23"/>
      <c r="M15" s="23"/>
      <c r="N15" s="24"/>
    </row>
    <row r="16" spans="1:14" ht="27.75" customHeight="1" x14ac:dyDescent="0.35">
      <c r="H16" s="25" t="s">
        <v>57</v>
      </c>
      <c r="I16" s="9" t="s">
        <v>95</v>
      </c>
      <c r="J16" s="8" t="str">
        <f t="array" ref="J16:N18">_xlfn._xlws.FILTER(A1:E6,(C1:C6="IT")+(E1:E6="Delhi"))</f>
        <v>EMP101</v>
      </c>
      <c r="K16" s="8" t="str">
        <v>Amit</v>
      </c>
      <c r="L16" s="8" t="str">
        <v>HR</v>
      </c>
      <c r="M16" s="8">
        <v>25000</v>
      </c>
      <c r="N16" s="8" t="str">
        <v>Delhi</v>
      </c>
    </row>
    <row r="17" spans="8:14" ht="14.25" customHeight="1" x14ac:dyDescent="0.35">
      <c r="H17" s="8"/>
      <c r="I17" s="8"/>
      <c r="J17" s="8" t="str">
        <v>EMP102</v>
      </c>
      <c r="K17" s="8" t="str">
        <v>Neha</v>
      </c>
      <c r="L17" s="8" t="str">
        <v>IT</v>
      </c>
      <c r="M17" s="8">
        <v>32000</v>
      </c>
      <c r="N17" s="8" t="str">
        <v>Mumbai</v>
      </c>
    </row>
    <row r="18" spans="8:14" ht="14.25" customHeight="1" x14ac:dyDescent="0.35">
      <c r="H18" s="8"/>
      <c r="I18" s="8"/>
      <c r="J18" s="8" t="str">
        <v>EMP106</v>
      </c>
      <c r="K18" s="8" t="str">
        <v>Karan</v>
      </c>
      <c r="L18" s="8" t="str">
        <v>IT</v>
      </c>
      <c r="M18" s="8">
        <v>30000</v>
      </c>
      <c r="N18" s="8" t="str">
        <v>Indore</v>
      </c>
    </row>
    <row r="19" spans="8:14" ht="15" customHeight="1" x14ac:dyDescent="0.35">
      <c r="H19" s="21"/>
      <c r="I19" s="22"/>
      <c r="J19" s="23"/>
      <c r="K19" s="23"/>
      <c r="L19" s="23"/>
      <c r="M19" s="23"/>
      <c r="N19" s="24"/>
    </row>
    <row r="20" spans="8:14" ht="14.25" customHeight="1" x14ac:dyDescent="0.35">
      <c r="H20" s="25" t="s">
        <v>59</v>
      </c>
      <c r="I20" s="9" t="s">
        <v>96</v>
      </c>
      <c r="J20" s="8" t="str">
        <f t="array" ref="J20">_xlfn._xlws.FILTER(A1:E6,E1:E6="Chennai","NOT FOUND")</f>
        <v>NOT FOUND</v>
      </c>
      <c r="K20" s="8"/>
      <c r="L20" s="8"/>
      <c r="M20" s="8"/>
      <c r="N20" s="8"/>
    </row>
    <row r="21" spans="8:14" ht="15" customHeight="1" x14ac:dyDescent="0.35">
      <c r="H21" s="21"/>
      <c r="I21" s="22"/>
      <c r="J21" s="23"/>
      <c r="K21" s="23"/>
      <c r="L21" s="23"/>
      <c r="M21" s="23"/>
      <c r="N21" s="24"/>
    </row>
    <row r="22" spans="8:14" ht="14.25" customHeight="1" x14ac:dyDescent="0.35">
      <c r="H22" s="25" t="s">
        <v>97</v>
      </c>
      <c r="I22" s="9" t="s">
        <v>98</v>
      </c>
      <c r="J22" s="8" t="str">
        <f t="array" ref="J22:N22">_xlfn._xlws.FILTER(A1:E6,LEFT(B1:B6,1)="A")</f>
        <v>EMP101</v>
      </c>
      <c r="K22" s="8" t="str">
        <v>Amit</v>
      </c>
      <c r="L22" s="8" t="str">
        <v>HR</v>
      </c>
      <c r="M22" s="8">
        <v>25000</v>
      </c>
      <c r="N22" s="8" t="str">
        <v>Delhi</v>
      </c>
    </row>
    <row r="23" spans="8:14" ht="14.25" customHeight="1" x14ac:dyDescent="0.35">
      <c r="H23" s="26"/>
      <c r="I23" s="27"/>
      <c r="N23" s="28"/>
    </row>
    <row r="24" spans="8:14" ht="15" customHeight="1" x14ac:dyDescent="0.35">
      <c r="H24" s="21"/>
      <c r="I24" s="22"/>
      <c r="J24" s="23"/>
      <c r="K24" s="23"/>
      <c r="L24" s="23"/>
      <c r="M24" s="23"/>
      <c r="N24" s="24"/>
    </row>
    <row r="25" spans="8:14" ht="14.25" customHeight="1" x14ac:dyDescent="0.35">
      <c r="H25" s="25" t="s">
        <v>99</v>
      </c>
      <c r="I25" s="9" t="s">
        <v>100</v>
      </c>
      <c r="J25" s="8" t="str">
        <f t="array" ref="J25:N26">_xlfn._xlws.FILTER(A1:E6,C1:C6=I26)</f>
        <v>EMP102</v>
      </c>
      <c r="K25" s="8" t="str">
        <v>Neha</v>
      </c>
      <c r="L25" s="8" t="str">
        <v>IT</v>
      </c>
      <c r="M25" s="8">
        <v>32000</v>
      </c>
      <c r="N25" s="8" t="str">
        <v>Mumbai</v>
      </c>
    </row>
    <row r="26" spans="8:14" ht="15" customHeight="1" x14ac:dyDescent="0.35">
      <c r="H26" s="8"/>
      <c r="I26" s="9" t="s">
        <v>37</v>
      </c>
      <c r="J26" s="8" t="str">
        <v>EMP106</v>
      </c>
      <c r="K26" s="8" t="str">
        <v>Karan</v>
      </c>
      <c r="L26" s="8" t="str">
        <v>IT</v>
      </c>
      <c r="M26" s="8">
        <v>30000</v>
      </c>
      <c r="N26" s="8" t="str">
        <v>Indore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7"/>
  <sheetViews>
    <sheetView zoomScaleNormal="100" workbookViewId="0"/>
  </sheetViews>
  <sheetFormatPr defaultColWidth="8.6328125" defaultRowHeight="14.5" x14ac:dyDescent="0.35"/>
  <cols>
    <col min="1" max="1" width="6" style="1" customWidth="1"/>
    <col min="2" max="2" width="10" style="1" customWidth="1"/>
    <col min="3" max="3" width="8" style="1" customWidth="1"/>
    <col min="4" max="5" width="9" style="1" customWidth="1"/>
    <col min="7" max="7" width="4" style="1" customWidth="1"/>
    <col min="8" max="8" width="42" style="1" customWidth="1"/>
    <col min="9" max="9" width="10" style="1" customWidth="1"/>
    <col min="13" max="13" width="7.08984375" style="1" customWidth="1"/>
  </cols>
  <sheetData>
    <row r="1" spans="1:9" ht="14.25" customHeight="1" x14ac:dyDescent="0.35">
      <c r="A1" s="2" t="s">
        <v>101</v>
      </c>
      <c r="B1" s="2" t="s">
        <v>27</v>
      </c>
      <c r="C1" s="2" t="s">
        <v>102</v>
      </c>
      <c r="D1" s="2" t="s">
        <v>103</v>
      </c>
      <c r="E1" s="2" t="s">
        <v>104</v>
      </c>
      <c r="G1" s="6"/>
      <c r="H1" s="2" t="s">
        <v>5</v>
      </c>
      <c r="I1" s="2" t="s">
        <v>105</v>
      </c>
    </row>
    <row r="2" spans="1:9" ht="14.25" customHeight="1" x14ac:dyDescent="0.35">
      <c r="A2" s="3">
        <v>101</v>
      </c>
      <c r="B2" s="3" t="s">
        <v>106</v>
      </c>
      <c r="C2" s="3">
        <v>70</v>
      </c>
      <c r="D2" s="3">
        <v>61</v>
      </c>
      <c r="E2" s="3">
        <v>98</v>
      </c>
      <c r="G2" s="6">
        <v>1</v>
      </c>
      <c r="H2" s="4" t="s">
        <v>107</v>
      </c>
      <c r="I2" s="3">
        <f>INDEX(B1:E6,3,2)</f>
        <v>75</v>
      </c>
    </row>
    <row r="3" spans="1:9" ht="14.25" customHeight="1" x14ac:dyDescent="0.35">
      <c r="A3" s="3">
        <v>102</v>
      </c>
      <c r="B3" s="3" t="s">
        <v>108</v>
      </c>
      <c r="C3" s="3">
        <v>75</v>
      </c>
      <c r="D3" s="3">
        <v>71</v>
      </c>
      <c r="E3" s="3">
        <v>74</v>
      </c>
      <c r="G3" s="6">
        <v>2</v>
      </c>
      <c r="H3" s="4" t="s">
        <v>109</v>
      </c>
      <c r="I3" s="3">
        <f>INDEX(B1:E6,4,3)</f>
        <v>77</v>
      </c>
    </row>
    <row r="4" spans="1:9" ht="14.25" customHeight="1" x14ac:dyDescent="0.35">
      <c r="A4" s="3">
        <v>103</v>
      </c>
      <c r="B4" s="3" t="s">
        <v>110</v>
      </c>
      <c r="C4" s="3">
        <v>68</v>
      </c>
      <c r="D4" s="3">
        <v>77</v>
      </c>
      <c r="E4" s="3">
        <v>61</v>
      </c>
      <c r="G4" s="6">
        <v>3</v>
      </c>
      <c r="H4" s="4" t="s">
        <v>111</v>
      </c>
      <c r="I4" s="3">
        <f>INDEX(A1:E6,5,5)</f>
        <v>68</v>
      </c>
    </row>
    <row r="5" spans="1:9" ht="14.25" customHeight="1" x14ac:dyDescent="0.35">
      <c r="A5" s="3">
        <v>104</v>
      </c>
      <c r="B5" s="3" t="s">
        <v>69</v>
      </c>
      <c r="C5" s="3">
        <v>71</v>
      </c>
      <c r="D5" s="3">
        <v>63</v>
      </c>
      <c r="E5" s="3">
        <v>68</v>
      </c>
      <c r="G5" s="10">
        <v>4</v>
      </c>
      <c r="H5" s="4" t="s">
        <v>112</v>
      </c>
      <c r="I5" s="3" t="str">
        <f>INDEX(A1:E6,3,2)</f>
        <v>Priya</v>
      </c>
    </row>
    <row r="6" spans="1:9" ht="27.75" customHeight="1" x14ac:dyDescent="0.35">
      <c r="A6" s="3">
        <v>105</v>
      </c>
      <c r="B6" s="3" t="s">
        <v>66</v>
      </c>
      <c r="C6" s="3">
        <v>68</v>
      </c>
      <c r="D6" s="3">
        <v>71</v>
      </c>
      <c r="E6" s="3">
        <v>86</v>
      </c>
      <c r="G6" s="29">
        <v>5</v>
      </c>
      <c r="H6" s="4" t="s">
        <v>113</v>
      </c>
      <c r="I6" s="3">
        <f>INDEX(A1:E6,MATCH(H7,B1:B6,0),4)</f>
        <v>71</v>
      </c>
    </row>
    <row r="7" spans="1:9" ht="14.25" customHeight="1" x14ac:dyDescent="0.35">
      <c r="G7" s="30"/>
      <c r="H7" s="3" t="s">
        <v>66</v>
      </c>
      <c r="I7" s="3"/>
    </row>
    <row r="8" spans="1:9" ht="14.25" customHeight="1" x14ac:dyDescent="0.35">
      <c r="G8" s="31"/>
      <c r="H8" s="32"/>
      <c r="I8" s="7"/>
    </row>
    <row r="9" spans="1:9" ht="27.75" customHeight="1" x14ac:dyDescent="0.35">
      <c r="G9" s="29">
        <v>6</v>
      </c>
      <c r="H9" s="4" t="s">
        <v>114</v>
      </c>
      <c r="I9" s="3">
        <f>INDEX(A1:E6,MATCH(H10,B1:B6,0),MATCH(H11,A1:E1,0))</f>
        <v>98</v>
      </c>
    </row>
    <row r="10" spans="1:9" ht="14.25" customHeight="1" x14ac:dyDescent="0.35">
      <c r="G10" s="30"/>
      <c r="H10" s="3" t="s">
        <v>106</v>
      </c>
      <c r="I10" s="3"/>
    </row>
    <row r="11" spans="1:9" ht="14.25" customHeight="1" x14ac:dyDescent="0.35">
      <c r="G11" s="31"/>
      <c r="H11" s="3" t="s">
        <v>104</v>
      </c>
      <c r="I11" s="3"/>
    </row>
    <row r="12" spans="1:9" ht="27.75" customHeight="1" x14ac:dyDescent="0.35">
      <c r="G12" s="29">
        <v>7</v>
      </c>
      <c r="H12" s="4" t="s">
        <v>115</v>
      </c>
      <c r="I12" s="3">
        <f>INDEX(A1:E6,MATCH(H13,B1:B6,0),MATCH(H14,A1:E1,0))</f>
        <v>102</v>
      </c>
    </row>
    <row r="13" spans="1:9" ht="14.25" customHeight="1" x14ac:dyDescent="0.35">
      <c r="G13" s="30"/>
      <c r="H13" s="3" t="s">
        <v>108</v>
      </c>
      <c r="I13" s="3"/>
    </row>
    <row r="14" spans="1:9" ht="14.25" customHeight="1" x14ac:dyDescent="0.35">
      <c r="G14" s="31"/>
      <c r="H14" s="3" t="s">
        <v>101</v>
      </c>
      <c r="I14" s="3"/>
    </row>
    <row r="15" spans="1:9" ht="27.75" customHeight="1" x14ac:dyDescent="0.35">
      <c r="G15" s="29">
        <v>8</v>
      </c>
      <c r="H15" s="4" t="s">
        <v>116</v>
      </c>
      <c r="I15" s="3">
        <f>INDEX(A1:E6,MATCH(H16,B1:B6,0),MATCH(H17,A1:E1,0))</f>
        <v>70</v>
      </c>
    </row>
    <row r="16" spans="1:9" ht="14.25" customHeight="1" x14ac:dyDescent="0.35">
      <c r="G16" s="30"/>
      <c r="H16" s="3" t="s">
        <v>106</v>
      </c>
      <c r="I16" s="3"/>
    </row>
    <row r="17" spans="7:9" ht="14.25" customHeight="1" x14ac:dyDescent="0.35">
      <c r="G17" s="31"/>
      <c r="H17" s="3" t="s">
        <v>102</v>
      </c>
      <c r="I17" s="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zoomScale="64" zoomScaleNormal="100" workbookViewId="0">
      <selection activeCell="I7" sqref="I7"/>
    </sheetView>
  </sheetViews>
  <sheetFormatPr defaultColWidth="8.6328125" defaultRowHeight="14.5" x14ac:dyDescent="0.35"/>
  <cols>
    <col min="1" max="1" width="6" style="1" customWidth="1"/>
    <col min="2" max="3" width="10" style="1" customWidth="1"/>
    <col min="4" max="4" width="8" style="1" customWidth="1"/>
    <col min="5" max="5" width="14" style="1" customWidth="1"/>
    <col min="6" max="6" width="10" style="1" customWidth="1"/>
    <col min="7" max="7" width="8" style="1" customWidth="1"/>
    <col min="8" max="8" width="10" style="1" customWidth="1"/>
    <col min="9" max="9" width="7" style="1" customWidth="1"/>
  </cols>
  <sheetData>
    <row r="1" spans="1:9" ht="14.25" customHeight="1" x14ac:dyDescent="0.35">
      <c r="A1" s="2" t="s">
        <v>101</v>
      </c>
      <c r="B1" s="2" t="s">
        <v>27</v>
      </c>
      <c r="C1" s="2" t="s">
        <v>117</v>
      </c>
      <c r="D1" s="2" t="s">
        <v>118</v>
      </c>
    </row>
    <row r="2" spans="1:9" ht="27.75" customHeight="1" x14ac:dyDescent="0.35">
      <c r="A2" s="3">
        <f t="array" ref="A2:A21">_xlfn.SEQUENCE(20)</f>
        <v>1</v>
      </c>
      <c r="B2" s="3" t="s">
        <v>33</v>
      </c>
      <c r="C2" s="3" t="s">
        <v>119</v>
      </c>
      <c r="D2" s="3">
        <v>8</v>
      </c>
      <c r="F2" s="70" t="s">
        <v>120</v>
      </c>
      <c r="G2" s="70"/>
      <c r="H2" s="70"/>
      <c r="I2" s="70"/>
    </row>
    <row r="3" spans="1:9" ht="14.25" customHeight="1" x14ac:dyDescent="0.35">
      <c r="A3" s="3">
        <v>2</v>
      </c>
      <c r="B3" s="3" t="s">
        <v>36</v>
      </c>
      <c r="C3" s="3" t="s">
        <v>121</v>
      </c>
      <c r="D3" s="3">
        <v>8</v>
      </c>
      <c r="E3" s="33" t="s">
        <v>122</v>
      </c>
      <c r="F3" s="34" t="s">
        <v>121</v>
      </c>
    </row>
    <row r="4" spans="1:9" ht="14.25" customHeight="1" x14ac:dyDescent="0.35">
      <c r="A4" s="3">
        <v>3</v>
      </c>
      <c r="B4" s="3" t="s">
        <v>39</v>
      </c>
      <c r="C4" s="3" t="s">
        <v>123</v>
      </c>
      <c r="D4" s="3">
        <v>8</v>
      </c>
      <c r="F4" s="35">
        <f t="array" ref="F4:I9">_xlfn._xlws.FILTER(A1:D21,C1:C21=F3)</f>
        <v>2</v>
      </c>
      <c r="G4" s="35" t="str">
        <v>B</v>
      </c>
      <c r="H4" s="35" t="str">
        <v>BLUE</v>
      </c>
      <c r="I4" s="35">
        <v>8</v>
      </c>
    </row>
    <row r="5" spans="1:9" ht="14.25" customHeight="1" x14ac:dyDescent="0.35">
      <c r="A5" s="3">
        <v>4</v>
      </c>
      <c r="B5" s="3" t="s">
        <v>41</v>
      </c>
      <c r="C5" s="3" t="s">
        <v>124</v>
      </c>
      <c r="D5" s="3">
        <v>8</v>
      </c>
      <c r="F5" s="35">
        <v>6</v>
      </c>
      <c r="G5" s="35" t="str">
        <v>F</v>
      </c>
      <c r="H5" s="35" t="str">
        <v>BLUE</v>
      </c>
      <c r="I5" s="35">
        <v>11</v>
      </c>
    </row>
    <row r="6" spans="1:9" ht="14.25" customHeight="1" x14ac:dyDescent="0.35">
      <c r="A6" s="3">
        <v>5</v>
      </c>
      <c r="B6" s="3" t="s">
        <v>45</v>
      </c>
      <c r="C6" s="3" t="s">
        <v>119</v>
      </c>
      <c r="D6" s="3">
        <v>6</v>
      </c>
      <c r="F6" s="35">
        <v>8</v>
      </c>
      <c r="G6" s="35" t="str">
        <v>I</v>
      </c>
      <c r="H6" s="35" t="str">
        <v>BLUE</v>
      </c>
      <c r="I6" s="35">
        <v>6</v>
      </c>
    </row>
    <row r="7" spans="1:9" ht="14.25" customHeight="1" x14ac:dyDescent="0.35">
      <c r="A7" s="3">
        <v>6</v>
      </c>
      <c r="B7" s="3" t="s">
        <v>125</v>
      </c>
      <c r="C7" s="3" t="s">
        <v>121</v>
      </c>
      <c r="D7" s="3">
        <v>11</v>
      </c>
      <c r="F7" s="35">
        <v>12</v>
      </c>
      <c r="G7" s="35" t="str">
        <v>M</v>
      </c>
      <c r="H7" s="35" t="str">
        <v>BLUE</v>
      </c>
      <c r="I7" s="35">
        <v>6</v>
      </c>
    </row>
    <row r="8" spans="1:9" ht="14.25" customHeight="1" x14ac:dyDescent="0.35">
      <c r="A8" s="3">
        <v>7</v>
      </c>
      <c r="B8" s="3" t="s">
        <v>126</v>
      </c>
      <c r="C8" s="3" t="s">
        <v>119</v>
      </c>
      <c r="D8" s="3">
        <v>5</v>
      </c>
      <c r="F8" s="35">
        <v>15</v>
      </c>
      <c r="G8" s="35" t="str">
        <v>P</v>
      </c>
      <c r="H8" s="35" t="str">
        <v>BLUE</v>
      </c>
      <c r="I8" s="35">
        <v>4</v>
      </c>
    </row>
    <row r="9" spans="1:9" ht="14.25" customHeight="1" x14ac:dyDescent="0.35">
      <c r="A9" s="3">
        <v>8</v>
      </c>
      <c r="B9" s="3" t="s">
        <v>127</v>
      </c>
      <c r="C9" s="3" t="s">
        <v>121</v>
      </c>
      <c r="D9" s="3">
        <v>6</v>
      </c>
      <c r="F9" s="35">
        <v>16</v>
      </c>
      <c r="G9" s="35" t="str">
        <v>Q</v>
      </c>
      <c r="H9" s="35" t="str">
        <v>BLUE</v>
      </c>
      <c r="I9" s="35">
        <v>7</v>
      </c>
    </row>
    <row r="10" spans="1:9" ht="14.25" customHeight="1" x14ac:dyDescent="0.35">
      <c r="A10" s="3">
        <v>9</v>
      </c>
      <c r="B10" s="3" t="s">
        <v>128</v>
      </c>
      <c r="C10" s="3" t="s">
        <v>124</v>
      </c>
      <c r="D10" s="3">
        <v>11</v>
      </c>
    </row>
    <row r="11" spans="1:9" ht="14.25" customHeight="1" x14ac:dyDescent="0.35">
      <c r="A11" s="3">
        <v>10</v>
      </c>
      <c r="B11" s="3" t="s">
        <v>129</v>
      </c>
      <c r="C11" s="3" t="s">
        <v>123</v>
      </c>
      <c r="D11" s="3">
        <v>7</v>
      </c>
    </row>
    <row r="12" spans="1:9" ht="14.25" customHeight="1" x14ac:dyDescent="0.35">
      <c r="A12" s="3">
        <v>11</v>
      </c>
      <c r="B12" s="3" t="s">
        <v>130</v>
      </c>
      <c r="C12" s="3" t="s">
        <v>124</v>
      </c>
      <c r="D12" s="3">
        <v>2</v>
      </c>
    </row>
    <row r="13" spans="1:9" ht="14.25" customHeight="1" x14ac:dyDescent="0.35">
      <c r="A13" s="3">
        <v>12</v>
      </c>
      <c r="B13" s="3" t="s">
        <v>131</v>
      </c>
      <c r="C13" s="3" t="s">
        <v>121</v>
      </c>
      <c r="D13" s="3">
        <v>6</v>
      </c>
    </row>
    <row r="14" spans="1:9" ht="14.25" customHeight="1" x14ac:dyDescent="0.35">
      <c r="A14" s="3">
        <v>13</v>
      </c>
      <c r="B14" s="3" t="s">
        <v>132</v>
      </c>
      <c r="C14" s="3" t="s">
        <v>119</v>
      </c>
      <c r="D14" s="3">
        <v>4</v>
      </c>
    </row>
    <row r="15" spans="1:9" ht="14.25" customHeight="1" x14ac:dyDescent="0.35">
      <c r="A15" s="3">
        <v>14</v>
      </c>
      <c r="B15" s="3" t="s">
        <v>133</v>
      </c>
      <c r="C15" s="3" t="s">
        <v>123</v>
      </c>
      <c r="D15" s="3">
        <v>3</v>
      </c>
    </row>
    <row r="16" spans="1:9" ht="14.25" customHeight="1" x14ac:dyDescent="0.35">
      <c r="A16" s="3">
        <v>15</v>
      </c>
      <c r="B16" s="3" t="s">
        <v>134</v>
      </c>
      <c r="C16" s="3" t="s">
        <v>121</v>
      </c>
      <c r="D16" s="3">
        <v>4</v>
      </c>
    </row>
    <row r="17" spans="1:4" ht="14.25" customHeight="1" x14ac:dyDescent="0.35">
      <c r="A17" s="3">
        <v>16</v>
      </c>
      <c r="B17" s="3" t="s">
        <v>135</v>
      </c>
      <c r="C17" s="3" t="s">
        <v>121</v>
      </c>
      <c r="D17" s="3">
        <v>7</v>
      </c>
    </row>
    <row r="18" spans="1:4" ht="14.25" customHeight="1" x14ac:dyDescent="0.35">
      <c r="A18" s="3">
        <v>17</v>
      </c>
      <c r="B18" s="3" t="s">
        <v>136</v>
      </c>
      <c r="C18" s="3" t="s">
        <v>119</v>
      </c>
      <c r="D18" s="3">
        <v>6</v>
      </c>
    </row>
    <row r="19" spans="1:4" ht="14.25" customHeight="1" x14ac:dyDescent="0.35">
      <c r="A19" s="3">
        <v>18</v>
      </c>
      <c r="B19" s="3" t="s">
        <v>137</v>
      </c>
      <c r="C19" s="3" t="s">
        <v>124</v>
      </c>
      <c r="D19" s="3">
        <v>6</v>
      </c>
    </row>
    <row r="20" spans="1:4" ht="14.25" customHeight="1" x14ac:dyDescent="0.35">
      <c r="A20" s="3">
        <v>19</v>
      </c>
      <c r="B20" s="3" t="s">
        <v>138</v>
      </c>
      <c r="C20" s="3" t="s">
        <v>119</v>
      </c>
      <c r="D20" s="3">
        <v>7</v>
      </c>
    </row>
    <row r="21" spans="1:4" ht="14.25" customHeight="1" x14ac:dyDescent="0.35">
      <c r="A21" s="3">
        <v>20</v>
      </c>
      <c r="B21" s="3" t="s">
        <v>139</v>
      </c>
      <c r="C21" s="3" t="s">
        <v>123</v>
      </c>
      <c r="D21" s="3">
        <v>8</v>
      </c>
    </row>
  </sheetData>
  <mergeCells count="1">
    <mergeCell ref="F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6"/>
  <sheetViews>
    <sheetView tabSelected="1" topLeftCell="BO1" zoomScaleNormal="100" workbookViewId="0">
      <selection activeCell="BS12" sqref="BS12"/>
    </sheetView>
  </sheetViews>
  <sheetFormatPr defaultColWidth="8.6328125" defaultRowHeight="14.5" x14ac:dyDescent="0.35"/>
  <cols>
    <col min="1" max="3" width="8" style="1" customWidth="1"/>
    <col min="4" max="4" width="7" style="1" customWidth="1"/>
    <col min="8" max="8" width="5" style="1" customWidth="1"/>
    <col min="9" max="9" width="30" style="1" customWidth="1"/>
    <col min="10" max="10" width="38" style="1" customWidth="1"/>
    <col min="11" max="11" width="2.81640625" style="1" customWidth="1"/>
  </cols>
  <sheetData>
    <row r="1" spans="1:10" ht="27.75" customHeight="1" x14ac:dyDescent="0.35">
      <c r="A1" s="2" t="s">
        <v>140</v>
      </c>
      <c r="B1" s="2" t="s">
        <v>27</v>
      </c>
      <c r="C1" s="2" t="s">
        <v>141</v>
      </c>
      <c r="D1" s="2" t="s">
        <v>142</v>
      </c>
      <c r="H1" s="2" t="s">
        <v>5</v>
      </c>
      <c r="I1" s="2"/>
      <c r="J1" s="2" t="s">
        <v>32</v>
      </c>
    </row>
    <row r="2" spans="1:10" ht="27.75" customHeight="1" x14ac:dyDescent="0.35">
      <c r="A2" s="3">
        <v>1</v>
      </c>
      <c r="B2" s="3" t="s">
        <v>33</v>
      </c>
      <c r="C2" s="3">
        <v>85</v>
      </c>
      <c r="D2" s="3" t="str">
        <f t="array" ref="D2">_xlfn.IFS(C2&lt;50,"Fail",C2&lt;70,"C",C2&lt;80,"B",C2&gt;80,"A")</f>
        <v>A</v>
      </c>
      <c r="H2" s="3" t="s">
        <v>50</v>
      </c>
      <c r="I2" s="4" t="s">
        <v>143</v>
      </c>
      <c r="J2" s="36" t="s">
        <v>144</v>
      </c>
    </row>
    <row r="3" spans="1:10" ht="14.25" customHeight="1" x14ac:dyDescent="0.35">
      <c r="A3" s="3">
        <v>2</v>
      </c>
      <c r="B3" s="3" t="s">
        <v>36</v>
      </c>
      <c r="C3" s="3">
        <v>45</v>
      </c>
      <c r="D3" s="3" t="str">
        <f t="array" ref="D3">_xlfn.IFS(C3&lt;50,"Fail",C3&lt;70,"C",C3&lt;80,"B",C3&gt;80,"A")</f>
        <v>Fail</v>
      </c>
      <c r="H3" s="3" t="s">
        <v>52</v>
      </c>
      <c r="I3" s="4" t="s">
        <v>145</v>
      </c>
      <c r="J3" s="3">
        <f>COUNTIF(C2:C6,"&gt;50")</f>
        <v>3</v>
      </c>
    </row>
    <row r="4" spans="1:10" ht="14.25" customHeight="1" x14ac:dyDescent="0.35">
      <c r="A4" s="3">
        <v>3</v>
      </c>
      <c r="B4" s="3" t="s">
        <v>39</v>
      </c>
      <c r="C4" s="3">
        <v>70</v>
      </c>
      <c r="D4" s="3" t="str">
        <f t="array" ref="D4">_xlfn.IFS(C4&lt;50,"Fail",C4&lt;70,"C",C4&lt;80,"B",C4&gt;80,"A")</f>
        <v>B</v>
      </c>
      <c r="H4" s="3" t="s">
        <v>54</v>
      </c>
      <c r="I4" s="4" t="s">
        <v>146</v>
      </c>
      <c r="J4" s="3">
        <f>AVERAGE(C2:C6)</f>
        <v>57</v>
      </c>
    </row>
    <row r="5" spans="1:10" ht="14.25" customHeight="1" x14ac:dyDescent="0.35">
      <c r="A5" s="3">
        <v>4</v>
      </c>
      <c r="B5" s="3" t="s">
        <v>41</v>
      </c>
      <c r="C5" s="3">
        <v>55</v>
      </c>
      <c r="D5" s="3" t="str">
        <f t="array" ref="D5">_xlfn.IFS(C5&lt;50,"Fail",C5&lt;70,"C",C5&lt;80,"B",C5&gt;80,"A")</f>
        <v>C</v>
      </c>
      <c r="H5" s="3" t="s">
        <v>57</v>
      </c>
      <c r="I5" s="4"/>
      <c r="J5" s="3"/>
    </row>
    <row r="6" spans="1:10" ht="14.25" customHeight="1" x14ac:dyDescent="0.35">
      <c r="A6" s="3">
        <v>5</v>
      </c>
      <c r="B6" s="3" t="s">
        <v>45</v>
      </c>
      <c r="C6" s="3">
        <v>30</v>
      </c>
      <c r="D6" s="3" t="str">
        <f t="array" ref="D6">_xlfn.IFS(C6&lt;50,"Fail",C6&lt;70,"C",C6&lt;80,"B",C6&gt;80,"A")</f>
        <v>Fail</v>
      </c>
      <c r="H6" s="3" t="s">
        <v>59</v>
      </c>
      <c r="I6" s="4"/>
      <c r="J6" s="3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Sales Table</vt:lpstr>
      <vt:lpstr>Employee Table</vt:lpstr>
      <vt:lpstr>Product Table</vt:lpstr>
      <vt:lpstr>Employee Table(2)</vt:lpstr>
      <vt:lpstr>FoodStore</vt:lpstr>
      <vt:lpstr>Filter</vt:lpstr>
      <vt:lpstr>Filter with multiple condition</vt:lpstr>
      <vt:lpstr>index</vt:lpstr>
      <vt:lpstr>student_table(1)</vt:lpstr>
      <vt:lpstr>student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vishwas9302821830@outlook.com</cp:lastModifiedBy>
  <cp:revision>0</cp:revision>
  <dcterms:created xsi:type="dcterms:W3CDTF">2026-08-15T06:02:57Z</dcterms:created>
  <dcterms:modified xsi:type="dcterms:W3CDTF">2026-08-16T07:58:47Z</dcterms:modified>
  <dc:language>en-US</dc:language>
</cp:coreProperties>
</file>