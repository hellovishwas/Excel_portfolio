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ISHWAS SHARMA\Documents\Xcel_portfolio\Data_analysis_using_excel\"/>
    </mc:Choice>
  </mc:AlternateContent>
  <xr:revisionPtr revIDLastSave="0" documentId="13_ncr:1_{B5C4E4E0-AF35-46D2-99CB-7BFB8D57090B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Sales Table" sheetId="1" r:id="rId1"/>
    <sheet name="Employee Table" sheetId="2" r:id="rId2"/>
    <sheet name="Product Table" sheetId="3" r:id="rId3"/>
    <sheet name="Employee Table(2)" sheetId="12" r:id="rId4"/>
    <sheet name="FoodStore" sheetId="10" r:id="rId5"/>
    <sheet name="student Table" sheetId="9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" i="12" l="1"/>
  <c r="K4" i="12" a="1"/>
  <c r="K4" i="12" s="1"/>
  <c r="K7" i="12" a="1"/>
  <c r="K7" i="12" s="1"/>
  <c r="K10" i="12" a="1"/>
  <c r="K10" i="12" s="1"/>
  <c r="L12" i="12"/>
  <c r="M12" i="12"/>
  <c r="N12" i="12"/>
  <c r="O12" i="12"/>
  <c r="F2" i="10"/>
  <c r="F3" i="10"/>
  <c r="F4" i="10"/>
  <c r="F5" i="10"/>
  <c r="F6" i="10"/>
  <c r="F7" i="10"/>
  <c r="F8" i="10"/>
  <c r="F9" i="10"/>
  <c r="F10" i="10"/>
  <c r="C11" i="10"/>
  <c r="F11" i="10" s="1"/>
  <c r="D11" i="10"/>
  <c r="E11" i="10"/>
  <c r="C15" i="10"/>
  <c r="C16" i="10"/>
  <c r="C17" i="10"/>
  <c r="C18" i="10"/>
  <c r="D6" i="9" a="1"/>
  <c r="D6" i="9" s="1"/>
  <c r="D5" i="9" a="1"/>
  <c r="D5" i="9" s="1"/>
  <c r="J4" i="9"/>
  <c r="D4" i="9" a="1"/>
  <c r="D4" i="9" s="1"/>
  <c r="J3" i="9"/>
  <c r="D3" i="9" a="1"/>
  <c r="D3" i="9" s="1"/>
  <c r="D2" i="9" a="1"/>
  <c r="D2" i="9" s="1"/>
  <c r="K10" i="3"/>
  <c r="K7" i="3" a="1"/>
  <c r="M7" i="3" s="1"/>
  <c r="G7" i="3"/>
  <c r="G6" i="3"/>
  <c r="G5" i="3"/>
  <c r="K4" i="3" a="1"/>
  <c r="K6" i="3" s="1"/>
  <c r="G4" i="3"/>
  <c r="K3" i="3"/>
  <c r="G3" i="3"/>
  <c r="K2" i="3"/>
  <c r="G2" i="3"/>
  <c r="F6" i="2"/>
  <c r="F5" i="2"/>
  <c r="K4" i="2"/>
  <c r="F4" i="2"/>
  <c r="K3" i="2"/>
  <c r="F3" i="2"/>
  <c r="K2" i="2"/>
  <c r="F2" i="2"/>
  <c r="I7" i="1"/>
  <c r="I6" i="1"/>
  <c r="I5" i="1"/>
  <c r="I4" i="1"/>
  <c r="I3" i="1"/>
  <c r="I2" i="1"/>
  <c r="K7" i="3" l="1"/>
  <c r="K4" i="3"/>
  <c r="L7" i="3"/>
  <c r="K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<sst xmlns="http://schemas.openxmlformats.org/spreadsheetml/2006/main" count="184" uniqueCount="132">
  <si>
    <t>Order ID</t>
  </si>
  <si>
    <t>Product</t>
  </si>
  <si>
    <t>Region</t>
  </si>
  <si>
    <t>Sales</t>
  </si>
  <si>
    <t>Quantity</t>
  </si>
  <si>
    <t>Questions</t>
  </si>
  <si>
    <t>ANSWER</t>
  </si>
  <si>
    <t>Laptop</t>
  </si>
  <si>
    <t>North</t>
  </si>
  <si>
    <t>q1</t>
  </si>
  <si>
    <t>Find Total Sales.</t>
  </si>
  <si>
    <t>Mobile</t>
  </si>
  <si>
    <t>South</t>
  </si>
  <si>
    <t>q2</t>
  </si>
  <si>
    <t>Total sales of Mobile</t>
  </si>
  <si>
    <t>East</t>
  </si>
  <si>
    <t>q3</t>
  </si>
  <si>
    <t>Count Order from North</t>
  </si>
  <si>
    <t>Table</t>
  </si>
  <si>
    <t>West</t>
  </si>
  <si>
    <t>q4</t>
  </si>
  <si>
    <t>Average Sales</t>
  </si>
  <si>
    <t>q5</t>
  </si>
  <si>
    <t>Highest Sales</t>
  </si>
  <si>
    <t>q6</t>
  </si>
  <si>
    <t>Find Product for order ID=103</t>
  </si>
  <si>
    <t>Emp ID</t>
  </si>
  <si>
    <t>Name</t>
  </si>
  <si>
    <t>Dept</t>
  </si>
  <si>
    <t>Salary</t>
  </si>
  <si>
    <t>Experience</t>
  </si>
  <si>
    <t>Level</t>
  </si>
  <si>
    <t>Answers</t>
  </si>
  <si>
    <t>A</t>
  </si>
  <si>
    <t>HR</t>
  </si>
  <si>
    <t>Total Salary of IT Department</t>
  </si>
  <si>
    <t>B</t>
  </si>
  <si>
    <t>IT</t>
  </si>
  <si>
    <t>Count Employees with Salary&gt;30000</t>
  </si>
  <si>
    <t>C</t>
  </si>
  <si>
    <t>Find Name using Emp ID=204</t>
  </si>
  <si>
    <t>D</t>
  </si>
  <si>
    <t>Fin</t>
  </si>
  <si>
    <t>IF condition (Experience&gt;5=Senior)</t>
  </si>
  <si>
    <t>See the 'Level' column above (Senior if Experience &gt; 5, else Junior).</t>
  </si>
  <si>
    <t>E</t>
  </si>
  <si>
    <t>Sales Rep</t>
  </si>
  <si>
    <t>RANK</t>
  </si>
  <si>
    <t>QUESTIONS</t>
  </si>
  <si>
    <t>ANSWERS</t>
  </si>
  <si>
    <t>Q1</t>
  </si>
  <si>
    <t>TOTAL SALES WHERE: PRODUCT=LAPTOP,REGION=NORTH</t>
  </si>
  <si>
    <t>Q2</t>
  </si>
  <si>
    <t>COUNT ORDER WHERE: SALES&gt;30000,SALES REP=A</t>
  </si>
  <si>
    <t>Q3</t>
  </si>
  <si>
    <t>GET UNIQUE PRODUCT LIST</t>
  </si>
  <si>
    <t>Tablet</t>
  </si>
  <si>
    <t>Q4</t>
  </si>
  <si>
    <t>TOP 3 SALES VALUES</t>
  </si>
  <si>
    <t>Q5</t>
  </si>
  <si>
    <t>RANK SALES (HIGHEST=1)</t>
  </si>
  <si>
    <t>See the 'RANK' column above (1 = highest Sales).</t>
  </si>
  <si>
    <t>Q6</t>
  </si>
  <si>
    <t>DYNAMIC LOOKUP (COLUMN CHANGES)</t>
  </si>
  <si>
    <t>Amit</t>
  </si>
  <si>
    <t>Neha</t>
  </si>
  <si>
    <t>EMP101</t>
  </si>
  <si>
    <t>EMP102</t>
  </si>
  <si>
    <t>EMP103</t>
  </si>
  <si>
    <t>EMP104</t>
  </si>
  <si>
    <t>Pooja</t>
  </si>
  <si>
    <t>EMP106</t>
  </si>
  <si>
    <t>Answer</t>
  </si>
  <si>
    <t>Rahul</t>
  </si>
  <si>
    <t>Roll NO.</t>
  </si>
  <si>
    <t>Marks</t>
  </si>
  <si>
    <t>Grade</t>
  </si>
  <si>
    <t>Assign Grade</t>
  </si>
  <si>
    <t>See the 'Grade' column above (A/B/C or Fail, based on Marks).</t>
  </si>
  <si>
    <t>Count Students passed (&gt;50)</t>
  </si>
  <si>
    <t>Average Marks</t>
  </si>
  <si>
    <t>Find maximum sales of the selected product (MAX + XLOOKUP).</t>
  </si>
  <si>
    <t>Find minimum sales of the selected product (MIN + XLOOKUP).</t>
  </si>
  <si>
    <t>Find average sales of the selected product (AVERAGE + XLOOKUP).</t>
  </si>
  <si>
    <t>Find total sales of the selected product (SUM + XLOOKUP).</t>
  </si>
  <si>
    <t>Question</t>
  </si>
  <si>
    <t>Candy</t>
  </si>
  <si>
    <t>Enter Product Name:</t>
  </si>
  <si>
    <t>Total</t>
  </si>
  <si>
    <t>Fruit Juice</t>
  </si>
  <si>
    <t>XYZ009</t>
  </si>
  <si>
    <t>Energy Drinks</t>
  </si>
  <si>
    <t>XYZ008</t>
  </si>
  <si>
    <t>Cold Drinks</t>
  </si>
  <si>
    <t>XYZ007</t>
  </si>
  <si>
    <t>Biscuits</t>
  </si>
  <si>
    <t>XYZ006</t>
  </si>
  <si>
    <t>Milk Powder</t>
  </si>
  <si>
    <t>XYZ005</t>
  </si>
  <si>
    <t>Sugar</t>
  </si>
  <si>
    <t>XYZ004</t>
  </si>
  <si>
    <t>Chocolate</t>
  </si>
  <si>
    <t>XYZ003</t>
  </si>
  <si>
    <t>XYZ002</t>
  </si>
  <si>
    <t>Coffee</t>
  </si>
  <si>
    <t>XYZ001</t>
  </si>
  <si>
    <t>Mar</t>
  </si>
  <si>
    <t>Feb</t>
  </si>
  <si>
    <t>Jan</t>
  </si>
  <si>
    <t>HSN Code</t>
  </si>
  <si>
    <t>Q: Find Feb, Mar, Apr and May values for the employee named in B3, using VLOOKUP + COLUMN (dynamic column index).</t>
  </si>
  <si>
    <t>Poonam</t>
  </si>
  <si>
    <t>EMP110</t>
  </si>
  <si>
    <t>Anjali</t>
  </si>
  <si>
    <t>EMP109</t>
  </si>
  <si>
    <t>Q: Average monthly value for the given employee (AVERAGE of VLOOKUP columns Jan-May).</t>
  </si>
  <si>
    <t>EMP108</t>
  </si>
  <si>
    <t>Vikram</t>
  </si>
  <si>
    <t>EMP107</t>
  </si>
  <si>
    <t>Q: Minimum monthly value for the given employee (MIN of VLOOKUP columns Jan-May).</t>
  </si>
  <si>
    <t>EMP105</t>
  </si>
  <si>
    <t>Raj</t>
  </si>
  <si>
    <t>Given Name:</t>
  </si>
  <si>
    <t>Q: Total for the given employee (SUM of VLOOKUP columns Jan-May).</t>
  </si>
  <si>
    <t>Q: Find the total (Jan-May) for Pooja using SUM.</t>
  </si>
  <si>
    <t>may</t>
  </si>
  <si>
    <t>apr</t>
  </si>
  <si>
    <t>mar</t>
  </si>
  <si>
    <t>feb</t>
  </si>
  <si>
    <t>jan</t>
  </si>
  <si>
    <t xml:space="preserve"> Name</t>
  </si>
  <si>
    <t>EMP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</si>
</sst>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  <charset val="1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i/>
      <sz val="11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89013336588644"/>
        <bgColor rgb="FFCCFFFF"/>
      </patternFill>
    </fill>
  </fills>
  <borders count="1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5" fillId="0" borderId="0" xfId="0" applyFont="1" applyAlignment="1">
      <alignment horizontal="right"/>
    </xf>
    <xf numFmtId="0" fontId="4" fillId="0" borderId="1" xfId="0" applyFont="1" applyBorder="1" applyAlignment="1">
      <alignment vertical="center" wrapText="1"/>
    </xf>
    <xf numFmtId="3" fontId="3" fillId="0" borderId="1" xfId="0" applyNumberFormat="1" applyFont="1" applyBorder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/>
    </xf>
    <xf numFmtId="3" fontId="5" fillId="4" borderId="9" xfId="0" applyNumberFormat="1" applyFont="1" applyFill="1" applyBorder="1"/>
    <xf numFmtId="3" fontId="5" fillId="4" borderId="1" xfId="0" applyNumberFormat="1" applyFont="1" applyFill="1" applyBorder="1"/>
    <xf numFmtId="0" fontId="5" fillId="4" borderId="1" xfId="0" applyFont="1" applyFill="1" applyBorder="1"/>
    <xf numFmtId="3" fontId="3" fillId="0" borderId="9" xfId="0" applyNumberFormat="1" applyFont="1" applyBorder="1"/>
    <xf numFmtId="3" fontId="3" fillId="0" borderId="1" xfId="0" applyNumberFormat="1" applyFont="1" applyBorder="1"/>
    <xf numFmtId="0" fontId="2" fillId="2" borderId="9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10" xfId="0" applyBorder="1"/>
    <xf numFmtId="0" fontId="4" fillId="0" borderId="5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5" borderId="11" xfId="0" applyFont="1" applyFill="1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8" xfId="0" applyBorder="1" applyAlignment="1">
      <alignment vertical="center"/>
    </xf>
    <xf numFmtId="0" fontId="0" fillId="0" borderId="12" xfId="0" applyBorder="1" applyAlignment="1">
      <alignment vertical="center"/>
    </xf>
    <xf numFmtId="0" fontId="4" fillId="5" borderId="13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15" xfId="0" applyBorder="1" applyAlignment="1">
      <alignment vertical="center"/>
    </xf>
    <xf numFmtId="0" fontId="0" fillId="0" borderId="6" xfId="0" applyBorder="1"/>
    <xf numFmtId="0" fontId="0" fillId="6" borderId="0" xfId="0" applyFill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4" xfId="0" applyBorder="1"/>
    <xf numFmtId="0" fontId="5" fillId="6" borderId="4" xfId="0" applyFont="1" applyFill="1" applyBorder="1" applyAlignment="1">
      <alignment horizontal="right"/>
    </xf>
    <xf numFmtId="0" fontId="4" fillId="5" borderId="11" xfId="0" applyFont="1" applyFill="1" applyBorder="1" applyAlignment="1">
      <alignment horizontal="left" vertical="center" wrapText="1"/>
    </xf>
    <xf numFmtId="0" fontId="4" fillId="5" borderId="13" xfId="0" applyFont="1" applyFill="1" applyBorder="1" applyAlignment="1">
      <alignment vertical="center" wrapText="1"/>
    </xf>
    <xf numFmtId="0" fontId="6" fillId="7" borderId="2" xfId="0" applyFont="1" applyFill="1" applyBorder="1" applyAlignment="1">
      <alignment horizontal="justify" vertical="center" wrapText="1"/>
    </xf>
    <xf numFmtId="0" fontId="5" fillId="3" borderId="0" xfId="0" applyFont="1" applyFill="1" applyAlignment="1">
      <alignment horizontal="center"/>
    </xf>
    <xf numFmtId="0" fontId="3" fillId="0" borderId="9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tabSelected="1" zoomScaleNormal="100" workbookViewId="0">
      <selection activeCell="C19" sqref="C19"/>
    </sheetView>
  </sheetViews>
  <sheetFormatPr defaultColWidth="8.6328125" defaultRowHeight="14.5" x14ac:dyDescent="0.35"/>
  <cols>
    <col min="1" max="5" width="10" style="1" customWidth="1"/>
    <col min="7" max="7" width="6" style="1" customWidth="1"/>
    <col min="8" max="8" width="32" style="1" customWidth="1"/>
    <col min="9" max="9" width="12" style="1" customWidth="1"/>
    <col min="11" max="11" width="6.81640625" style="1" customWidth="1"/>
  </cols>
  <sheetData>
    <row r="1" spans="1:9" ht="27.7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G1" s="2" t="s">
        <v>5</v>
      </c>
      <c r="H1" s="2"/>
      <c r="I1" s="2" t="s">
        <v>6</v>
      </c>
    </row>
    <row r="2" spans="1:9" ht="14.25" customHeight="1" x14ac:dyDescent="0.35">
      <c r="A2" s="3">
        <v>101</v>
      </c>
      <c r="B2" s="3" t="s">
        <v>7</v>
      </c>
      <c r="C2" s="3" t="s">
        <v>8</v>
      </c>
      <c r="D2" s="3">
        <v>50000</v>
      </c>
      <c r="E2" s="3">
        <v>2</v>
      </c>
      <c r="G2" s="3" t="s">
        <v>9</v>
      </c>
      <c r="H2" s="4" t="s">
        <v>10</v>
      </c>
      <c r="I2" s="3">
        <f>SUM(D2:D6)</f>
        <v>155000</v>
      </c>
    </row>
    <row r="3" spans="1:9" ht="14.25" customHeight="1" x14ac:dyDescent="0.35">
      <c r="A3" s="3">
        <v>102</v>
      </c>
      <c r="B3" s="3" t="s">
        <v>11</v>
      </c>
      <c r="C3" s="3" t="s">
        <v>12</v>
      </c>
      <c r="D3" s="3">
        <v>20000</v>
      </c>
      <c r="E3" s="3">
        <v>5</v>
      </c>
      <c r="G3" s="3" t="s">
        <v>13</v>
      </c>
      <c r="H3" s="4" t="s">
        <v>14</v>
      </c>
      <c r="I3" s="3">
        <f>SUMIF(B2:B6,"Mobile",D2:D6)</f>
        <v>45000</v>
      </c>
    </row>
    <row r="4" spans="1:9" ht="14.25" customHeight="1" x14ac:dyDescent="0.35">
      <c r="A4" s="3">
        <v>103</v>
      </c>
      <c r="B4" s="3" t="s">
        <v>7</v>
      </c>
      <c r="C4" s="3" t="s">
        <v>15</v>
      </c>
      <c r="D4" s="3">
        <v>45000</v>
      </c>
      <c r="E4" s="3">
        <v>3</v>
      </c>
      <c r="G4" s="3" t="s">
        <v>16</v>
      </c>
      <c r="H4" s="4" t="s">
        <v>17</v>
      </c>
      <c r="I4" s="3">
        <f>COUNTIF(C2:C6,"North")</f>
        <v>2</v>
      </c>
    </row>
    <row r="5" spans="1:9" ht="14.25" customHeight="1" x14ac:dyDescent="0.35">
      <c r="A5" s="3">
        <v>104</v>
      </c>
      <c r="B5" s="3" t="s">
        <v>18</v>
      </c>
      <c r="C5" s="3" t="s">
        <v>19</v>
      </c>
      <c r="D5" s="3">
        <v>15000</v>
      </c>
      <c r="E5" s="3">
        <v>4</v>
      </c>
      <c r="G5" s="3" t="s">
        <v>20</v>
      </c>
      <c r="H5" s="4" t="s">
        <v>21</v>
      </c>
      <c r="I5" s="3">
        <f>AVERAGE(D2:D6)</f>
        <v>31000</v>
      </c>
    </row>
    <row r="6" spans="1:9" ht="14.25" customHeight="1" x14ac:dyDescent="0.35">
      <c r="A6" s="3">
        <v>105</v>
      </c>
      <c r="B6" s="3" t="s">
        <v>11</v>
      </c>
      <c r="C6" s="3" t="s">
        <v>8</v>
      </c>
      <c r="D6" s="3">
        <v>25000</v>
      </c>
      <c r="E6" s="3">
        <v>2</v>
      </c>
      <c r="G6" s="3" t="s">
        <v>22</v>
      </c>
      <c r="H6" s="4" t="s">
        <v>23</v>
      </c>
      <c r="I6" s="3">
        <f>MAX(D2:D6)</f>
        <v>50000</v>
      </c>
    </row>
    <row r="7" spans="1:9" ht="14.25" customHeight="1" x14ac:dyDescent="0.35">
      <c r="G7" s="3" t="s">
        <v>24</v>
      </c>
      <c r="H7" s="4" t="s">
        <v>25</v>
      </c>
      <c r="I7" s="3" t="str">
        <f>VLOOKUP(A4,A1:E6,2,0)</f>
        <v>Laptop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zoomScaleNormal="100" workbookViewId="0"/>
  </sheetViews>
  <sheetFormatPr defaultColWidth="8.6328125" defaultRowHeight="14.5" x14ac:dyDescent="0.35"/>
  <cols>
    <col min="1" max="1" width="8" style="1" customWidth="1"/>
    <col min="2" max="3" width="7" style="1" customWidth="1"/>
    <col min="4" max="4" width="9" style="1" customWidth="1"/>
    <col min="5" max="6" width="11" style="1" customWidth="1"/>
    <col min="7" max="7" width="2.90625" style="1" customWidth="1"/>
    <col min="8" max="8" width="30.08984375" style="1" customWidth="1"/>
    <col min="9" max="9" width="6" style="1" customWidth="1"/>
    <col min="10" max="10" width="34" style="1" customWidth="1"/>
    <col min="11" max="11" width="16" style="1" customWidth="1"/>
  </cols>
  <sheetData>
    <row r="1" spans="1:11" ht="14.25" customHeight="1" x14ac:dyDescent="0.35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  <c r="F1" s="2" t="s">
        <v>31</v>
      </c>
      <c r="I1" s="2"/>
      <c r="J1" s="2" t="s">
        <v>5</v>
      </c>
      <c r="K1" s="2" t="s">
        <v>32</v>
      </c>
    </row>
    <row r="2" spans="1:11" ht="14.25" customHeight="1" x14ac:dyDescent="0.35">
      <c r="A2" s="3">
        <v>201</v>
      </c>
      <c r="B2" s="3" t="s">
        <v>33</v>
      </c>
      <c r="C2" s="3" t="s">
        <v>34</v>
      </c>
      <c r="D2" s="3">
        <v>25000</v>
      </c>
      <c r="E2" s="3">
        <v>2</v>
      </c>
      <c r="F2" s="3" t="str">
        <f>IF(E2&gt;5,"Senior","Junior")</f>
        <v>Junior</v>
      </c>
      <c r="I2" s="3" t="s">
        <v>9</v>
      </c>
      <c r="J2" s="4" t="s">
        <v>35</v>
      </c>
      <c r="K2" s="3">
        <f>SUMIF(C2:C6,C3,D2:D6)</f>
        <v>120000</v>
      </c>
    </row>
    <row r="3" spans="1:11" ht="14.25" customHeight="1" x14ac:dyDescent="0.35">
      <c r="A3" s="3">
        <v>202</v>
      </c>
      <c r="B3" s="3" t="s">
        <v>36</v>
      </c>
      <c r="C3" s="3" t="s">
        <v>37</v>
      </c>
      <c r="D3" s="3">
        <v>40000</v>
      </c>
      <c r="E3" s="3">
        <v>5</v>
      </c>
      <c r="F3" s="3" t="str">
        <f>IF(E3&gt;5,"Senior","Junior")</f>
        <v>Junior</v>
      </c>
      <c r="I3" s="3" t="s">
        <v>13</v>
      </c>
      <c r="J3" s="4" t="s">
        <v>38</v>
      </c>
      <c r="K3" s="3">
        <f>COUNTIF(D2:D6,"&gt;30000")</f>
        <v>3</v>
      </c>
    </row>
    <row r="4" spans="1:11" ht="14.25" customHeight="1" x14ac:dyDescent="0.35">
      <c r="A4" s="3">
        <v>203</v>
      </c>
      <c r="B4" s="3" t="s">
        <v>39</v>
      </c>
      <c r="C4" s="3" t="s">
        <v>37</v>
      </c>
      <c r="D4" s="3">
        <v>35000</v>
      </c>
      <c r="E4" s="3">
        <v>4</v>
      </c>
      <c r="F4" s="3" t="str">
        <f>IF(E4&gt;5,"Senior","Junior")</f>
        <v>Junior</v>
      </c>
      <c r="I4" s="3" t="s">
        <v>16</v>
      </c>
      <c r="J4" s="4" t="s">
        <v>40</v>
      </c>
      <c r="K4" s="3" t="str">
        <f>VLOOKUP(A5,A1:E6,2,0)</f>
        <v>D</v>
      </c>
    </row>
    <row r="5" spans="1:11" ht="14.25" customHeight="1" x14ac:dyDescent="0.35">
      <c r="A5" s="3">
        <v>204</v>
      </c>
      <c r="B5" s="3" t="s">
        <v>41</v>
      </c>
      <c r="C5" s="3" t="s">
        <v>42</v>
      </c>
      <c r="D5" s="3">
        <v>30000</v>
      </c>
      <c r="E5" s="3">
        <v>3</v>
      </c>
      <c r="F5" s="3" t="str">
        <f>IF(E5&gt;5,"Senior","Junior")</f>
        <v>Junior</v>
      </c>
      <c r="I5" s="3" t="s">
        <v>20</v>
      </c>
      <c r="J5" s="4" t="s">
        <v>43</v>
      </c>
      <c r="K5" s="5" t="s">
        <v>44</v>
      </c>
    </row>
    <row r="6" spans="1:11" ht="14.25" customHeight="1" x14ac:dyDescent="0.35">
      <c r="A6" s="3">
        <v>205</v>
      </c>
      <c r="B6" s="3" t="s">
        <v>45</v>
      </c>
      <c r="C6" s="3" t="s">
        <v>37</v>
      </c>
      <c r="D6" s="3">
        <v>45000</v>
      </c>
      <c r="E6" s="3">
        <v>6</v>
      </c>
      <c r="F6" s="3" t="str">
        <f>IF(E6&gt;5,"Senior","Junior")</f>
        <v>Senior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"/>
  <sheetViews>
    <sheetView zoomScaleNormal="100" workbookViewId="0"/>
  </sheetViews>
  <sheetFormatPr defaultColWidth="8.6328125" defaultRowHeight="14.5" x14ac:dyDescent="0.35"/>
  <cols>
    <col min="1" max="6" width="9" style="1" customWidth="1"/>
    <col min="7" max="7" width="7" style="1" customWidth="1"/>
    <col min="9" max="9" width="5" style="1" customWidth="1"/>
    <col min="10" max="10" width="34" style="1" customWidth="1"/>
    <col min="11" max="11" width="12" style="1" customWidth="1"/>
    <col min="12" max="13" width="10" style="1" customWidth="1"/>
    <col min="16" max="16" width="6.81640625" style="1" customWidth="1"/>
  </cols>
  <sheetData>
    <row r="1" spans="1:13" ht="14.2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46</v>
      </c>
      <c r="G1" s="2" t="s">
        <v>47</v>
      </c>
      <c r="I1" s="2"/>
      <c r="J1" s="2" t="s">
        <v>48</v>
      </c>
      <c r="K1" s="2" t="s">
        <v>49</v>
      </c>
    </row>
    <row r="2" spans="1:13" ht="27.75" customHeight="1" x14ac:dyDescent="0.35">
      <c r="A2" s="3">
        <v>101</v>
      </c>
      <c r="B2" s="3" t="s">
        <v>7</v>
      </c>
      <c r="C2" s="3" t="s">
        <v>8</v>
      </c>
      <c r="D2" s="3">
        <v>50000</v>
      </c>
      <c r="E2" s="3">
        <v>2</v>
      </c>
      <c r="F2" s="3" t="s">
        <v>33</v>
      </c>
      <c r="G2" s="3">
        <f t="shared" ref="G2:G7" si="0">RANK(D2,$D$2:$D$7,)</f>
        <v>2</v>
      </c>
      <c r="I2" s="3" t="s">
        <v>50</v>
      </c>
      <c r="J2" s="4" t="s">
        <v>51</v>
      </c>
      <c r="K2" s="3">
        <f>SUMIFS(D2:D7,B2:B7,B2,C2:C7,C2)</f>
        <v>105000</v>
      </c>
    </row>
    <row r="3" spans="1:13" ht="27.75" customHeight="1" x14ac:dyDescent="0.35">
      <c r="A3" s="3">
        <v>102</v>
      </c>
      <c r="B3" s="3" t="s">
        <v>11</v>
      </c>
      <c r="C3" s="3" t="s">
        <v>12</v>
      </c>
      <c r="D3" s="3">
        <v>20000</v>
      </c>
      <c r="E3" s="3">
        <v>5</v>
      </c>
      <c r="F3" s="3" t="s">
        <v>36</v>
      </c>
      <c r="G3" s="3">
        <f t="shared" si="0"/>
        <v>5</v>
      </c>
      <c r="I3" s="3" t="s">
        <v>52</v>
      </c>
      <c r="J3" s="4" t="s">
        <v>53</v>
      </c>
      <c r="K3" s="3">
        <f>COUNTIFS(D2:D7,"&gt;30000",F2:F7,F2)</f>
        <v>3</v>
      </c>
    </row>
    <row r="4" spans="1:13" ht="14.25" customHeight="1" x14ac:dyDescent="0.35">
      <c r="A4" s="3">
        <v>103</v>
      </c>
      <c r="B4" s="3" t="s">
        <v>7</v>
      </c>
      <c r="C4" s="3" t="s">
        <v>15</v>
      </c>
      <c r="D4" s="3">
        <v>45000</v>
      </c>
      <c r="E4" s="3">
        <v>3</v>
      </c>
      <c r="F4" s="3" t="s">
        <v>33</v>
      </c>
      <c r="G4" s="3">
        <f t="shared" si="0"/>
        <v>3</v>
      </c>
      <c r="I4" s="3" t="s">
        <v>54</v>
      </c>
      <c r="J4" s="4" t="s">
        <v>55</v>
      </c>
      <c r="K4" s="3" t="str">
        <f t="array" ref="K4:K6">_xlfn.UNIQUE(B2:B7)</f>
        <v>Laptop</v>
      </c>
    </row>
    <row r="5" spans="1:13" ht="14.25" customHeight="1" x14ac:dyDescent="0.35">
      <c r="A5" s="3">
        <v>104</v>
      </c>
      <c r="B5" s="3" t="s">
        <v>56</v>
      </c>
      <c r="C5" s="3" t="s">
        <v>19</v>
      </c>
      <c r="D5" s="3">
        <v>15000</v>
      </c>
      <c r="E5" s="3">
        <v>4</v>
      </c>
      <c r="F5" s="3" t="s">
        <v>39</v>
      </c>
      <c r="G5" s="3">
        <f t="shared" si="0"/>
        <v>6</v>
      </c>
      <c r="I5" s="3"/>
      <c r="J5" s="4"/>
      <c r="K5" s="3" t="str">
        <v>Mobile</v>
      </c>
    </row>
    <row r="6" spans="1:13" ht="14.25" customHeight="1" x14ac:dyDescent="0.35">
      <c r="A6" s="3">
        <v>105</v>
      </c>
      <c r="B6" s="3" t="s">
        <v>11</v>
      </c>
      <c r="C6" s="3" t="s">
        <v>8</v>
      </c>
      <c r="D6" s="3">
        <v>25000</v>
      </c>
      <c r="E6" s="3">
        <v>2</v>
      </c>
      <c r="F6" s="3" t="s">
        <v>36</v>
      </c>
      <c r="G6" s="3">
        <f t="shared" si="0"/>
        <v>4</v>
      </c>
      <c r="I6" s="3"/>
      <c r="J6" s="4"/>
      <c r="K6" s="3" t="str">
        <v>Tablet</v>
      </c>
    </row>
    <row r="7" spans="1:13" ht="14.25" customHeight="1" x14ac:dyDescent="0.35">
      <c r="A7" s="3">
        <v>106</v>
      </c>
      <c r="B7" s="3" t="s">
        <v>7</v>
      </c>
      <c r="C7" s="3" t="s">
        <v>8</v>
      </c>
      <c r="D7" s="3">
        <v>55000</v>
      </c>
      <c r="E7" s="3">
        <v>1</v>
      </c>
      <c r="F7" s="3" t="s">
        <v>33</v>
      </c>
      <c r="G7" s="3">
        <f t="shared" si="0"/>
        <v>1</v>
      </c>
      <c r="I7" s="3" t="s">
        <v>57</v>
      </c>
      <c r="J7" s="4" t="s">
        <v>58</v>
      </c>
      <c r="K7" s="3">
        <f t="array" ref="K7:M7">LARGE(D2:D7,{1,2,3})</f>
        <v>55000</v>
      </c>
      <c r="L7" s="6">
        <v>50000</v>
      </c>
      <c r="M7" s="6">
        <v>45000</v>
      </c>
    </row>
    <row r="8" spans="1:13" ht="14.25" customHeight="1" x14ac:dyDescent="0.35">
      <c r="I8" s="3" t="s">
        <v>59</v>
      </c>
      <c r="J8" s="4" t="s">
        <v>60</v>
      </c>
      <c r="K8" s="5" t="s">
        <v>61</v>
      </c>
    </row>
    <row r="9" spans="1:13" ht="14.25" customHeight="1" x14ac:dyDescent="0.35">
      <c r="I9" s="3"/>
      <c r="J9" s="4"/>
      <c r="K9" s="3">
        <v>101</v>
      </c>
      <c r="L9" s="6" t="s">
        <v>3</v>
      </c>
    </row>
    <row r="10" spans="1:13" ht="27.75" customHeight="1" x14ac:dyDescent="0.35">
      <c r="I10" s="3" t="s">
        <v>62</v>
      </c>
      <c r="J10" s="4" t="s">
        <v>63</v>
      </c>
      <c r="K10" s="3">
        <f>VLOOKUP(K9,A1:F7,MATCH(L9,A1:F1,0),0)</f>
        <v>50000</v>
      </c>
      <c r="L10" s="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CF3B0-EFD1-44FF-B183-D793B995A321}">
  <dimension ref="A1:P14"/>
  <sheetViews>
    <sheetView zoomScale="73" workbookViewId="0">
      <selection activeCell="K20" sqref="K20"/>
    </sheetView>
  </sheetViews>
  <sheetFormatPr defaultRowHeight="12.5" x14ac:dyDescent="0.25"/>
  <cols>
    <col min="1" max="2" width="7.7265625" bestFit="1" customWidth="1"/>
    <col min="3" max="4" width="3.81640625" bestFit="1" customWidth="1"/>
    <col min="5" max="5" width="4.1796875" bestFit="1" customWidth="1"/>
    <col min="6" max="6" width="3.81640625" bestFit="1" customWidth="1"/>
    <col min="7" max="7" width="4.36328125" bestFit="1" customWidth="1"/>
    <col min="11" max="11" width="101.54296875" bestFit="1" customWidth="1"/>
    <col min="12" max="12" width="11.453125" bestFit="1" customWidth="1"/>
    <col min="13" max="15" width="3.81640625" bestFit="1" customWidth="1"/>
  </cols>
  <sheetData>
    <row r="1" spans="1:16" ht="14.5" x14ac:dyDescent="0.25">
      <c r="A1" s="40" t="s">
        <v>131</v>
      </c>
      <c r="B1" s="2" t="s">
        <v>130</v>
      </c>
      <c r="C1" s="2" t="s">
        <v>129</v>
      </c>
      <c r="D1" s="2" t="s">
        <v>128</v>
      </c>
      <c r="E1" s="2" t="s">
        <v>127</v>
      </c>
      <c r="F1" s="2" t="s">
        <v>126</v>
      </c>
      <c r="G1" s="2" t="s">
        <v>125</v>
      </c>
      <c r="H1" s="19"/>
      <c r="I1" s="19"/>
      <c r="K1" s="39" t="s">
        <v>124</v>
      </c>
      <c r="L1" s="36"/>
      <c r="M1" s="36"/>
      <c r="N1" s="36"/>
      <c r="O1" s="35"/>
      <c r="P1" s="19"/>
    </row>
    <row r="2" spans="1:16" ht="15" thickBot="1" x14ac:dyDescent="0.3">
      <c r="A2" s="26" t="s">
        <v>66</v>
      </c>
      <c r="B2" s="4" t="s">
        <v>64</v>
      </c>
      <c r="C2" s="4">
        <v>517</v>
      </c>
      <c r="D2" s="4">
        <v>447</v>
      </c>
      <c r="E2" s="4">
        <v>434</v>
      </c>
      <c r="F2" s="4">
        <v>376</v>
      </c>
      <c r="G2" s="4">
        <v>326</v>
      </c>
      <c r="H2" s="19"/>
      <c r="I2" s="19"/>
      <c r="K2" s="28">
        <f>SUM(C5:G5)</f>
        <v>2579</v>
      </c>
      <c r="O2" s="27"/>
      <c r="P2" s="19"/>
    </row>
    <row r="3" spans="1:16" ht="14.5" x14ac:dyDescent="0.35">
      <c r="A3" s="26" t="s">
        <v>67</v>
      </c>
      <c r="B3" s="4" t="s">
        <v>65</v>
      </c>
      <c r="C3" s="4">
        <v>540</v>
      </c>
      <c r="D3" s="4">
        <v>229</v>
      </c>
      <c r="E3" s="4">
        <v>997</v>
      </c>
      <c r="F3" s="4">
        <v>747</v>
      </c>
      <c r="G3" s="4">
        <v>266</v>
      </c>
      <c r="H3" s="19"/>
      <c r="I3" s="19"/>
      <c r="K3" s="38" t="s">
        <v>123</v>
      </c>
      <c r="L3" s="37" t="s">
        <v>122</v>
      </c>
      <c r="M3" s="36"/>
      <c r="N3" s="36"/>
      <c r="O3" s="35"/>
      <c r="P3" s="19"/>
    </row>
    <row r="4" spans="1:16" ht="14.5" x14ac:dyDescent="0.25">
      <c r="A4" s="26" t="s">
        <v>68</v>
      </c>
      <c r="B4" s="4" t="s">
        <v>121</v>
      </c>
      <c r="C4" s="4">
        <v>647</v>
      </c>
      <c r="D4" s="4">
        <v>753</v>
      </c>
      <c r="E4" s="4">
        <v>729</v>
      </c>
      <c r="F4" s="4">
        <v>177</v>
      </c>
      <c r="G4" s="4">
        <v>772</v>
      </c>
      <c r="H4" s="19"/>
      <c r="I4" s="19"/>
      <c r="K4" s="34" cm="1">
        <f t="array" ref="K4">SUM(VLOOKUP(L4,B1:G11,{2,3,4,5,6},0))</f>
        <v>2579</v>
      </c>
      <c r="L4" s="33" t="s">
        <v>70</v>
      </c>
      <c r="O4" s="27"/>
      <c r="P4" s="19"/>
    </row>
    <row r="5" spans="1:16" ht="15" thickBot="1" x14ac:dyDescent="0.3">
      <c r="A5" s="26" t="s">
        <v>69</v>
      </c>
      <c r="B5" s="4" t="s">
        <v>70</v>
      </c>
      <c r="C5" s="4">
        <v>330</v>
      </c>
      <c r="D5" s="4">
        <v>217</v>
      </c>
      <c r="E5" s="4">
        <v>675</v>
      </c>
      <c r="F5" s="4">
        <v>915</v>
      </c>
      <c r="G5" s="4">
        <v>442</v>
      </c>
      <c r="H5" s="19"/>
      <c r="I5" s="19"/>
      <c r="K5" s="22"/>
      <c r="L5" s="32"/>
      <c r="M5" s="32"/>
      <c r="N5" s="32"/>
      <c r="O5" s="20"/>
      <c r="P5" s="19"/>
    </row>
    <row r="6" spans="1:16" ht="14.5" x14ac:dyDescent="0.25">
      <c r="A6" s="26" t="s">
        <v>120</v>
      </c>
      <c r="B6" s="4" t="s">
        <v>64</v>
      </c>
      <c r="C6" s="4">
        <v>380</v>
      </c>
      <c r="D6" s="4">
        <v>652</v>
      </c>
      <c r="E6" s="4">
        <v>211</v>
      </c>
      <c r="F6" s="4">
        <v>510</v>
      </c>
      <c r="G6" s="4">
        <v>903</v>
      </c>
      <c r="H6" s="19"/>
      <c r="I6" s="19"/>
      <c r="K6" s="29" t="s">
        <v>119</v>
      </c>
      <c r="O6" s="27"/>
      <c r="P6" s="19"/>
    </row>
    <row r="7" spans="1:16" ht="15" thickBot="1" x14ac:dyDescent="0.3">
      <c r="A7" s="26" t="s">
        <v>71</v>
      </c>
      <c r="B7" s="4" t="s">
        <v>113</v>
      </c>
      <c r="C7" s="4">
        <v>143</v>
      </c>
      <c r="D7" s="4">
        <v>532</v>
      </c>
      <c r="E7" s="4">
        <v>713</v>
      </c>
      <c r="F7" s="4">
        <v>783</v>
      </c>
      <c r="G7" s="4">
        <v>928</v>
      </c>
      <c r="H7" s="19"/>
      <c r="I7" s="19"/>
      <c r="K7" s="31">
        <f t="array" ref="K7">MIN(VLOOKUP(L4,B1:G11,{2,3,4,5,6},0))</f>
        <v>217</v>
      </c>
      <c r="O7" s="27"/>
      <c r="P7" s="19"/>
    </row>
    <row r="8" spans="1:16" ht="15" thickBot="1" x14ac:dyDescent="0.3">
      <c r="A8" s="26" t="s">
        <v>118</v>
      </c>
      <c r="B8" s="4" t="s">
        <v>117</v>
      </c>
      <c r="C8" s="4">
        <v>762</v>
      </c>
      <c r="D8" s="4">
        <v>778</v>
      </c>
      <c r="E8" s="4">
        <v>396</v>
      </c>
      <c r="F8" s="4">
        <v>894</v>
      </c>
      <c r="G8" s="4">
        <v>130</v>
      </c>
      <c r="H8" s="19"/>
      <c r="I8" s="19"/>
      <c r="K8" s="30"/>
      <c r="O8" s="27"/>
      <c r="P8" s="19"/>
    </row>
    <row r="9" spans="1:16" ht="14.5" x14ac:dyDescent="0.25">
      <c r="A9" s="26" t="s">
        <v>116</v>
      </c>
      <c r="B9" s="4" t="s">
        <v>73</v>
      </c>
      <c r="C9" s="4">
        <v>318</v>
      </c>
      <c r="D9" s="4">
        <v>305</v>
      </c>
      <c r="E9" s="4">
        <v>314</v>
      </c>
      <c r="F9" s="4">
        <v>294</v>
      </c>
      <c r="G9" s="4">
        <v>597</v>
      </c>
      <c r="H9" s="19"/>
      <c r="I9" s="19"/>
      <c r="K9" s="29" t="s">
        <v>115</v>
      </c>
      <c r="O9" s="27"/>
      <c r="P9" s="19"/>
    </row>
    <row r="10" spans="1:16" ht="15" thickBot="1" x14ac:dyDescent="0.3">
      <c r="A10" s="26" t="s">
        <v>114</v>
      </c>
      <c r="B10" s="4" t="s">
        <v>113</v>
      </c>
      <c r="C10" s="4">
        <v>534</v>
      </c>
      <c r="D10" s="4">
        <v>168</v>
      </c>
      <c r="E10" s="4">
        <v>739</v>
      </c>
      <c r="F10" s="4">
        <v>524</v>
      </c>
      <c r="G10" s="4">
        <v>408</v>
      </c>
      <c r="H10" s="19"/>
      <c r="I10" s="19"/>
      <c r="K10" s="28">
        <f t="array" ref="K10">AVERAGE(VLOOKUP(L4,B1:G11,{2,3,4,5,6},0))</f>
        <v>515.79999999999995</v>
      </c>
      <c r="O10" s="27"/>
      <c r="P10" s="19"/>
    </row>
    <row r="11" spans="1:16" ht="14.5" x14ac:dyDescent="0.25">
      <c r="A11" s="26" t="s">
        <v>112</v>
      </c>
      <c r="B11" s="4" t="s">
        <v>111</v>
      </c>
      <c r="C11" s="4">
        <v>123</v>
      </c>
      <c r="D11" s="4">
        <v>677</v>
      </c>
      <c r="E11" s="4">
        <v>322</v>
      </c>
      <c r="F11" s="4">
        <v>553</v>
      </c>
      <c r="G11" s="4">
        <v>741</v>
      </c>
      <c r="H11" s="19"/>
      <c r="I11" s="19"/>
      <c r="K11" s="25" t="s">
        <v>110</v>
      </c>
      <c r="L11" s="24"/>
      <c r="M11" s="24"/>
      <c r="N11" s="24"/>
      <c r="O11" s="23"/>
      <c r="P11" s="19"/>
    </row>
    <row r="12" spans="1:16" ht="13" thickBot="1" x14ac:dyDescent="0.3">
      <c r="A12" s="19"/>
      <c r="H12" s="19"/>
      <c r="I12" s="19"/>
      <c r="K12" s="22"/>
      <c r="L12" s="21">
        <f>VLOOKUP($B$3,$B$1:$G$11,COLUMN(C1),0)</f>
        <v>229</v>
      </c>
      <c r="M12" s="21">
        <f>VLOOKUP($B$3,$B$1:$G$11,COLUMN(D1),0)</f>
        <v>997</v>
      </c>
      <c r="N12" s="21">
        <f>VLOOKUP($B$3,$B$1:$G$11,COLUMN(E1),0)</f>
        <v>747</v>
      </c>
      <c r="O12" s="20">
        <f>VLOOKUP($B$3,$B$1:$G$11,COLUMN(F1),0)</f>
        <v>266</v>
      </c>
      <c r="P12" s="19"/>
    </row>
    <row r="13" spans="1:16" x14ac:dyDescent="0.25">
      <c r="A13" s="19"/>
      <c r="H13" s="19"/>
      <c r="I13" s="19"/>
      <c r="O13" s="19"/>
      <c r="P13" s="19"/>
    </row>
    <row r="14" spans="1:16" x14ac:dyDescent="0.25">
      <c r="A14" s="19"/>
      <c r="H14" s="19"/>
      <c r="I14" s="19"/>
      <c r="O14" s="19"/>
      <c r="P14" s="1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1008E-13B2-484C-ABFE-606A3C85B1C7}">
  <dimension ref="A1:F18"/>
  <sheetViews>
    <sheetView zoomScale="72" workbookViewId="0">
      <selection activeCell="J1" sqref="J1"/>
    </sheetView>
  </sheetViews>
  <sheetFormatPr defaultRowHeight="12.5" x14ac:dyDescent="0.25"/>
  <cols>
    <col min="1" max="1" width="18.54296875" bestFit="1" customWidth="1"/>
    <col min="2" max="2" width="12.1796875" bestFit="1" customWidth="1"/>
    <col min="3" max="3" width="7.08984375" bestFit="1" customWidth="1"/>
    <col min="4" max="5" width="5.36328125" bestFit="1" customWidth="1"/>
    <col min="6" max="6" width="6.36328125" bestFit="1" customWidth="1"/>
  </cols>
  <sheetData>
    <row r="1" spans="1:6" ht="14.5" x14ac:dyDescent="0.25">
      <c r="A1" s="2" t="s">
        <v>109</v>
      </c>
      <c r="B1" s="2" t="s">
        <v>1</v>
      </c>
      <c r="C1" s="2" t="s">
        <v>108</v>
      </c>
      <c r="D1" s="2" t="s">
        <v>107</v>
      </c>
      <c r="E1" s="2" t="s">
        <v>106</v>
      </c>
      <c r="F1" s="18" t="s">
        <v>88</v>
      </c>
    </row>
    <row r="2" spans="1:6" ht="14.5" x14ac:dyDescent="0.35">
      <c r="A2" s="3" t="s">
        <v>105</v>
      </c>
      <c r="B2" s="3" t="s">
        <v>104</v>
      </c>
      <c r="C2" s="17">
        <v>20</v>
      </c>
      <c r="D2" s="17">
        <v>1010</v>
      </c>
      <c r="E2" s="17">
        <v>840</v>
      </c>
      <c r="F2" s="16">
        <f t="shared" ref="F2:F11" si="0">SUM(C2:E2)</f>
        <v>1870</v>
      </c>
    </row>
    <row r="3" spans="1:6" ht="14.5" x14ac:dyDescent="0.35">
      <c r="A3" s="3" t="s">
        <v>103</v>
      </c>
      <c r="B3" s="3" t="s">
        <v>86</v>
      </c>
      <c r="C3" s="17">
        <v>1080</v>
      </c>
      <c r="D3" s="17">
        <v>800</v>
      </c>
      <c r="E3" s="17">
        <v>1780</v>
      </c>
      <c r="F3" s="16">
        <f t="shared" si="0"/>
        <v>3660</v>
      </c>
    </row>
    <row r="4" spans="1:6" ht="14.5" x14ac:dyDescent="0.35">
      <c r="A4" s="3" t="s">
        <v>102</v>
      </c>
      <c r="B4" s="3" t="s">
        <v>101</v>
      </c>
      <c r="C4" s="17">
        <v>1700</v>
      </c>
      <c r="D4" s="17">
        <v>810</v>
      </c>
      <c r="E4" s="17">
        <v>550</v>
      </c>
      <c r="F4" s="16">
        <f t="shared" si="0"/>
        <v>3060</v>
      </c>
    </row>
    <row r="5" spans="1:6" ht="14.5" x14ac:dyDescent="0.35">
      <c r="A5" s="3" t="s">
        <v>100</v>
      </c>
      <c r="B5" s="3" t="s">
        <v>99</v>
      </c>
      <c r="C5" s="17">
        <v>1550</v>
      </c>
      <c r="D5" s="17">
        <v>1480</v>
      </c>
      <c r="E5" s="17">
        <v>850</v>
      </c>
      <c r="F5" s="16">
        <f t="shared" si="0"/>
        <v>3880</v>
      </c>
    </row>
    <row r="6" spans="1:6" ht="14.5" x14ac:dyDescent="0.35">
      <c r="A6" s="3" t="s">
        <v>98</v>
      </c>
      <c r="B6" s="3" t="s">
        <v>97</v>
      </c>
      <c r="C6" s="17">
        <v>1680</v>
      </c>
      <c r="D6" s="17">
        <v>660</v>
      </c>
      <c r="E6" s="17">
        <v>1140</v>
      </c>
      <c r="F6" s="16">
        <f t="shared" si="0"/>
        <v>3480</v>
      </c>
    </row>
    <row r="7" spans="1:6" ht="14.5" x14ac:dyDescent="0.35">
      <c r="A7" s="3" t="s">
        <v>96</v>
      </c>
      <c r="B7" s="3" t="s">
        <v>95</v>
      </c>
      <c r="C7" s="17">
        <v>560</v>
      </c>
      <c r="D7" s="17">
        <v>710</v>
      </c>
      <c r="E7" s="17">
        <v>570</v>
      </c>
      <c r="F7" s="16">
        <f t="shared" si="0"/>
        <v>1840</v>
      </c>
    </row>
    <row r="8" spans="1:6" ht="14.5" x14ac:dyDescent="0.35">
      <c r="A8" s="3" t="s">
        <v>94</v>
      </c>
      <c r="B8" s="3" t="s">
        <v>93</v>
      </c>
      <c r="C8" s="17">
        <v>480</v>
      </c>
      <c r="D8" s="17">
        <v>820</v>
      </c>
      <c r="E8" s="17">
        <v>930</v>
      </c>
      <c r="F8" s="16">
        <f t="shared" si="0"/>
        <v>2230</v>
      </c>
    </row>
    <row r="9" spans="1:6" ht="14.5" x14ac:dyDescent="0.35">
      <c r="A9" s="3" t="s">
        <v>92</v>
      </c>
      <c r="B9" s="3" t="s">
        <v>91</v>
      </c>
      <c r="C9" s="17">
        <v>1010</v>
      </c>
      <c r="D9" s="17">
        <v>810</v>
      </c>
      <c r="E9" s="17">
        <v>1350</v>
      </c>
      <c r="F9" s="16">
        <f t="shared" si="0"/>
        <v>3170</v>
      </c>
    </row>
    <row r="10" spans="1:6" ht="14.5" x14ac:dyDescent="0.35">
      <c r="A10" s="3" t="s">
        <v>90</v>
      </c>
      <c r="B10" s="3" t="s">
        <v>89</v>
      </c>
      <c r="C10" s="17">
        <v>1350</v>
      </c>
      <c r="D10" s="17">
        <v>1520</v>
      </c>
      <c r="E10" s="17">
        <v>1570</v>
      </c>
      <c r="F10" s="16">
        <f t="shared" si="0"/>
        <v>4440</v>
      </c>
    </row>
    <row r="11" spans="1:6" ht="14.5" x14ac:dyDescent="0.35">
      <c r="A11" s="15"/>
      <c r="B11" s="15" t="s">
        <v>88</v>
      </c>
      <c r="C11" s="14">
        <f>SUM(C2:C10)</f>
        <v>9430</v>
      </c>
      <c r="D11" s="14">
        <f>SUM(D2:D10)</f>
        <v>8620</v>
      </c>
      <c r="E11" s="14">
        <f>SUM(E2:E10)</f>
        <v>9580</v>
      </c>
      <c r="F11" s="13">
        <f t="shared" si="0"/>
        <v>27630</v>
      </c>
    </row>
    <row r="13" spans="1:6" ht="14.5" x14ac:dyDescent="0.35">
      <c r="A13" s="8" t="s">
        <v>87</v>
      </c>
      <c r="B13" s="12" t="s">
        <v>86</v>
      </c>
    </row>
    <row r="14" spans="1:6" ht="14.5" x14ac:dyDescent="0.35">
      <c r="A14" s="41" t="s">
        <v>85</v>
      </c>
      <c r="B14" s="41"/>
      <c r="C14" s="11" t="s">
        <v>72</v>
      </c>
    </row>
    <row r="15" spans="1:6" ht="14.5" x14ac:dyDescent="0.25">
      <c r="A15" s="42" t="s">
        <v>84</v>
      </c>
      <c r="B15" s="42"/>
      <c r="C15" s="10">
        <f>SUM(_xlfn.XLOOKUP(B13,B1:B10,C1:E10))</f>
        <v>3660</v>
      </c>
    </row>
    <row r="16" spans="1:6" ht="14.5" x14ac:dyDescent="0.25">
      <c r="A16" s="42" t="s">
        <v>83</v>
      </c>
      <c r="B16" s="42"/>
      <c r="C16" s="10">
        <f>AVERAGE(_xlfn.XLOOKUP(B13,B1:B10,C1:E10))</f>
        <v>1220</v>
      </c>
    </row>
    <row r="17" spans="1:3" ht="14.5" x14ac:dyDescent="0.25">
      <c r="A17" s="42" t="s">
        <v>82</v>
      </c>
      <c r="B17" s="42"/>
      <c r="C17" s="10">
        <f>MIN(_xlfn.XLOOKUP(B13,B1:B10,C1:E10))</f>
        <v>800</v>
      </c>
    </row>
    <row r="18" spans="1:3" ht="14.5" x14ac:dyDescent="0.25">
      <c r="A18" s="42" t="s">
        <v>81</v>
      </c>
      <c r="B18" s="42"/>
      <c r="C18" s="10">
        <f>MAX(_xlfn.XLOOKUP(B13,B1:B10,C1:E10))</f>
        <v>1780</v>
      </c>
    </row>
  </sheetData>
  <mergeCells count="5">
    <mergeCell ref="A14:B14"/>
    <mergeCell ref="A15:B15"/>
    <mergeCell ref="A16:B16"/>
    <mergeCell ref="A17:B17"/>
    <mergeCell ref="A18:B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6"/>
  <sheetViews>
    <sheetView zoomScaleNormal="100" workbookViewId="0">
      <selection activeCell="J3" sqref="J3"/>
    </sheetView>
  </sheetViews>
  <sheetFormatPr defaultColWidth="8.6328125" defaultRowHeight="14.5" x14ac:dyDescent="0.35"/>
  <cols>
    <col min="1" max="3" width="8" style="1" customWidth="1"/>
    <col min="4" max="4" width="7" style="1" customWidth="1"/>
    <col min="8" max="8" width="5" style="1" customWidth="1"/>
    <col min="9" max="9" width="30" style="1" customWidth="1"/>
    <col min="10" max="10" width="38" style="1" customWidth="1"/>
    <col min="11" max="11" width="2.81640625" style="1" customWidth="1"/>
  </cols>
  <sheetData>
    <row r="1" spans="1:10" ht="27.75" customHeight="1" x14ac:dyDescent="0.35">
      <c r="A1" s="2" t="s">
        <v>74</v>
      </c>
      <c r="B1" s="2" t="s">
        <v>27</v>
      </c>
      <c r="C1" s="2" t="s">
        <v>75</v>
      </c>
      <c r="D1" s="2" t="s">
        <v>76</v>
      </c>
      <c r="H1" s="2" t="s">
        <v>5</v>
      </c>
      <c r="I1" s="2"/>
      <c r="J1" s="2" t="s">
        <v>32</v>
      </c>
    </row>
    <row r="2" spans="1:10" ht="27.75" customHeight="1" x14ac:dyDescent="0.35">
      <c r="A2" s="3">
        <v>1</v>
      </c>
      <c r="B2" s="3" t="s">
        <v>33</v>
      </c>
      <c r="C2" s="3">
        <v>85</v>
      </c>
      <c r="D2" s="3" t="str">
        <f t="array" ref="D2">_xlfn.IFS(C2&lt;50,"Fail",C2&lt;70,"C",C2&lt;80,"B",C2&gt;80,"A")</f>
        <v>A</v>
      </c>
      <c r="H2" s="3" t="s">
        <v>50</v>
      </c>
      <c r="I2" s="4" t="s">
        <v>77</v>
      </c>
      <c r="J2" s="9" t="s">
        <v>78</v>
      </c>
    </row>
    <row r="3" spans="1:10" ht="14.25" customHeight="1" x14ac:dyDescent="0.35">
      <c r="A3" s="3">
        <v>2</v>
      </c>
      <c r="B3" s="3" t="s">
        <v>36</v>
      </c>
      <c r="C3" s="3">
        <v>45</v>
      </c>
      <c r="D3" s="3" t="str">
        <f t="array" ref="D3">_xlfn.IFS(C3&lt;50,"Fail",C3&lt;70,"C",C3&lt;80,"B",C3&gt;80,"A")</f>
        <v>Fail</v>
      </c>
      <c r="H3" s="3" t="s">
        <v>52</v>
      </c>
      <c r="I3" s="4" t="s">
        <v>79</v>
      </c>
      <c r="J3" s="3">
        <f>COUNTIF(C2:C6,"&gt;50")</f>
        <v>3</v>
      </c>
    </row>
    <row r="4" spans="1:10" ht="14.25" customHeight="1" x14ac:dyDescent="0.35">
      <c r="A4" s="3">
        <v>3</v>
      </c>
      <c r="B4" s="3" t="s">
        <v>39</v>
      </c>
      <c r="C4" s="3">
        <v>70</v>
      </c>
      <c r="D4" s="3" t="str">
        <f t="array" ref="D4">_xlfn.IFS(C4&lt;50,"Fail",C4&lt;70,"C",C4&lt;80,"B",C4&gt;80,"A")</f>
        <v>B</v>
      </c>
      <c r="H4" s="3" t="s">
        <v>54</v>
      </c>
      <c r="I4" s="4" t="s">
        <v>80</v>
      </c>
      <c r="J4" s="3">
        <f>AVERAGE(C2:C6)</f>
        <v>57</v>
      </c>
    </row>
    <row r="5" spans="1:10" ht="14.25" customHeight="1" x14ac:dyDescent="0.35">
      <c r="A5" s="3">
        <v>4</v>
      </c>
      <c r="B5" s="3" t="s">
        <v>41</v>
      </c>
      <c r="C5" s="3">
        <v>55</v>
      </c>
      <c r="D5" s="3" t="str">
        <f t="array" ref="D5">_xlfn.IFS(C5&lt;50,"Fail",C5&lt;70,"C",C5&lt;80,"B",C5&gt;80,"A")</f>
        <v>C</v>
      </c>
      <c r="H5" s="3" t="s">
        <v>57</v>
      </c>
      <c r="I5" s="4"/>
      <c r="J5" s="3"/>
    </row>
    <row r="6" spans="1:10" ht="14.25" customHeight="1" x14ac:dyDescent="0.35">
      <c r="A6" s="3">
        <v>5</v>
      </c>
      <c r="B6" s="3" t="s">
        <v>45</v>
      </c>
      <c r="C6" s="3">
        <v>30</v>
      </c>
      <c r="D6" s="3" t="str">
        <f t="array" ref="D6">_xlfn.IFS(C6&lt;50,"Fail",C6&lt;70,"C",C6&lt;80,"B",C6&gt;80,"A")</f>
        <v>Fail</v>
      </c>
      <c r="H6" s="3" t="s">
        <v>59</v>
      </c>
      <c r="I6" s="4"/>
      <c r="J6" s="3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Sales Table</vt:lpstr>
      <vt:lpstr>Employee Table</vt:lpstr>
      <vt:lpstr>Product Table</vt:lpstr>
      <vt:lpstr>Employee Table(2)</vt:lpstr>
      <vt:lpstr>FoodStore</vt:lpstr>
      <vt:lpstr>student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Vishwas Sharma</cp:lastModifiedBy>
  <cp:revision>0</cp:revision>
  <dcterms:created xsi:type="dcterms:W3CDTF">2026-08-15T06:02:57Z</dcterms:created>
  <dcterms:modified xsi:type="dcterms:W3CDTF">2026-09-11T17:00:30Z</dcterms:modified>
  <dc:language>en-US</dc:language>
</cp:coreProperties>
</file>