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ISHWAS SHARMA\Documents\Xcel_portfolio\Data_analysis_using_excel\"/>
    </mc:Choice>
  </mc:AlternateContent>
  <xr:revisionPtr revIDLastSave="0" documentId="13_ncr:1_{ADFD3682-4A59-4C2F-8D8D-7D1DDFB17E67}" xr6:coauthVersionLast="47" xr6:coauthVersionMax="47" xr10:uidLastSave="{00000000-0000-0000-0000-000000000000}"/>
  <bookViews>
    <workbookView xWindow="-110" yWindow="-110" windowWidth="19420" windowHeight="11020" tabRatio="500" xr2:uid="{00000000-000D-0000-FFFF-FFFF00000000}"/>
  </bookViews>
  <sheets>
    <sheet name="Sales Data" sheetId="7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T31" i="7" l="1" a="1"/>
  <c r="T31" i="7" s="1"/>
  <c r="T28" i="7"/>
  <c r="T25" i="7"/>
  <c r="T22" i="7"/>
  <c r="T20" i="7" a="1"/>
  <c r="T20" i="7" s="1"/>
  <c r="AF20" i="7"/>
  <c r="T18" i="7" a="1"/>
  <c r="V18" i="7" s="1"/>
  <c r="T17" i="7"/>
  <c r="T16" i="7"/>
  <c r="T15" i="7"/>
  <c r="AE15" i="7"/>
  <c r="AD15" i="7"/>
  <c r="AC15" i="7"/>
  <c r="AB15" i="7"/>
  <c r="AA15" i="7"/>
  <c r="Z15" i="7"/>
  <c r="Y15" i="7"/>
  <c r="X15" i="7"/>
  <c r="W15" i="7"/>
  <c r="V15" i="7"/>
  <c r="U15" i="7"/>
  <c r="T13" i="7"/>
  <c r="T12" i="7" a="1"/>
  <c r="V12" i="7" s="1"/>
  <c r="T10" i="7" a="1"/>
  <c r="T10" i="7" s="1"/>
  <c r="V8" i="7"/>
  <c r="W8" i="7"/>
  <c r="U8" i="7"/>
  <c r="T8" i="7"/>
  <c r="T7" i="7"/>
  <c r="V9" i="7" s="1"/>
  <c r="T6" i="7"/>
  <c r="Q36" i="7"/>
  <c r="Q35" i="7"/>
  <c r="Q34" i="7"/>
  <c r="Q32" i="7"/>
  <c r="Q30" i="7"/>
  <c r="Q31" i="7"/>
  <c r="T5" i="7"/>
  <c r="T4" i="7"/>
  <c r="T3" i="7"/>
  <c r="T2" i="7"/>
  <c r="Q33" i="7"/>
  <c r="J2" i="7"/>
  <c r="K2" i="7"/>
  <c r="L2" i="7"/>
  <c r="M2" i="7"/>
  <c r="N2" i="7"/>
  <c r="O2" i="7"/>
  <c r="P2" i="7"/>
  <c r="Q2" i="7"/>
  <c r="J3" i="7"/>
  <c r="K3" i="7"/>
  <c r="L3" i="7"/>
  <c r="M3" i="7"/>
  <c r="N3" i="7"/>
  <c r="O3" i="7"/>
  <c r="P3" i="7"/>
  <c r="Q3" i="7"/>
  <c r="J4" i="7"/>
  <c r="K4" i="7"/>
  <c r="L4" i="7"/>
  <c r="M4" i="7"/>
  <c r="N4" i="7"/>
  <c r="O4" i="7"/>
  <c r="P4" i="7"/>
  <c r="Q4" i="7"/>
  <c r="J5" i="7"/>
  <c r="K5" i="7"/>
  <c r="L5" i="7"/>
  <c r="M5" i="7"/>
  <c r="N5" i="7"/>
  <c r="O5" i="7"/>
  <c r="P5" i="7"/>
  <c r="Q5" i="7"/>
  <c r="J6" i="7"/>
  <c r="K6" i="7"/>
  <c r="L6" i="7"/>
  <c r="M6" i="7"/>
  <c r="N6" i="7"/>
  <c r="O6" i="7"/>
  <c r="P6" i="7"/>
  <c r="Q6" i="7"/>
  <c r="J7" i="7"/>
  <c r="K7" i="7"/>
  <c r="L7" i="7"/>
  <c r="M7" i="7"/>
  <c r="N7" i="7"/>
  <c r="O7" i="7"/>
  <c r="P7" i="7"/>
  <c r="Q7" i="7"/>
  <c r="J8" i="7"/>
  <c r="K8" i="7"/>
  <c r="L8" i="7"/>
  <c r="M8" i="7"/>
  <c r="N8" i="7"/>
  <c r="O8" i="7"/>
  <c r="P8" i="7"/>
  <c r="Q8" i="7"/>
  <c r="J9" i="7"/>
  <c r="K9" i="7"/>
  <c r="L9" i="7"/>
  <c r="M9" i="7"/>
  <c r="N9" i="7"/>
  <c r="O9" i="7"/>
  <c r="P9" i="7"/>
  <c r="Q9" i="7"/>
  <c r="J10" i="7"/>
  <c r="K10" i="7"/>
  <c r="L10" i="7"/>
  <c r="M10" i="7"/>
  <c r="N10" i="7"/>
  <c r="O10" i="7"/>
  <c r="P10" i="7"/>
  <c r="Q10" i="7"/>
  <c r="J11" i="7"/>
  <c r="K11" i="7"/>
  <c r="L11" i="7"/>
  <c r="M11" i="7"/>
  <c r="N11" i="7"/>
  <c r="O11" i="7"/>
  <c r="P11" i="7"/>
  <c r="Q11" i="7"/>
  <c r="J12" i="7"/>
  <c r="K12" i="7"/>
  <c r="L12" i="7"/>
  <c r="M12" i="7"/>
  <c r="N12" i="7"/>
  <c r="O12" i="7"/>
  <c r="P12" i="7"/>
  <c r="Q12" i="7"/>
  <c r="J13" i="7"/>
  <c r="K13" i="7"/>
  <c r="L13" i="7"/>
  <c r="M13" i="7"/>
  <c r="N13" i="7"/>
  <c r="O13" i="7"/>
  <c r="P13" i="7"/>
  <c r="Q13" i="7"/>
  <c r="J14" i="7"/>
  <c r="K14" i="7"/>
  <c r="L14" i="7"/>
  <c r="M14" i="7"/>
  <c r="N14" i="7"/>
  <c r="O14" i="7"/>
  <c r="P14" i="7"/>
  <c r="Q14" i="7"/>
  <c r="J15" i="7"/>
  <c r="K15" i="7"/>
  <c r="L15" i="7"/>
  <c r="M15" i="7"/>
  <c r="N15" i="7"/>
  <c r="O15" i="7"/>
  <c r="P15" i="7"/>
  <c r="Q15" i="7"/>
  <c r="J16" i="7"/>
  <c r="K16" i="7"/>
  <c r="L16" i="7"/>
  <c r="M16" i="7"/>
  <c r="N16" i="7"/>
  <c r="O16" i="7"/>
  <c r="P16" i="7"/>
  <c r="Q16" i="7"/>
  <c r="J17" i="7"/>
  <c r="K17" i="7"/>
  <c r="L17" i="7"/>
  <c r="M17" i="7"/>
  <c r="N17" i="7"/>
  <c r="O17" i="7"/>
  <c r="P17" i="7"/>
  <c r="Q17" i="7"/>
  <c r="J18" i="7"/>
  <c r="K18" i="7"/>
  <c r="L18" i="7"/>
  <c r="M18" i="7"/>
  <c r="N18" i="7"/>
  <c r="O18" i="7"/>
  <c r="P18" i="7"/>
  <c r="Q18" i="7"/>
  <c r="J19" i="7"/>
  <c r="K19" i="7"/>
  <c r="L19" i="7"/>
  <c r="M19" i="7"/>
  <c r="N19" i="7"/>
  <c r="O19" i="7"/>
  <c r="P19" i="7"/>
  <c r="Q19" i="7"/>
  <c r="J20" i="7"/>
  <c r="K20" i="7"/>
  <c r="L20" i="7"/>
  <c r="M20" i="7"/>
  <c r="N20" i="7"/>
  <c r="O20" i="7"/>
  <c r="P20" i="7"/>
  <c r="Q20" i="7"/>
  <c r="J21" i="7"/>
  <c r="K21" i="7"/>
  <c r="L21" i="7"/>
  <c r="M21" i="7"/>
  <c r="N21" i="7"/>
  <c r="O21" i="7"/>
  <c r="P21" i="7"/>
  <c r="Q21" i="7"/>
  <c r="J22" i="7"/>
  <c r="K22" i="7"/>
  <c r="L22" i="7"/>
  <c r="M22" i="7"/>
  <c r="N22" i="7"/>
  <c r="O22" i="7"/>
  <c r="P22" i="7"/>
  <c r="Q22" i="7"/>
  <c r="J23" i="7"/>
  <c r="K23" i="7"/>
  <c r="L23" i="7"/>
  <c r="M23" i="7"/>
  <c r="N23" i="7"/>
  <c r="O23" i="7"/>
  <c r="P23" i="7"/>
  <c r="Q23" i="7"/>
  <c r="J24" i="7"/>
  <c r="K24" i="7" s="1"/>
  <c r="M24" i="7" s="1"/>
  <c r="L24" i="7"/>
  <c r="N24" i="7"/>
  <c r="O24" i="7"/>
  <c r="P24" i="7"/>
  <c r="Q24" i="7"/>
  <c r="J25" i="7"/>
  <c r="K25" i="7"/>
  <c r="L25" i="7"/>
  <c r="M25" i="7"/>
  <c r="N25" i="7"/>
  <c r="O25" i="7"/>
  <c r="P25" i="7"/>
  <c r="Q25" i="7"/>
  <c r="J26" i="7"/>
  <c r="K26" i="7"/>
  <c r="L26" i="7"/>
  <c r="M26" i="7"/>
  <c r="N26" i="7"/>
  <c r="O26" i="7"/>
  <c r="P26" i="7"/>
  <c r="Q26" i="7"/>
  <c r="J27" i="7"/>
  <c r="K27" i="7"/>
  <c r="L27" i="7"/>
  <c r="M27" i="7"/>
  <c r="N27" i="7"/>
  <c r="O27" i="7"/>
  <c r="P27" i="7"/>
  <c r="Q27" i="7"/>
  <c r="J28" i="7"/>
  <c r="K28" i="7"/>
  <c r="L28" i="7"/>
  <c r="M28" i="7"/>
  <c r="N28" i="7"/>
  <c r="O28" i="7"/>
  <c r="P28" i="7"/>
  <c r="Q28" i="7"/>
  <c r="J29" i="7"/>
  <c r="K29" i="7"/>
  <c r="L29" i="7"/>
  <c r="M29" i="7"/>
  <c r="N29" i="7"/>
  <c r="O29" i="7"/>
  <c r="P29" i="7"/>
  <c r="Q29" i="7"/>
  <c r="AE20" i="7" l="1"/>
  <c r="AG20" i="7"/>
  <c r="AA20" i="7"/>
  <c r="Z20" i="7"/>
  <c r="Y20" i="7"/>
  <c r="X20" i="7"/>
  <c r="W20" i="7"/>
  <c r="AD20" i="7"/>
  <c r="V20" i="7"/>
  <c r="AC20" i="7"/>
  <c r="U20" i="7"/>
  <c r="AB20" i="7"/>
  <c r="T18" i="7"/>
  <c r="U18" i="7"/>
  <c r="T12" i="7"/>
  <c r="U12" i="7"/>
  <c r="T9" i="7"/>
  <c r="U9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<sst xmlns="http://schemas.openxmlformats.org/spreadsheetml/2006/main" count="199" uniqueCount="115">
  <si>
    <t>Order Date</t>
  </si>
  <si>
    <t>Year</t>
  </si>
  <si>
    <t>Cust Id</t>
  </si>
  <si>
    <t>Region</t>
  </si>
  <si>
    <t>Cust. Name</t>
  </si>
  <si>
    <t>Category</t>
  </si>
  <si>
    <t>Product</t>
  </si>
  <si>
    <t>Price</t>
  </si>
  <si>
    <t>Qty</t>
  </si>
  <si>
    <t>Amount</t>
  </si>
  <si>
    <t>Profit10%</t>
  </si>
  <si>
    <t>East QTY</t>
  </si>
  <si>
    <t>Profit&gt;10%</t>
  </si>
  <si>
    <t>South Cat. Printer Qty&gt;5</t>
  </si>
  <si>
    <t>if/and (West + Qty&gt;=10)</t>
  </si>
  <si>
    <t>if/and (West+Art+Scanner+Price&gt;2000)</t>
  </si>
  <si>
    <t>if (Price&gt;4000)</t>
  </si>
  <si>
    <t>Q: Retrieve the full row of details for a given Customer Name (XLOOKUP).</t>
  </si>
  <si>
    <t>NN001</t>
  </si>
  <si>
    <t>East</t>
  </si>
  <si>
    <t>Name1</t>
  </si>
  <si>
    <t>Computer</t>
  </si>
  <si>
    <t>Mouse</t>
  </si>
  <si>
    <t>Name20</t>
  </si>
  <si>
    <t>NN002</t>
  </si>
  <si>
    <t>West</t>
  </si>
  <si>
    <t>Name2</t>
  </si>
  <si>
    <t>Electronic</t>
  </si>
  <si>
    <t>Monitor</t>
  </si>
  <si>
    <t>NN003</t>
  </si>
  <si>
    <t xml:space="preserve">North </t>
  </si>
  <si>
    <t>Name3</t>
  </si>
  <si>
    <t>Art</t>
  </si>
  <si>
    <t>Printer</t>
  </si>
  <si>
    <t>NN004</t>
  </si>
  <si>
    <t>Name4</t>
  </si>
  <si>
    <t>Storage</t>
  </si>
  <si>
    <t>SSD256 GB</t>
  </si>
  <si>
    <t>NN005</t>
  </si>
  <si>
    <t>Name5</t>
  </si>
  <si>
    <t>Mobile</t>
  </si>
  <si>
    <t>HDD256 GB</t>
  </si>
  <si>
    <t>NN010</t>
  </si>
  <si>
    <t>NN006</t>
  </si>
  <si>
    <t>South</t>
  </si>
  <si>
    <t>Name6</t>
  </si>
  <si>
    <t>NN007</t>
  </si>
  <si>
    <t>Name7</t>
  </si>
  <si>
    <t>NN008</t>
  </si>
  <si>
    <t>Name8</t>
  </si>
  <si>
    <t>Scanner</t>
  </si>
  <si>
    <t>NN009</t>
  </si>
  <si>
    <t>Name9</t>
  </si>
  <si>
    <t xml:space="preserve"> keyboard</t>
  </si>
  <si>
    <t>Q: Sum Price + Amount + Profit for a given Cust ID (SUM + XLOOKUP + CHOOSE).</t>
  </si>
  <si>
    <t>Name10</t>
  </si>
  <si>
    <t>NN011</t>
  </si>
  <si>
    <t>Name11</t>
  </si>
  <si>
    <t>NN012</t>
  </si>
  <si>
    <t>Name12</t>
  </si>
  <si>
    <t>NN013</t>
  </si>
  <si>
    <t>Name13</t>
  </si>
  <si>
    <t>Q: Count orders from the East region (COUNTIF).</t>
  </si>
  <si>
    <t>NN014</t>
  </si>
  <si>
    <t>Name14</t>
  </si>
  <si>
    <t>NN015</t>
  </si>
  <si>
    <t>Name15</t>
  </si>
  <si>
    <t>Q: Find the highest Price among Computer-category orders (MAXIFS).</t>
  </si>
  <si>
    <t>NN016</t>
  </si>
  <si>
    <t>Name16</t>
  </si>
  <si>
    <t>NN017</t>
  </si>
  <si>
    <t>Name17</t>
  </si>
  <si>
    <t>NN018</t>
  </si>
  <si>
    <t>Name18</t>
  </si>
  <si>
    <t>NN019</t>
  </si>
  <si>
    <t>Name19</t>
  </si>
  <si>
    <t>NN020</t>
  </si>
  <si>
    <t>NN021</t>
  </si>
  <si>
    <t>Name21</t>
  </si>
  <si>
    <t>Q: Find the Product in row 3 of the table, using the 'Product' header (HLOOKUP).</t>
  </si>
  <si>
    <t>NN022</t>
  </si>
  <si>
    <t>Name22</t>
  </si>
  <si>
    <t>NN023</t>
  </si>
  <si>
    <t>Name23</t>
  </si>
  <si>
    <t>Q: Count orders with Qty strictly between 20 and 40 (COUNTIFS).</t>
  </si>
  <si>
    <t>NN024</t>
  </si>
  <si>
    <t>Name24</t>
  </si>
  <si>
    <t>NN025</t>
  </si>
  <si>
    <t>Name25</t>
  </si>
  <si>
    <t>NN026</t>
  </si>
  <si>
    <t>Name26</t>
  </si>
  <si>
    <t>NN027</t>
  </si>
  <si>
    <t>Name27</t>
  </si>
  <si>
    <t>NN028</t>
  </si>
  <si>
    <t>Name28</t>
  </si>
  <si>
    <t>total amt</t>
  </si>
  <si>
    <t>Q: Retrieve a given field (dynamic column) for a given Customer Name (XLOOKUP + XLOOKUP).</t>
  </si>
  <si>
    <t>min price</t>
  </si>
  <si>
    <t>max Qty</t>
  </si>
  <si>
    <t>Avg. profit</t>
  </si>
  <si>
    <t>total price</t>
  </si>
  <si>
    <t>min Qty</t>
  </si>
  <si>
    <t>max Amt</t>
  </si>
  <si>
    <t>Q: Retrieve every field for a given Emp ID (VLOOKUP, one formula per column using COLUMNS).</t>
  </si>
  <si>
    <t>Q: Retrieve Region, Product and Qty for a given Cust ID (VLOOKUP, array).</t>
  </si>
  <si>
    <t>Q: Find a given field (e.g. Product) for a given Cust ID, using VLOOKUP + MATCH.</t>
  </si>
  <si>
    <t>Q: Find the Cust ID for a given Customer Name (VLOOKUP, reverse lookup via CHOOSE).</t>
  </si>
  <si>
    <t>Q: Continue: retrieve Amount, Profit and East-YES/NO for the Cust ID found above (VLOOKUP + COLUMN).</t>
  </si>
  <si>
    <t>Q: Find the Qty for the first order from a given Region (VLOOKUP, self-referential example).</t>
  </si>
  <si>
    <t>Q: Retrieve Cust ID, Product and Year for a given Customer Name (VLOOKUP + CHOOSE, array).</t>
  </si>
  <si>
    <t>Q: Continue: retrieve Category, Product, Price and Qty for the given Cust ID  (VLOOKUP + COLUMN).</t>
  </si>
  <si>
    <t>Q: Sum of quantities where category is art (DSUM).</t>
  </si>
  <si>
    <t>Q:Sum of quantities where region is east (sumif).</t>
  </si>
  <si>
    <t>Q:Sum of quantities where region is west with art category.</t>
  </si>
  <si>
    <t>Q:Find the qty on the basis of costumer name.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</si>
</sst>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5" x14ac:knownFonts="1">
    <font>
      <sz val="11"/>
      <color theme="1"/>
      <name val="Calibri"/>
      <family val="2"/>
      <charset val="1"/>
    </font>
    <font>
      <b/>
      <sz val="10"/>
      <color rgb="FFFFFFFF"/>
      <name val="Calibri"/>
      <charset val="1"/>
    </font>
    <font>
      <i/>
      <sz val="11"/>
      <name val="Calibri"/>
      <charset val="1"/>
    </font>
    <font>
      <sz val="10"/>
      <name val="Calibri"/>
      <charset val="1"/>
    </font>
    <font>
      <b/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theme="7" tint="0.39988402966399123"/>
        <bgColor rgb="FFFFEB9C"/>
      </patternFill>
    </fill>
  </fills>
  <borders count="5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3" fillId="0" borderId="1" xfId="0" applyNumberFormat="1" applyFont="1" applyBorder="1"/>
    <xf numFmtId="0" fontId="3" fillId="0" borderId="1" xfId="0" applyFont="1" applyBorder="1"/>
    <xf numFmtId="3" fontId="3" fillId="0" borderId="1" xfId="0" applyNumberFormat="1" applyFont="1" applyBorder="1"/>
    <xf numFmtId="0" fontId="0" fillId="0" borderId="2" xfId="0" applyBorder="1"/>
    <xf numFmtId="0" fontId="0" fillId="3" borderId="2" xfId="0" applyFill="1" applyBorder="1"/>
    <xf numFmtId="0" fontId="2" fillId="0" borderId="2" xfId="0" applyFont="1" applyBorder="1" applyAlignment="1">
      <alignment horizontal="left" vertical="center" wrapText="1"/>
    </xf>
    <xf numFmtId="3" fontId="0" fillId="3" borderId="2" xfId="0" applyNumberFormat="1" applyFill="1" applyBorder="1"/>
    <xf numFmtId="0" fontId="3" fillId="0" borderId="4" xfId="0" applyFont="1" applyBorder="1"/>
    <xf numFmtId="0" fontId="2" fillId="0" borderId="2" xfId="0" applyFont="1" applyBorder="1" applyAlignment="1">
      <alignment horizontal="left" vertical="center"/>
    </xf>
    <xf numFmtId="3" fontId="0" fillId="3" borderId="3" xfId="0" applyNumberFormat="1" applyFill="1" applyBorder="1"/>
    <xf numFmtId="0" fontId="4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7B7B7"/>
      <rgbColor rgb="FF808080"/>
      <rgbColor rgb="FF9999FF"/>
      <rgbColor rgb="FFC55A11"/>
      <rgbColor rgb="FFE2F0D9"/>
      <rgbColor rgb="FFDEEBF7"/>
      <rgbColor rgb="FF660066"/>
      <rgbColor rgb="FFFF505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4B183"/>
      <rgbColor rgb="FFCC99FF"/>
      <rgbColor rgb="FFFFC7CE"/>
      <rgbColor rgb="FF4472C4"/>
      <rgbColor rgb="FF33CCCC"/>
      <rgbColor rgb="FF99CC00"/>
      <rgbColor rgb="FFFFD966"/>
      <rgbColor rgb="FFBF9000"/>
      <rgbColor rgb="FFED7D31"/>
      <rgbColor rgb="FF666699"/>
      <rgbColor rgb="FF969696"/>
      <rgbColor rgb="FF002060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399ED-B33C-45D9-9A32-9E7AB5126F4A}">
  <dimension ref="A1:AG37"/>
  <sheetViews>
    <sheetView tabSelected="1" topLeftCell="B1" zoomScale="49" zoomScaleNormal="49" workbookViewId="0">
      <selection activeCell="R43" sqref="R43"/>
    </sheetView>
  </sheetViews>
  <sheetFormatPr defaultRowHeight="14.5" x14ac:dyDescent="0.35"/>
  <cols>
    <col min="1" max="1" width="10.26953125" bestFit="1" customWidth="1"/>
    <col min="2" max="2" width="4.90625" bestFit="1" customWidth="1"/>
    <col min="3" max="3" width="6.1796875" bestFit="1" customWidth="1"/>
    <col min="4" max="4" width="6" bestFit="1" customWidth="1"/>
    <col min="5" max="5" width="7.54296875" bestFit="1" customWidth="1"/>
    <col min="6" max="6" width="8.453125" bestFit="1" customWidth="1"/>
    <col min="7" max="7" width="9.7265625" bestFit="1" customWidth="1"/>
    <col min="8" max="8" width="5.453125" bestFit="1" customWidth="1"/>
    <col min="9" max="9" width="3.54296875" bestFit="1" customWidth="1"/>
    <col min="10" max="10" width="7.90625" bestFit="1" customWidth="1"/>
    <col min="11" max="11" width="8.26953125" bestFit="1" customWidth="1"/>
    <col min="12" max="12" width="7.54296875" bestFit="1" customWidth="1"/>
    <col min="13" max="13" width="7.81640625" bestFit="1" customWidth="1"/>
    <col min="14" max="14" width="8.81640625" bestFit="1" customWidth="1"/>
    <col min="15" max="15" width="8.26953125" bestFit="1" customWidth="1"/>
    <col min="16" max="16" width="13.6328125" bestFit="1" customWidth="1"/>
    <col min="17" max="17" width="9" bestFit="1" customWidth="1"/>
    <col min="18" max="18" width="92.453125" bestFit="1" customWidth="1"/>
    <col min="19" max="19" width="9" bestFit="1" customWidth="1"/>
    <col min="20" max="20" width="9.90625" bestFit="1" customWidth="1"/>
    <col min="21" max="21" width="10.453125" bestFit="1" customWidth="1"/>
    <col min="22" max="22" width="8.6328125" bestFit="1" customWidth="1"/>
    <col min="23" max="23" width="7.36328125" bestFit="1" customWidth="1"/>
    <col min="24" max="24" width="10.453125" bestFit="1" customWidth="1"/>
    <col min="25" max="25" width="5.6328125" bestFit="1" customWidth="1"/>
    <col min="26" max="26" width="3.81640625" bestFit="1" customWidth="1"/>
    <col min="27" max="27" width="6.7265625" bestFit="1" customWidth="1"/>
    <col min="28" max="28" width="5.6328125" bestFit="1" customWidth="1"/>
    <col min="29" max="29" width="3.81640625" bestFit="1" customWidth="1"/>
    <col min="30" max="31" width="5.81640625" bestFit="1" customWidth="1"/>
    <col min="32" max="32" width="3.453125" bestFit="1" customWidth="1"/>
    <col min="33" max="33" width="5.81640625" bestFit="1" customWidth="1"/>
  </cols>
  <sheetData>
    <row r="1" spans="1:31" ht="5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31" x14ac:dyDescent="0.35">
      <c r="A2" s="2">
        <v>45292</v>
      </c>
      <c r="B2" s="3">
        <v>2024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4">
        <v>210</v>
      </c>
      <c r="I2" s="4">
        <v>45</v>
      </c>
      <c r="J2" s="4">
        <f t="shared" ref="J2:J29" si="0">H2*I2</f>
        <v>9450</v>
      </c>
      <c r="K2" s="4">
        <f t="shared" ref="K2:K29" si="1">J2*10/100</f>
        <v>945</v>
      </c>
      <c r="L2" s="3" t="str">
        <f t="shared" ref="L2:L29" si="2">IF(AND(D2="East",I2&gt;10),"YES","NO")</f>
        <v>YES</v>
      </c>
      <c r="M2" s="3" t="str">
        <f t="shared" ref="M2:M29" si="3">IF(K2&gt;=3000,"True","False")</f>
        <v>False</v>
      </c>
      <c r="N2" s="3" t="str">
        <f t="shared" ref="N2:N29" si="4">IF(AND(D2="South",G2="Printer",I2&gt;5),"Yes","No")</f>
        <v>No</v>
      </c>
      <c r="O2" s="3" t="str">
        <f t="shared" ref="O2:O29" si="5">IF(AND(D2="West",I2&gt;=10),"yes","no")</f>
        <v>no</v>
      </c>
      <c r="P2" s="3" t="str">
        <f t="shared" ref="P2:P29" si="6">IF(AND(D2="West",F2="Art",G2="Scanner",H2&gt;2000),"True","False")</f>
        <v>False</v>
      </c>
      <c r="Q2" s="9" t="str">
        <f t="shared" ref="Q2:Q29" si="7">IF(H2&gt;4000,"True","False")</f>
        <v>False</v>
      </c>
      <c r="R2" s="10" t="s">
        <v>54</v>
      </c>
      <c r="S2" s="5" t="s">
        <v>48</v>
      </c>
      <c r="T2" s="5">
        <f>SUM(_xlfn.XLOOKUP('Sales Data'!S2,'Sales Data'!C1:C29,CHOOSE({1,2,3},'Sales Data'!H1:H29,'Sales Data'!J1:J29,'Sales Data'!K1:K29)))</f>
        <v>28340</v>
      </c>
    </row>
    <row r="3" spans="1:31" x14ac:dyDescent="0.35">
      <c r="A3" s="2">
        <v>45293</v>
      </c>
      <c r="B3" s="3">
        <v>2024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4">
        <v>4000</v>
      </c>
      <c r="I3" s="4">
        <v>8</v>
      </c>
      <c r="J3" s="4">
        <f t="shared" si="0"/>
        <v>32000</v>
      </c>
      <c r="K3" s="4">
        <f t="shared" si="1"/>
        <v>3200</v>
      </c>
      <c r="L3" s="3" t="str">
        <f t="shared" si="2"/>
        <v>NO</v>
      </c>
      <c r="M3" s="3" t="str">
        <f t="shared" si="3"/>
        <v>True</v>
      </c>
      <c r="N3" s="3" t="str">
        <f t="shared" si="4"/>
        <v>No</v>
      </c>
      <c r="O3" s="3" t="str">
        <f t="shared" si="5"/>
        <v>no</v>
      </c>
      <c r="P3" s="3" t="str">
        <f t="shared" si="6"/>
        <v>False</v>
      </c>
      <c r="Q3" s="9" t="str">
        <f t="shared" si="7"/>
        <v>False</v>
      </c>
      <c r="R3" s="10" t="s">
        <v>62</v>
      </c>
      <c r="S3" s="5"/>
      <c r="T3" s="5">
        <f>COUNTIF('Sales Data'!D1:D29,"East")</f>
        <v>10</v>
      </c>
    </row>
    <row r="4" spans="1:31" x14ac:dyDescent="0.35">
      <c r="A4" s="2">
        <v>45294</v>
      </c>
      <c r="B4" s="3">
        <v>2024</v>
      </c>
      <c r="C4" s="3" t="s">
        <v>29</v>
      </c>
      <c r="D4" s="3" t="s">
        <v>30</v>
      </c>
      <c r="E4" s="3" t="s">
        <v>31</v>
      </c>
      <c r="F4" s="3" t="s">
        <v>32</v>
      </c>
      <c r="G4" s="3" t="s">
        <v>33</v>
      </c>
      <c r="H4" s="4">
        <v>3200</v>
      </c>
      <c r="I4" s="4">
        <v>6</v>
      </c>
      <c r="J4" s="4">
        <f t="shared" si="0"/>
        <v>19200</v>
      </c>
      <c r="K4" s="4">
        <f t="shared" si="1"/>
        <v>1920</v>
      </c>
      <c r="L4" s="3" t="str">
        <f t="shared" si="2"/>
        <v>NO</v>
      </c>
      <c r="M4" s="3" t="str">
        <f t="shared" si="3"/>
        <v>False</v>
      </c>
      <c r="N4" s="3" t="str">
        <f t="shared" si="4"/>
        <v>No</v>
      </c>
      <c r="O4" s="3" t="str">
        <f t="shared" si="5"/>
        <v>no</v>
      </c>
      <c r="P4" s="3" t="str">
        <f t="shared" si="6"/>
        <v>False</v>
      </c>
      <c r="Q4" s="9" t="str">
        <f t="shared" si="7"/>
        <v>False</v>
      </c>
      <c r="R4" s="10" t="s">
        <v>67</v>
      </c>
      <c r="S4" s="5"/>
      <c r="T4" s="5">
        <f>_xlfn.MAXIFS('Sales Data'!H2:H29,'Sales Data'!F2:F29,"Computer")</f>
        <v>4500</v>
      </c>
    </row>
    <row r="5" spans="1:31" x14ac:dyDescent="0.35">
      <c r="A5" s="2">
        <v>45295</v>
      </c>
      <c r="B5" s="3">
        <v>2024</v>
      </c>
      <c r="C5" s="3" t="s">
        <v>34</v>
      </c>
      <c r="D5" s="3" t="s">
        <v>19</v>
      </c>
      <c r="E5" s="3" t="s">
        <v>35</v>
      </c>
      <c r="F5" s="3" t="s">
        <v>36</v>
      </c>
      <c r="G5" s="3" t="s">
        <v>37</v>
      </c>
      <c r="H5" s="4">
        <v>4000</v>
      </c>
      <c r="I5" s="4">
        <v>4</v>
      </c>
      <c r="J5" s="4">
        <f t="shared" si="0"/>
        <v>16000</v>
      </c>
      <c r="K5" s="4">
        <f t="shared" si="1"/>
        <v>1600</v>
      </c>
      <c r="L5" s="3" t="str">
        <f t="shared" si="2"/>
        <v>NO</v>
      </c>
      <c r="M5" s="3" t="str">
        <f t="shared" si="3"/>
        <v>False</v>
      </c>
      <c r="N5" s="3" t="str">
        <f t="shared" si="4"/>
        <v>No</v>
      </c>
      <c r="O5" s="3" t="str">
        <f t="shared" si="5"/>
        <v>no</v>
      </c>
      <c r="P5" s="3" t="str">
        <f t="shared" si="6"/>
        <v>False</v>
      </c>
      <c r="Q5" s="9" t="str">
        <f t="shared" si="7"/>
        <v>False</v>
      </c>
      <c r="R5" s="10" t="s">
        <v>79</v>
      </c>
      <c r="S5" s="5"/>
      <c r="T5" s="5" t="str">
        <f>HLOOKUP('Sales Data'!G1,'Sales Data'!D1:Q29,3,0)</f>
        <v>Monitor</v>
      </c>
    </row>
    <row r="6" spans="1:31" x14ac:dyDescent="0.35">
      <c r="A6" s="2">
        <v>45296</v>
      </c>
      <c r="B6" s="3">
        <v>2024</v>
      </c>
      <c r="C6" s="3" t="s">
        <v>38</v>
      </c>
      <c r="D6" s="3" t="s">
        <v>25</v>
      </c>
      <c r="E6" s="3" t="s">
        <v>39</v>
      </c>
      <c r="F6" s="3" t="s">
        <v>40</v>
      </c>
      <c r="G6" s="3" t="s">
        <v>41</v>
      </c>
      <c r="H6" s="4">
        <v>1500</v>
      </c>
      <c r="I6" s="4">
        <v>7</v>
      </c>
      <c r="J6" s="4">
        <f t="shared" si="0"/>
        <v>10500</v>
      </c>
      <c r="K6" s="4">
        <f t="shared" si="1"/>
        <v>1050</v>
      </c>
      <c r="L6" s="3" t="str">
        <f t="shared" si="2"/>
        <v>NO</v>
      </c>
      <c r="M6" s="3" t="str">
        <f t="shared" si="3"/>
        <v>False</v>
      </c>
      <c r="N6" s="3" t="str">
        <f t="shared" si="4"/>
        <v>No</v>
      </c>
      <c r="O6" s="3" t="str">
        <f t="shared" si="5"/>
        <v>no</v>
      </c>
      <c r="P6" s="3" t="str">
        <f t="shared" si="6"/>
        <v>False</v>
      </c>
      <c r="Q6" s="9" t="str">
        <f t="shared" si="7"/>
        <v>False</v>
      </c>
      <c r="R6" s="10" t="s">
        <v>84</v>
      </c>
      <c r="S6" s="5"/>
      <c r="T6" s="5">
        <f>COUNTIFS('Sales Data'!I2:I29,"&gt;20",'Sales Data'!I2:I29,"&lt;40")</f>
        <v>0</v>
      </c>
    </row>
    <row r="7" spans="1:31" x14ac:dyDescent="0.35">
      <c r="A7" s="2">
        <v>45297</v>
      </c>
      <c r="B7" s="3">
        <v>2024</v>
      </c>
      <c r="C7" s="3" t="s">
        <v>43</v>
      </c>
      <c r="D7" s="3" t="s">
        <v>44</v>
      </c>
      <c r="E7" s="3" t="s">
        <v>45</v>
      </c>
      <c r="F7" s="3" t="s">
        <v>21</v>
      </c>
      <c r="G7" s="3" t="s">
        <v>22</v>
      </c>
      <c r="H7" s="4">
        <v>300</v>
      </c>
      <c r="I7" s="4">
        <v>2</v>
      </c>
      <c r="J7" s="4">
        <f t="shared" si="0"/>
        <v>600</v>
      </c>
      <c r="K7" s="4">
        <f t="shared" si="1"/>
        <v>60</v>
      </c>
      <c r="L7" s="3" t="str">
        <f t="shared" si="2"/>
        <v>NO</v>
      </c>
      <c r="M7" s="3" t="str">
        <f t="shared" si="3"/>
        <v>False</v>
      </c>
      <c r="N7" s="3" t="str">
        <f t="shared" si="4"/>
        <v>No</v>
      </c>
      <c r="O7" s="3" t="str">
        <f t="shared" si="5"/>
        <v>no</v>
      </c>
      <c r="P7" s="3" t="str">
        <f t="shared" si="6"/>
        <v>False</v>
      </c>
      <c r="Q7" s="9" t="str">
        <f t="shared" si="7"/>
        <v>False</v>
      </c>
      <c r="R7" s="10" t="s">
        <v>106</v>
      </c>
      <c r="S7" s="5" t="s">
        <v>75</v>
      </c>
      <c r="T7" s="5" t="str">
        <f>VLOOKUP('Sales Data'!S7,CHOOSE({1,2},'Sales Data'!E1:E29,'Sales Data'!C1:C29),2,0)</f>
        <v>NN019</v>
      </c>
    </row>
    <row r="8" spans="1:31" x14ac:dyDescent="0.35">
      <c r="A8" s="2">
        <v>45298</v>
      </c>
      <c r="B8" s="3">
        <v>2024</v>
      </c>
      <c r="C8" s="3" t="s">
        <v>46</v>
      </c>
      <c r="D8" s="3" t="s">
        <v>30</v>
      </c>
      <c r="E8" s="3" t="s">
        <v>47</v>
      </c>
      <c r="F8" s="3" t="s">
        <v>21</v>
      </c>
      <c r="G8" s="3" t="s">
        <v>33</v>
      </c>
      <c r="H8" s="4">
        <v>4500</v>
      </c>
      <c r="I8" s="4">
        <v>3</v>
      </c>
      <c r="J8" s="4">
        <f t="shared" si="0"/>
        <v>13500</v>
      </c>
      <c r="K8" s="4">
        <f t="shared" si="1"/>
        <v>1350</v>
      </c>
      <c r="L8" s="3" t="str">
        <f t="shared" si="2"/>
        <v>NO</v>
      </c>
      <c r="M8" s="3" t="str">
        <f t="shared" si="3"/>
        <v>False</v>
      </c>
      <c r="N8" s="3" t="str">
        <f t="shared" si="4"/>
        <v>No</v>
      </c>
      <c r="O8" s="3" t="str">
        <f t="shared" si="5"/>
        <v>no</v>
      </c>
      <c r="P8" s="3" t="str">
        <f t="shared" si="6"/>
        <v>False</v>
      </c>
      <c r="Q8" s="9" t="str">
        <f t="shared" si="7"/>
        <v>True</v>
      </c>
      <c r="R8" s="10" t="s">
        <v>110</v>
      </c>
      <c r="S8" s="5" t="s">
        <v>74</v>
      </c>
      <c r="T8" s="5" t="str">
        <f>VLOOKUP('Sales Data'!$S$8,'Sales Data'!$C$1:$Q$29,COLUMN('Sales Data'!D1),0)</f>
        <v>Computer</v>
      </c>
      <c r="U8" s="5" t="str">
        <f>VLOOKUP('Sales Data'!$S$8,'Sales Data'!$C$1:$Q$29,COLUMN('Sales Data'!E1),0)</f>
        <v>Mouse</v>
      </c>
      <c r="V8" s="5">
        <f>VLOOKUP('Sales Data'!$S$8,'Sales Data'!$C$1:$Q$29,COLUMN('Sales Data'!F1),0)</f>
        <v>300</v>
      </c>
      <c r="W8" s="5">
        <f>VLOOKUP('Sales Data'!$S$8,'Sales Data'!$C$1:$Q$29,COLUMN('Sales Data'!G1),0)</f>
        <v>12</v>
      </c>
    </row>
    <row r="9" spans="1:31" x14ac:dyDescent="0.35">
      <c r="A9" s="2">
        <v>45299</v>
      </c>
      <c r="B9" s="3">
        <v>2024</v>
      </c>
      <c r="C9" s="3" t="s">
        <v>48</v>
      </c>
      <c r="D9" s="3" t="s">
        <v>25</v>
      </c>
      <c r="E9" s="3" t="s">
        <v>49</v>
      </c>
      <c r="F9" s="3" t="s">
        <v>32</v>
      </c>
      <c r="G9" s="3" t="s">
        <v>50</v>
      </c>
      <c r="H9" s="4">
        <v>2600</v>
      </c>
      <c r="I9" s="4">
        <v>9</v>
      </c>
      <c r="J9" s="4">
        <f t="shared" si="0"/>
        <v>23400</v>
      </c>
      <c r="K9" s="4">
        <f t="shared" si="1"/>
        <v>2340</v>
      </c>
      <c r="L9" s="3" t="str">
        <f t="shared" si="2"/>
        <v>NO</v>
      </c>
      <c r="M9" s="3" t="str">
        <f t="shared" si="3"/>
        <v>False</v>
      </c>
      <c r="N9" s="3" t="str">
        <f t="shared" si="4"/>
        <v>No</v>
      </c>
      <c r="O9" s="3" t="str">
        <f t="shared" si="5"/>
        <v>no</v>
      </c>
      <c r="P9" s="3" t="str">
        <f t="shared" si="6"/>
        <v>True</v>
      </c>
      <c r="Q9" s="9" t="str">
        <f t="shared" si="7"/>
        <v>False</v>
      </c>
      <c r="R9" s="10" t="s">
        <v>107</v>
      </c>
      <c r="S9" s="5"/>
      <c r="T9" s="5">
        <f>VLOOKUP('Sales Data'!$T$7,'Sales Data'!$C$1:$Q$29,COLUMN('Sales Data'!H1),0)</f>
        <v>3600</v>
      </c>
      <c r="U9" s="5">
        <f>VLOOKUP('Sales Data'!$T$7,'Sales Data'!$C$1:$Q$29,COLUMN('Sales Data'!I1),0)</f>
        <v>360</v>
      </c>
      <c r="V9" s="5" t="str">
        <f>VLOOKUP('Sales Data'!$T$7,'Sales Data'!$C$1:$Q$29,COLUMN('Sales Data'!J1),0)</f>
        <v>YES</v>
      </c>
    </row>
    <row r="10" spans="1:31" x14ac:dyDescent="0.35">
      <c r="A10" s="2">
        <v>45300</v>
      </c>
      <c r="B10" s="3">
        <v>2024</v>
      </c>
      <c r="C10" s="3" t="s">
        <v>51</v>
      </c>
      <c r="D10" s="3" t="s">
        <v>19</v>
      </c>
      <c r="E10" s="3" t="s">
        <v>52</v>
      </c>
      <c r="F10" s="3" t="s">
        <v>21</v>
      </c>
      <c r="G10" s="3" t="s">
        <v>53</v>
      </c>
      <c r="H10" s="4">
        <v>600</v>
      </c>
      <c r="I10" s="4">
        <v>8</v>
      </c>
      <c r="J10" s="4">
        <f t="shared" si="0"/>
        <v>4800</v>
      </c>
      <c r="K10" s="4">
        <f t="shared" si="1"/>
        <v>480</v>
      </c>
      <c r="L10" s="3" t="str">
        <f t="shared" si="2"/>
        <v>NO</v>
      </c>
      <c r="M10" s="3" t="str">
        <f t="shared" si="3"/>
        <v>False</v>
      </c>
      <c r="N10" s="3" t="str">
        <f t="shared" si="4"/>
        <v>No</v>
      </c>
      <c r="O10" s="3" t="str">
        <f t="shared" si="5"/>
        <v>no</v>
      </c>
      <c r="P10" s="3" t="str">
        <f t="shared" si="6"/>
        <v>False</v>
      </c>
      <c r="Q10" s="9" t="str">
        <f t="shared" si="7"/>
        <v>False</v>
      </c>
      <c r="R10" s="10" t="s">
        <v>96</v>
      </c>
      <c r="S10" s="5" t="s">
        <v>75</v>
      </c>
      <c r="T10" s="5" t="str" cm="1">
        <f t="array" ref="T10">_xlfn.XLOOKUP(S10,'Sales Data'!E1:E29,_xlfn.XLOOKUP(S11,'Sales Data'!A1:Q1,'Sales Data'!A1:Q29))</f>
        <v>Computer</v>
      </c>
    </row>
    <row r="11" spans="1:31" x14ac:dyDescent="0.35">
      <c r="A11" s="2">
        <v>45301</v>
      </c>
      <c r="B11" s="3">
        <v>2024</v>
      </c>
      <c r="C11" s="3" t="s">
        <v>42</v>
      </c>
      <c r="D11" s="3" t="s">
        <v>19</v>
      </c>
      <c r="E11" s="3" t="s">
        <v>55</v>
      </c>
      <c r="F11" s="3" t="s">
        <v>40</v>
      </c>
      <c r="G11" s="3" t="s">
        <v>37</v>
      </c>
      <c r="H11" s="4">
        <v>4000</v>
      </c>
      <c r="I11" s="4">
        <v>7</v>
      </c>
      <c r="J11" s="4">
        <f t="shared" si="0"/>
        <v>28000</v>
      </c>
      <c r="K11" s="4">
        <f t="shared" si="1"/>
        <v>2800</v>
      </c>
      <c r="L11" s="3" t="str">
        <f t="shared" si="2"/>
        <v>NO</v>
      </c>
      <c r="M11" s="3" t="str">
        <f t="shared" si="3"/>
        <v>False</v>
      </c>
      <c r="N11" s="3" t="str">
        <f t="shared" si="4"/>
        <v>No</v>
      </c>
      <c r="O11" s="3" t="str">
        <f t="shared" si="5"/>
        <v>no</v>
      </c>
      <c r="P11" s="3" t="str">
        <f t="shared" si="6"/>
        <v>False</v>
      </c>
      <c r="Q11" s="9" t="str">
        <f t="shared" si="7"/>
        <v>False</v>
      </c>
      <c r="R11" s="5"/>
      <c r="S11" s="5" t="s">
        <v>5</v>
      </c>
      <c r="T11" s="5"/>
    </row>
    <row r="12" spans="1:31" x14ac:dyDescent="0.35">
      <c r="A12" s="2">
        <v>45302</v>
      </c>
      <c r="B12" s="3">
        <v>2024</v>
      </c>
      <c r="C12" s="3" t="s">
        <v>56</v>
      </c>
      <c r="D12" s="3" t="s">
        <v>19</v>
      </c>
      <c r="E12" s="3" t="s">
        <v>57</v>
      </c>
      <c r="F12" s="3" t="s">
        <v>32</v>
      </c>
      <c r="G12" s="3" t="s">
        <v>33</v>
      </c>
      <c r="H12" s="4">
        <v>4500</v>
      </c>
      <c r="I12" s="4">
        <v>4</v>
      </c>
      <c r="J12" s="4">
        <f t="shared" si="0"/>
        <v>18000</v>
      </c>
      <c r="K12" s="4">
        <f t="shared" si="1"/>
        <v>1800</v>
      </c>
      <c r="L12" s="3" t="str">
        <f t="shared" si="2"/>
        <v>NO</v>
      </c>
      <c r="M12" s="3" t="str">
        <f t="shared" si="3"/>
        <v>False</v>
      </c>
      <c r="N12" s="3" t="str">
        <f t="shared" si="4"/>
        <v>No</v>
      </c>
      <c r="O12" s="3" t="str">
        <f t="shared" si="5"/>
        <v>no</v>
      </c>
      <c r="P12" s="3" t="str">
        <f t="shared" si="6"/>
        <v>False</v>
      </c>
      <c r="Q12" s="9" t="str">
        <f t="shared" si="7"/>
        <v>True</v>
      </c>
      <c r="R12" s="10" t="s">
        <v>104</v>
      </c>
      <c r="S12" s="5"/>
      <c r="T12" s="5" t="str">
        <f t="array" ref="T12:V12">VLOOKUP('Sales Data'!C9,'Sales Data'!C1:Q29,{2,4,7},0)</f>
        <v>West</v>
      </c>
      <c r="U12" s="5" t="str">
        <v>Art</v>
      </c>
      <c r="V12" s="5">
        <v>9</v>
      </c>
    </row>
    <row r="13" spans="1:31" x14ac:dyDescent="0.35">
      <c r="A13" s="2">
        <v>45303</v>
      </c>
      <c r="B13" s="3">
        <v>2024</v>
      </c>
      <c r="C13" s="3" t="s">
        <v>58</v>
      </c>
      <c r="D13" s="3" t="s">
        <v>25</v>
      </c>
      <c r="E13" s="3" t="s">
        <v>59</v>
      </c>
      <c r="F13" s="3" t="s">
        <v>36</v>
      </c>
      <c r="G13" s="3" t="s">
        <v>41</v>
      </c>
      <c r="H13" s="4">
        <v>1600</v>
      </c>
      <c r="I13" s="4">
        <v>5</v>
      </c>
      <c r="J13" s="4">
        <f t="shared" si="0"/>
        <v>8000</v>
      </c>
      <c r="K13" s="4">
        <f t="shared" si="1"/>
        <v>800</v>
      </c>
      <c r="L13" s="3" t="str">
        <f t="shared" si="2"/>
        <v>NO</v>
      </c>
      <c r="M13" s="3" t="str">
        <f t="shared" si="3"/>
        <v>False</v>
      </c>
      <c r="N13" s="3" t="str">
        <f t="shared" si="4"/>
        <v>No</v>
      </c>
      <c r="O13" s="3" t="str">
        <f t="shared" si="5"/>
        <v>no</v>
      </c>
      <c r="P13" s="3" t="str">
        <f t="shared" si="6"/>
        <v>False</v>
      </c>
      <c r="Q13" s="9" t="str">
        <f t="shared" si="7"/>
        <v>False</v>
      </c>
      <c r="R13" s="10" t="s">
        <v>105</v>
      </c>
      <c r="S13" s="5" t="s">
        <v>51</v>
      </c>
      <c r="T13" s="5" t="str">
        <f>VLOOKUP('Sales Data'!S13,'Sales Data'!C1:Q29,MATCH('Sales Data'!S14,'Sales Data'!C1:Q1,0),0)</f>
        <v xml:space="preserve"> keyboard</v>
      </c>
    </row>
    <row r="14" spans="1:31" x14ac:dyDescent="0.35">
      <c r="A14" s="2">
        <v>45304</v>
      </c>
      <c r="B14" s="3">
        <v>2024</v>
      </c>
      <c r="C14" s="3" t="s">
        <v>60</v>
      </c>
      <c r="D14" s="3" t="s">
        <v>30</v>
      </c>
      <c r="E14" s="3" t="s">
        <v>61</v>
      </c>
      <c r="F14" s="3" t="s">
        <v>32</v>
      </c>
      <c r="G14" s="3" t="s">
        <v>50</v>
      </c>
      <c r="H14" s="4">
        <v>3000</v>
      </c>
      <c r="I14" s="4">
        <v>6</v>
      </c>
      <c r="J14" s="4">
        <f t="shared" si="0"/>
        <v>18000</v>
      </c>
      <c r="K14" s="4">
        <f t="shared" si="1"/>
        <v>1800</v>
      </c>
      <c r="L14" s="3" t="str">
        <f t="shared" si="2"/>
        <v>NO</v>
      </c>
      <c r="M14" s="3" t="str">
        <f t="shared" si="3"/>
        <v>False</v>
      </c>
      <c r="N14" s="3" t="str">
        <f t="shared" si="4"/>
        <v>No</v>
      </c>
      <c r="O14" s="3" t="str">
        <f t="shared" si="5"/>
        <v>no</v>
      </c>
      <c r="P14" s="3" t="str">
        <f t="shared" si="6"/>
        <v>False</v>
      </c>
      <c r="Q14" s="9" t="str">
        <f t="shared" si="7"/>
        <v>False</v>
      </c>
      <c r="R14" s="5"/>
      <c r="S14" s="5" t="s">
        <v>6</v>
      </c>
      <c r="T14" s="5"/>
    </row>
    <row r="15" spans="1:31" x14ac:dyDescent="0.35">
      <c r="A15" s="2">
        <v>45305</v>
      </c>
      <c r="B15" s="3">
        <v>2024</v>
      </c>
      <c r="C15" s="3" t="s">
        <v>63</v>
      </c>
      <c r="D15" s="3" t="s">
        <v>19</v>
      </c>
      <c r="E15" s="3" t="s">
        <v>64</v>
      </c>
      <c r="F15" s="3" t="s">
        <v>21</v>
      </c>
      <c r="G15" s="3" t="s">
        <v>22</v>
      </c>
      <c r="H15" s="4">
        <v>210</v>
      </c>
      <c r="I15" s="4">
        <v>9</v>
      </c>
      <c r="J15" s="4">
        <f t="shared" si="0"/>
        <v>1890</v>
      </c>
      <c r="K15" s="4">
        <f t="shared" si="1"/>
        <v>189</v>
      </c>
      <c r="L15" s="3" t="str">
        <f t="shared" si="2"/>
        <v>NO</v>
      </c>
      <c r="M15" s="3" t="str">
        <f t="shared" si="3"/>
        <v>False</v>
      </c>
      <c r="N15" s="3" t="str">
        <f t="shared" si="4"/>
        <v>No</v>
      </c>
      <c r="O15" s="3" t="str">
        <f t="shared" si="5"/>
        <v>no</v>
      </c>
      <c r="P15" s="3" t="str">
        <f t="shared" si="6"/>
        <v>False</v>
      </c>
      <c r="Q15" s="9" t="str">
        <f t="shared" si="7"/>
        <v>False</v>
      </c>
      <c r="R15" s="10" t="s">
        <v>103</v>
      </c>
      <c r="S15" s="5"/>
      <c r="T15" s="5" t="str">
        <f>VLOOKUP('Sales Data'!$E$11,'Sales Data'!$E$1:$Q$29,COLUMNS('Sales Data'!$E$1:F1),0)</f>
        <v>Mobile</v>
      </c>
      <c r="U15" s="5" t="str">
        <f>VLOOKUP('Sales Data'!$E$11,'Sales Data'!$E$1:$Q$29,COLUMNS('Sales Data'!$E$1:G1),0)</f>
        <v>SSD256 GB</v>
      </c>
      <c r="V15" s="5">
        <f>VLOOKUP('Sales Data'!$E$11,'Sales Data'!$E$1:$Q$29,COLUMNS('Sales Data'!$E$1:H1),0)</f>
        <v>4000</v>
      </c>
      <c r="W15" s="5">
        <f>VLOOKUP('Sales Data'!$E$11,'Sales Data'!$E$1:$Q$29,COLUMNS('Sales Data'!$E$1:I1),0)</f>
        <v>7</v>
      </c>
      <c r="X15" s="5">
        <f>VLOOKUP('Sales Data'!$E$11,'Sales Data'!$E$1:$Q$29,COLUMNS('Sales Data'!$E$1:J1),0)</f>
        <v>28000</v>
      </c>
      <c r="Y15" s="5">
        <f>VLOOKUP('Sales Data'!$E$11,'Sales Data'!$E$1:$Q$29,COLUMNS('Sales Data'!$E$1:K1),0)</f>
        <v>2800</v>
      </c>
      <c r="Z15" s="5" t="str">
        <f>VLOOKUP('Sales Data'!$E$11,'Sales Data'!$E$1:$Q$29,COLUMNS('Sales Data'!$E$1:L1),0)</f>
        <v>NO</v>
      </c>
      <c r="AA15" s="5" t="str">
        <f>VLOOKUP('Sales Data'!$E$11,'Sales Data'!$E$1:$Q$29,COLUMNS('Sales Data'!$E$1:M1),0)</f>
        <v>False</v>
      </c>
      <c r="AB15" s="5" t="str">
        <f>VLOOKUP('Sales Data'!$E$11,'Sales Data'!$E$1:$Q$29,COLUMNS('Sales Data'!$E$1:N1),0)</f>
        <v>No</v>
      </c>
      <c r="AC15" s="5" t="str">
        <f>VLOOKUP('Sales Data'!$E$11,'Sales Data'!$E$1:$Q$29,COLUMNS('Sales Data'!$E$1:O1),0)</f>
        <v>no</v>
      </c>
      <c r="AD15" s="5" t="str">
        <f>VLOOKUP('Sales Data'!$E$11,'Sales Data'!$E$1:$Q$29,COLUMNS('Sales Data'!$E$1:P1),0)</f>
        <v>False</v>
      </c>
      <c r="AE15" s="5" t="str">
        <f>VLOOKUP('Sales Data'!$E$11,'Sales Data'!$E$1:$Q$29,COLUMNS('Sales Data'!$E$1:Q1),0)</f>
        <v>False</v>
      </c>
    </row>
    <row r="16" spans="1:31" x14ac:dyDescent="0.35">
      <c r="A16" s="2">
        <v>45306</v>
      </c>
      <c r="B16" s="3">
        <v>2024</v>
      </c>
      <c r="C16" s="3" t="s">
        <v>65</v>
      </c>
      <c r="D16" s="3" t="s">
        <v>25</v>
      </c>
      <c r="E16" s="3" t="s">
        <v>66</v>
      </c>
      <c r="F16" s="3" t="s">
        <v>27</v>
      </c>
      <c r="G16" s="3" t="s">
        <v>28</v>
      </c>
      <c r="H16" s="4">
        <v>4000</v>
      </c>
      <c r="I16" s="4">
        <v>8</v>
      </c>
      <c r="J16" s="4">
        <f t="shared" si="0"/>
        <v>32000</v>
      </c>
      <c r="K16" s="4">
        <f t="shared" si="1"/>
        <v>3200</v>
      </c>
      <c r="L16" s="3" t="str">
        <f t="shared" si="2"/>
        <v>NO</v>
      </c>
      <c r="M16" s="3" t="str">
        <f t="shared" si="3"/>
        <v>True</v>
      </c>
      <c r="N16" s="3" t="str">
        <f t="shared" si="4"/>
        <v>No</v>
      </c>
      <c r="O16" s="3" t="str">
        <f t="shared" si="5"/>
        <v>no</v>
      </c>
      <c r="P16" s="3" t="str">
        <f t="shared" si="6"/>
        <v>False</v>
      </c>
      <c r="Q16" s="9" t="str">
        <f t="shared" si="7"/>
        <v>False</v>
      </c>
      <c r="R16" s="5"/>
      <c r="S16" s="5"/>
      <c r="T16" s="5" t="str">
        <f>VLOOKUP('Sales Data'!E16,'Sales Data'!E1:Q29,3,0)</f>
        <v>Monitor</v>
      </c>
    </row>
    <row r="17" spans="1:33" x14ac:dyDescent="0.35">
      <c r="A17" s="2">
        <v>45307</v>
      </c>
      <c r="B17" s="3">
        <v>2024</v>
      </c>
      <c r="C17" s="3" t="s">
        <v>68</v>
      </c>
      <c r="D17" s="3" t="s">
        <v>44</v>
      </c>
      <c r="E17" s="3" t="s">
        <v>69</v>
      </c>
      <c r="F17" s="3" t="s">
        <v>32</v>
      </c>
      <c r="G17" s="3" t="s">
        <v>33</v>
      </c>
      <c r="H17" s="4">
        <v>3200</v>
      </c>
      <c r="I17" s="4">
        <v>7</v>
      </c>
      <c r="J17" s="4">
        <f t="shared" si="0"/>
        <v>22400</v>
      </c>
      <c r="K17" s="4">
        <f t="shared" si="1"/>
        <v>2240</v>
      </c>
      <c r="L17" s="3" t="str">
        <f t="shared" si="2"/>
        <v>NO</v>
      </c>
      <c r="M17" s="3" t="str">
        <f t="shared" si="3"/>
        <v>False</v>
      </c>
      <c r="N17" s="3" t="str">
        <f t="shared" si="4"/>
        <v>Yes</v>
      </c>
      <c r="O17" s="3" t="str">
        <f t="shared" si="5"/>
        <v>no</v>
      </c>
      <c r="P17" s="3" t="str">
        <f t="shared" si="6"/>
        <v>False</v>
      </c>
      <c r="Q17" s="9" t="str">
        <f t="shared" si="7"/>
        <v>False</v>
      </c>
      <c r="R17" s="10" t="s">
        <v>108</v>
      </c>
      <c r="S17" s="5"/>
      <c r="T17" s="5">
        <f>VLOOKUP('Sales Data'!D4,'Sales Data'!D1:Q29,6,0)</f>
        <v>6</v>
      </c>
    </row>
    <row r="18" spans="1:33" x14ac:dyDescent="0.35">
      <c r="A18" s="2">
        <v>45308</v>
      </c>
      <c r="B18" s="3">
        <v>2024</v>
      </c>
      <c r="C18" s="3" t="s">
        <v>70</v>
      </c>
      <c r="D18" s="3" t="s">
        <v>30</v>
      </c>
      <c r="E18" s="3" t="s">
        <v>71</v>
      </c>
      <c r="F18" s="3" t="s">
        <v>36</v>
      </c>
      <c r="G18" s="3" t="s">
        <v>37</v>
      </c>
      <c r="H18" s="4">
        <v>4000</v>
      </c>
      <c r="I18" s="4">
        <v>15</v>
      </c>
      <c r="J18" s="4">
        <f t="shared" si="0"/>
        <v>60000</v>
      </c>
      <c r="K18" s="4">
        <f t="shared" si="1"/>
        <v>6000</v>
      </c>
      <c r="L18" s="3" t="str">
        <f t="shared" si="2"/>
        <v>NO</v>
      </c>
      <c r="M18" s="3" t="str">
        <f t="shared" si="3"/>
        <v>True</v>
      </c>
      <c r="N18" s="3" t="str">
        <f t="shared" si="4"/>
        <v>No</v>
      </c>
      <c r="O18" s="3" t="str">
        <f t="shared" si="5"/>
        <v>no</v>
      </c>
      <c r="P18" s="3" t="str">
        <f t="shared" si="6"/>
        <v>False</v>
      </c>
      <c r="Q18" s="9" t="str">
        <f t="shared" si="7"/>
        <v>False</v>
      </c>
      <c r="R18" s="10" t="s">
        <v>109</v>
      </c>
      <c r="S18" s="5"/>
      <c r="T18" s="5" t="str">
        <f t="array" ref="T18:V18">VLOOKUP('Sales Data'!E20,CHOOSE({1,2,3,4},'Sales Data'!E1:E29,'Sales Data'!C1:C29,'Sales Data'!G1:G29,'Sales Data'!B1:B29),{2,3,4},0)</f>
        <v>NN019</v>
      </c>
      <c r="U18" s="5" t="str">
        <v>Mouse</v>
      </c>
      <c r="V18" s="5">
        <v>2024</v>
      </c>
    </row>
    <row r="19" spans="1:33" x14ac:dyDescent="0.35">
      <c r="A19" s="2">
        <v>45309</v>
      </c>
      <c r="B19" s="3">
        <v>2024</v>
      </c>
      <c r="C19" s="3" t="s">
        <v>72</v>
      </c>
      <c r="D19" s="3" t="s">
        <v>25</v>
      </c>
      <c r="E19" s="3" t="s">
        <v>73</v>
      </c>
      <c r="F19" s="3" t="s">
        <v>40</v>
      </c>
      <c r="G19" s="3" t="s">
        <v>41</v>
      </c>
      <c r="H19" s="4">
        <v>1500</v>
      </c>
      <c r="I19" s="4">
        <v>4</v>
      </c>
      <c r="J19" s="4">
        <f t="shared" si="0"/>
        <v>6000</v>
      </c>
      <c r="K19" s="4">
        <f t="shared" si="1"/>
        <v>600</v>
      </c>
      <c r="L19" s="3" t="str">
        <f t="shared" si="2"/>
        <v>NO</v>
      </c>
      <c r="M19" s="3" t="str">
        <f t="shared" si="3"/>
        <v>False</v>
      </c>
      <c r="N19" s="3" t="str">
        <f t="shared" si="4"/>
        <v>No</v>
      </c>
      <c r="O19" s="3" t="str">
        <f t="shared" si="5"/>
        <v>no</v>
      </c>
      <c r="P19" s="3" t="str">
        <f t="shared" si="6"/>
        <v>False</v>
      </c>
      <c r="Q19" s="9" t="str">
        <f t="shared" si="7"/>
        <v>False</v>
      </c>
      <c r="R19" s="5"/>
      <c r="S19" s="5"/>
      <c r="T19" s="5"/>
    </row>
    <row r="20" spans="1:33" x14ac:dyDescent="0.35">
      <c r="A20" s="2">
        <v>45310</v>
      </c>
      <c r="B20" s="3">
        <v>2024</v>
      </c>
      <c r="C20" s="3" t="s">
        <v>74</v>
      </c>
      <c r="D20" s="3" t="s">
        <v>19</v>
      </c>
      <c r="E20" s="3" t="s">
        <v>75</v>
      </c>
      <c r="F20" s="3" t="s">
        <v>21</v>
      </c>
      <c r="G20" s="3" t="s">
        <v>22</v>
      </c>
      <c r="H20" s="4">
        <v>300</v>
      </c>
      <c r="I20" s="4">
        <v>12</v>
      </c>
      <c r="J20" s="4">
        <f t="shared" si="0"/>
        <v>3600</v>
      </c>
      <c r="K20" s="4">
        <f t="shared" si="1"/>
        <v>360</v>
      </c>
      <c r="L20" s="3" t="str">
        <f t="shared" si="2"/>
        <v>YES</v>
      </c>
      <c r="M20" s="3" t="str">
        <f t="shared" si="3"/>
        <v>False</v>
      </c>
      <c r="N20" s="3" t="str">
        <f t="shared" si="4"/>
        <v>No</v>
      </c>
      <c r="O20" s="3" t="str">
        <f t="shared" si="5"/>
        <v>no</v>
      </c>
      <c r="P20" s="3" t="str">
        <f t="shared" si="6"/>
        <v>False</v>
      </c>
      <c r="Q20" s="9" t="str">
        <f t="shared" si="7"/>
        <v>False</v>
      </c>
      <c r="R20" s="10" t="s">
        <v>17</v>
      </c>
      <c r="S20" s="5" t="s">
        <v>42</v>
      </c>
      <c r="T20" s="5" t="str">
        <f t="array" ref="T20:AG20">VLOOKUP(S20,'Sales Data'!C1:Q29,{1,2,3,4,5,6,7,8,9,10,11,12,13,14},0)</f>
        <v>NN010</v>
      </c>
      <c r="U20" s="7" t="str">
        <v>East</v>
      </c>
      <c r="V20" s="5" t="str">
        <v>Name10</v>
      </c>
      <c r="W20" s="5" t="str">
        <v>Mobile</v>
      </c>
      <c r="X20" s="5" t="str">
        <v>SSD256 GB</v>
      </c>
      <c r="Y20" s="5">
        <v>4000</v>
      </c>
      <c r="Z20" s="5">
        <v>7</v>
      </c>
      <c r="AA20" s="5">
        <v>28000</v>
      </c>
      <c r="AB20" s="5">
        <v>2800</v>
      </c>
      <c r="AC20" s="5" t="str">
        <v>NO</v>
      </c>
      <c r="AD20" s="5" t="str">
        <v>False</v>
      </c>
      <c r="AE20" s="5" t="str">
        <v>No</v>
      </c>
      <c r="AF20" s="5" t="str">
        <v>no</v>
      </c>
      <c r="AG20" s="5" t="str">
        <v>False</v>
      </c>
    </row>
    <row r="21" spans="1:33" x14ac:dyDescent="0.35">
      <c r="A21" s="2">
        <v>45311</v>
      </c>
      <c r="B21" s="3">
        <v>2024</v>
      </c>
      <c r="C21" s="3" t="s">
        <v>76</v>
      </c>
      <c r="D21" s="3" t="s">
        <v>19</v>
      </c>
      <c r="E21" s="3" t="s">
        <v>23</v>
      </c>
      <c r="F21" s="3" t="s">
        <v>21</v>
      </c>
      <c r="G21" s="3" t="s">
        <v>33</v>
      </c>
      <c r="H21" s="4">
        <v>4500</v>
      </c>
      <c r="I21" s="4">
        <v>18</v>
      </c>
      <c r="J21" s="4">
        <f t="shared" si="0"/>
        <v>81000</v>
      </c>
      <c r="K21" s="4">
        <f t="shared" si="1"/>
        <v>8100</v>
      </c>
      <c r="L21" s="3" t="str">
        <f t="shared" si="2"/>
        <v>YES</v>
      </c>
      <c r="M21" s="3" t="str">
        <f t="shared" si="3"/>
        <v>True</v>
      </c>
      <c r="N21" s="3" t="str">
        <f t="shared" si="4"/>
        <v>No</v>
      </c>
      <c r="O21" s="3" t="str">
        <f t="shared" si="5"/>
        <v>no</v>
      </c>
      <c r="P21" s="3" t="str">
        <f t="shared" si="6"/>
        <v>False</v>
      </c>
      <c r="Q21" s="9" t="str">
        <f t="shared" si="7"/>
        <v>True</v>
      </c>
      <c r="R21" s="10"/>
      <c r="S21" s="5"/>
      <c r="T21" s="5"/>
    </row>
    <row r="22" spans="1:33" x14ac:dyDescent="0.35">
      <c r="A22" s="2">
        <v>45312</v>
      </c>
      <c r="B22" s="3">
        <v>2024</v>
      </c>
      <c r="C22" s="3" t="s">
        <v>77</v>
      </c>
      <c r="D22" s="3" t="s">
        <v>19</v>
      </c>
      <c r="E22" s="3" t="s">
        <v>78</v>
      </c>
      <c r="F22" s="3" t="s">
        <v>32</v>
      </c>
      <c r="G22" s="3" t="s">
        <v>50</v>
      </c>
      <c r="H22" s="4">
        <v>2600</v>
      </c>
      <c r="I22" s="4">
        <v>49</v>
      </c>
      <c r="J22" s="4">
        <f t="shared" si="0"/>
        <v>127400</v>
      </c>
      <c r="K22" s="4">
        <f t="shared" si="1"/>
        <v>12740</v>
      </c>
      <c r="L22" s="3" t="str">
        <f t="shared" si="2"/>
        <v>YES</v>
      </c>
      <c r="M22" s="3" t="str">
        <f t="shared" si="3"/>
        <v>True</v>
      </c>
      <c r="N22" s="3" t="str">
        <f t="shared" si="4"/>
        <v>No</v>
      </c>
      <c r="O22" s="3" t="str">
        <f t="shared" si="5"/>
        <v>no</v>
      </c>
      <c r="P22" s="3" t="str">
        <f t="shared" si="6"/>
        <v>False</v>
      </c>
      <c r="Q22" s="9" t="str">
        <f t="shared" si="7"/>
        <v>False</v>
      </c>
      <c r="R22" s="10" t="s">
        <v>111</v>
      </c>
      <c r="S22" s="5" t="s">
        <v>5</v>
      </c>
      <c r="T22" s="5">
        <f>DSUM('Sales Data'!A1:Q29,'Sales Data'!I1,S22:S23)</f>
        <v>122</v>
      </c>
    </row>
    <row r="23" spans="1:33" x14ac:dyDescent="0.35">
      <c r="A23" s="2">
        <v>45313</v>
      </c>
      <c r="B23" s="3">
        <v>2024</v>
      </c>
      <c r="C23" s="3" t="s">
        <v>80</v>
      </c>
      <c r="D23" s="3" t="s">
        <v>25</v>
      </c>
      <c r="E23" s="3" t="s">
        <v>81</v>
      </c>
      <c r="F23" s="3" t="s">
        <v>21</v>
      </c>
      <c r="G23" s="3" t="s">
        <v>53</v>
      </c>
      <c r="H23" s="4">
        <v>600</v>
      </c>
      <c r="I23" s="4">
        <v>6</v>
      </c>
      <c r="J23" s="4">
        <f t="shared" si="0"/>
        <v>3600</v>
      </c>
      <c r="K23" s="4">
        <f t="shared" si="1"/>
        <v>360</v>
      </c>
      <c r="L23" s="3" t="str">
        <f t="shared" si="2"/>
        <v>NO</v>
      </c>
      <c r="M23" s="3" t="str">
        <f t="shared" si="3"/>
        <v>False</v>
      </c>
      <c r="N23" s="3" t="str">
        <f t="shared" si="4"/>
        <v>No</v>
      </c>
      <c r="O23" s="3" t="str">
        <f t="shared" si="5"/>
        <v>no</v>
      </c>
      <c r="P23" s="3" t="str">
        <f t="shared" si="6"/>
        <v>False</v>
      </c>
      <c r="Q23" s="9" t="str">
        <f t="shared" si="7"/>
        <v>False</v>
      </c>
      <c r="R23" s="10"/>
      <c r="S23" s="5" t="s">
        <v>32</v>
      </c>
      <c r="T23" s="5"/>
    </row>
    <row r="24" spans="1:33" x14ac:dyDescent="0.35">
      <c r="A24" s="2">
        <v>45314</v>
      </c>
      <c r="B24" s="3">
        <v>2024</v>
      </c>
      <c r="C24" s="3" t="s">
        <v>82</v>
      </c>
      <c r="D24" s="3" t="s">
        <v>30</v>
      </c>
      <c r="E24" s="3" t="s">
        <v>83</v>
      </c>
      <c r="F24" s="3" t="s">
        <v>40</v>
      </c>
      <c r="G24" s="3" t="s">
        <v>37</v>
      </c>
      <c r="H24" s="4">
        <v>4000</v>
      </c>
      <c r="I24" s="4">
        <v>8</v>
      </c>
      <c r="J24" s="4">
        <f t="shared" si="0"/>
        <v>32000</v>
      </c>
      <c r="K24" s="4">
        <f t="shared" si="1"/>
        <v>3200</v>
      </c>
      <c r="L24" s="3" t="str">
        <f t="shared" si="2"/>
        <v>NO</v>
      </c>
      <c r="M24" s="3" t="str">
        <f t="shared" si="3"/>
        <v>True</v>
      </c>
      <c r="N24" s="3" t="str">
        <f t="shared" si="4"/>
        <v>No</v>
      </c>
      <c r="O24" s="3" t="str">
        <f t="shared" si="5"/>
        <v>no</v>
      </c>
      <c r="P24" s="3" t="str">
        <f t="shared" si="6"/>
        <v>False</v>
      </c>
      <c r="Q24" s="9" t="str">
        <f t="shared" si="7"/>
        <v>False</v>
      </c>
      <c r="R24" s="10"/>
      <c r="S24" s="5"/>
      <c r="T24" s="5"/>
    </row>
    <row r="25" spans="1:33" x14ac:dyDescent="0.35">
      <c r="A25" s="2">
        <v>45315</v>
      </c>
      <c r="B25" s="3">
        <v>2024</v>
      </c>
      <c r="C25" s="3" t="s">
        <v>85</v>
      </c>
      <c r="D25" s="3" t="s">
        <v>19</v>
      </c>
      <c r="E25" s="3" t="s">
        <v>86</v>
      </c>
      <c r="F25" s="3" t="s">
        <v>32</v>
      </c>
      <c r="G25" s="3" t="s">
        <v>33</v>
      </c>
      <c r="H25" s="4">
        <v>3200</v>
      </c>
      <c r="I25" s="4">
        <v>9</v>
      </c>
      <c r="J25" s="4">
        <f t="shared" si="0"/>
        <v>28800</v>
      </c>
      <c r="K25" s="4">
        <f t="shared" si="1"/>
        <v>2880</v>
      </c>
      <c r="L25" s="3" t="str">
        <f t="shared" si="2"/>
        <v>NO</v>
      </c>
      <c r="M25" s="3" t="str">
        <f t="shared" si="3"/>
        <v>False</v>
      </c>
      <c r="N25" s="3" t="str">
        <f t="shared" si="4"/>
        <v>No</v>
      </c>
      <c r="O25" s="3" t="str">
        <f t="shared" si="5"/>
        <v>no</v>
      </c>
      <c r="P25" s="3" t="str">
        <f t="shared" si="6"/>
        <v>False</v>
      </c>
      <c r="Q25" s="9" t="str">
        <f t="shared" si="7"/>
        <v>False</v>
      </c>
      <c r="R25" s="10" t="s">
        <v>112</v>
      </c>
      <c r="S25" s="12" t="s">
        <v>8</v>
      </c>
      <c r="T25" s="5">
        <f>SUMIF('Sales Data'!D2:D29,S26,'Sales Data'!I2:I29)</f>
        <v>165</v>
      </c>
    </row>
    <row r="26" spans="1:33" x14ac:dyDescent="0.35">
      <c r="A26" s="2">
        <v>45316</v>
      </c>
      <c r="B26" s="3">
        <v>2024</v>
      </c>
      <c r="C26" s="3" t="s">
        <v>87</v>
      </c>
      <c r="D26" s="3" t="s">
        <v>25</v>
      </c>
      <c r="E26" s="3" t="s">
        <v>88</v>
      </c>
      <c r="F26" s="3" t="s">
        <v>36</v>
      </c>
      <c r="G26" s="3" t="s">
        <v>41</v>
      </c>
      <c r="H26" s="4">
        <v>2500</v>
      </c>
      <c r="I26" s="4">
        <v>7</v>
      </c>
      <c r="J26" s="4">
        <f t="shared" si="0"/>
        <v>17500</v>
      </c>
      <c r="K26" s="4">
        <f t="shared" si="1"/>
        <v>1750</v>
      </c>
      <c r="L26" s="3" t="str">
        <f t="shared" si="2"/>
        <v>NO</v>
      </c>
      <c r="M26" s="3" t="str">
        <f t="shared" si="3"/>
        <v>False</v>
      </c>
      <c r="N26" s="3" t="str">
        <f t="shared" si="4"/>
        <v>No</v>
      </c>
      <c r="O26" s="3" t="str">
        <f t="shared" si="5"/>
        <v>no</v>
      </c>
      <c r="P26" s="3" t="str">
        <f t="shared" si="6"/>
        <v>False</v>
      </c>
      <c r="Q26" s="9" t="str">
        <f t="shared" si="7"/>
        <v>False</v>
      </c>
      <c r="R26" s="10"/>
      <c r="S26" s="5" t="s">
        <v>19</v>
      </c>
      <c r="T26" s="5"/>
    </row>
    <row r="27" spans="1:33" x14ac:dyDescent="0.35">
      <c r="A27" s="2">
        <v>45317</v>
      </c>
      <c r="B27" s="3">
        <v>2024</v>
      </c>
      <c r="C27" s="3" t="s">
        <v>89</v>
      </c>
      <c r="D27" s="3" t="s">
        <v>44</v>
      </c>
      <c r="E27" s="3" t="s">
        <v>90</v>
      </c>
      <c r="F27" s="3" t="s">
        <v>32</v>
      </c>
      <c r="G27" s="3" t="s">
        <v>50</v>
      </c>
      <c r="H27" s="4">
        <v>3000</v>
      </c>
      <c r="I27" s="4">
        <v>12</v>
      </c>
      <c r="J27" s="4">
        <f t="shared" si="0"/>
        <v>36000</v>
      </c>
      <c r="K27" s="4">
        <f t="shared" si="1"/>
        <v>3600</v>
      </c>
      <c r="L27" s="3" t="str">
        <f t="shared" si="2"/>
        <v>NO</v>
      </c>
      <c r="M27" s="3" t="str">
        <f t="shared" si="3"/>
        <v>True</v>
      </c>
      <c r="N27" s="3" t="str">
        <f t="shared" si="4"/>
        <v>No</v>
      </c>
      <c r="O27" s="3" t="str">
        <f t="shared" si="5"/>
        <v>no</v>
      </c>
      <c r="P27" s="3" t="str">
        <f t="shared" si="6"/>
        <v>False</v>
      </c>
      <c r="Q27" s="9" t="str">
        <f t="shared" si="7"/>
        <v>False</v>
      </c>
      <c r="R27" s="10"/>
      <c r="S27" s="5"/>
      <c r="T27" s="5"/>
    </row>
    <row r="28" spans="1:33" x14ac:dyDescent="0.35">
      <c r="A28" s="2">
        <v>45318</v>
      </c>
      <c r="B28" s="3">
        <v>2024</v>
      </c>
      <c r="C28" s="3" t="s">
        <v>91</v>
      </c>
      <c r="D28" s="3" t="s">
        <v>30</v>
      </c>
      <c r="E28" s="3" t="s">
        <v>92</v>
      </c>
      <c r="F28" s="3" t="s">
        <v>27</v>
      </c>
      <c r="G28" s="3" t="s">
        <v>28</v>
      </c>
      <c r="H28" s="4">
        <v>4500</v>
      </c>
      <c r="I28" s="4">
        <v>14</v>
      </c>
      <c r="J28" s="4">
        <f t="shared" si="0"/>
        <v>63000</v>
      </c>
      <c r="K28" s="4">
        <f t="shared" si="1"/>
        <v>6300</v>
      </c>
      <c r="L28" s="3" t="str">
        <f t="shared" si="2"/>
        <v>NO</v>
      </c>
      <c r="M28" s="3" t="str">
        <f t="shared" si="3"/>
        <v>True</v>
      </c>
      <c r="N28" s="3" t="str">
        <f t="shared" si="4"/>
        <v>No</v>
      </c>
      <c r="O28" s="3" t="str">
        <f t="shared" si="5"/>
        <v>no</v>
      </c>
      <c r="P28" s="3" t="str">
        <f t="shared" si="6"/>
        <v>False</v>
      </c>
      <c r="Q28" s="9" t="str">
        <f t="shared" si="7"/>
        <v>True</v>
      </c>
      <c r="R28" s="5" t="s">
        <v>113</v>
      </c>
      <c r="S28" s="5" t="s">
        <v>25</v>
      </c>
      <c r="T28" s="5">
        <f>SUMIFS('Sales Data'!I2:I29,'Sales Data'!D2:D29,S28,'Sales Data'!F2:F29,S29)</f>
        <v>29</v>
      </c>
    </row>
    <row r="29" spans="1:33" x14ac:dyDescent="0.35">
      <c r="A29" s="2">
        <v>45319</v>
      </c>
      <c r="B29" s="3">
        <v>2024</v>
      </c>
      <c r="C29" s="3" t="s">
        <v>93</v>
      </c>
      <c r="D29" s="3" t="s">
        <v>25</v>
      </c>
      <c r="E29" s="3" t="s">
        <v>94</v>
      </c>
      <c r="F29" s="3" t="s">
        <v>32</v>
      </c>
      <c r="G29" s="3" t="s">
        <v>33</v>
      </c>
      <c r="H29" s="4">
        <v>3200</v>
      </c>
      <c r="I29" s="4">
        <v>20</v>
      </c>
      <c r="J29" s="4">
        <f t="shared" si="0"/>
        <v>64000</v>
      </c>
      <c r="K29" s="4">
        <f t="shared" si="1"/>
        <v>6400</v>
      </c>
      <c r="L29" s="3" t="str">
        <f t="shared" si="2"/>
        <v>NO</v>
      </c>
      <c r="M29" s="3" t="str">
        <f t="shared" si="3"/>
        <v>True</v>
      </c>
      <c r="N29" s="3" t="str">
        <f t="shared" si="4"/>
        <v>No</v>
      </c>
      <c r="O29" s="3" t="str">
        <f t="shared" si="5"/>
        <v>yes</v>
      </c>
      <c r="P29" s="3" t="str">
        <f t="shared" si="6"/>
        <v>False</v>
      </c>
      <c r="Q29" s="9" t="str">
        <f t="shared" si="7"/>
        <v>False</v>
      </c>
      <c r="R29" s="5"/>
      <c r="S29" s="5" t="s">
        <v>32</v>
      </c>
      <c r="T29" s="5"/>
    </row>
    <row r="30" spans="1:33" x14ac:dyDescent="0.35">
      <c r="P30" s="6" t="s">
        <v>95</v>
      </c>
      <c r="Q30" s="11">
        <f>SUM('Sales Data'!J2:J29)</f>
        <v>780640</v>
      </c>
      <c r="R30" s="5"/>
      <c r="S30" s="5"/>
      <c r="T30" s="5"/>
    </row>
    <row r="31" spans="1:33" x14ac:dyDescent="0.35">
      <c r="P31" s="6" t="s">
        <v>97</v>
      </c>
      <c r="Q31" s="11">
        <f>MIN(H2:H30)</f>
        <v>210</v>
      </c>
      <c r="R31" s="5" t="s">
        <v>114</v>
      </c>
      <c r="S31" s="5" t="s">
        <v>66</v>
      </c>
      <c r="T31" s="5" cm="1">
        <f t="array" ref="T31">_xlfn.XLOOKUP(S31,'Sales Data'!E1:E29,_xlfn.XLOOKUP(S32,'Sales Data'!A1:Q1,'Sales Data'!A1:Q29))</f>
        <v>8</v>
      </c>
    </row>
    <row r="32" spans="1:33" x14ac:dyDescent="0.35">
      <c r="P32" s="6" t="s">
        <v>98</v>
      </c>
      <c r="Q32" s="11">
        <f>MAX(I2:I31)</f>
        <v>49</v>
      </c>
      <c r="R32" s="5"/>
      <c r="S32" s="5" t="s">
        <v>8</v>
      </c>
      <c r="T32" s="5"/>
    </row>
    <row r="33" spans="16:17" x14ac:dyDescent="0.35">
      <c r="P33" s="6" t="s">
        <v>99</v>
      </c>
      <c r="Q33" s="6">
        <f>AVERAGE('Sales Data'!K2:K29)</f>
        <v>2788</v>
      </c>
    </row>
    <row r="34" spans="16:17" x14ac:dyDescent="0.35">
      <c r="P34" s="6" t="s">
        <v>100</v>
      </c>
      <c r="Q34" s="8">
        <f>SUM(H2:H32)</f>
        <v>75320</v>
      </c>
    </row>
    <row r="35" spans="16:17" x14ac:dyDescent="0.35">
      <c r="P35" s="6" t="s">
        <v>101</v>
      </c>
      <c r="Q35" s="8">
        <f>MIN('Sales Data'!I2:I29)</f>
        <v>2</v>
      </c>
    </row>
    <row r="36" spans="16:17" x14ac:dyDescent="0.35">
      <c r="P36" s="6" t="s">
        <v>102</v>
      </c>
      <c r="Q36" s="8">
        <f>MAX('Sales Data'!J2:J29)</f>
        <v>127400</v>
      </c>
    </row>
    <row r="37" spans="16:17" x14ac:dyDescent="0.35">
      <c r="P37" s="6"/>
      <c r="Q3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 Kumar</dc:creator>
  <dc:description/>
  <cp:lastModifiedBy>Vishwas Sharma</cp:lastModifiedBy>
  <cp:revision>0</cp:revision>
  <dcterms:created xsi:type="dcterms:W3CDTF">2026-01-30T11:39:23Z</dcterms:created>
  <dcterms:modified xsi:type="dcterms:W3CDTF">2026-09-13T05:49:14Z</dcterms:modified>
  <dc:language>en-US</dc:language>
</cp:coreProperties>
</file>