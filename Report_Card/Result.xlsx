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WAS SHARMA\Documents\Xcel_portfolio\Report_Card\"/>
    </mc:Choice>
  </mc:AlternateContent>
  <xr:revisionPtr revIDLastSave="0" documentId="13_ncr:1_{B2483C75-971B-47C0-B6D9-F7DC4A06A79D}" xr6:coauthVersionLast="47" xr6:coauthVersionMax="47" xr10:uidLastSave="{00000000-0000-0000-0000-000000000000}"/>
  <bookViews>
    <workbookView xWindow="0" yWindow="10" windowWidth="19420" windowHeight="11020" activeTab="1" xr2:uid="{05FF70D9-F110-4AC7-B864-5F51B176B318}"/>
  </bookViews>
  <sheets>
    <sheet name="Sheet1" sheetId="1" r:id="rId1"/>
    <sheet name="Sheet2" sheetId="2" r:id="rId2"/>
  </sheets>
  <definedNames>
    <definedName name="StudentPhoto">INDEX(Sheet1!$C$5:$C$14,MATCH(Sheet2!$C$6,Sheet1!$B$5:$B$14,0))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2" l="1"/>
  <c r="C31" i="2"/>
  <c r="C12" i="2"/>
  <c r="F23" i="2"/>
  <c r="C9" i="2" l="1"/>
  <c r="C11" i="2"/>
  <c r="D18" i="2"/>
  <c r="F18" i="2" s="1"/>
  <c r="D17" i="2"/>
  <c r="F17" i="2" s="1"/>
  <c r="D16" i="2"/>
  <c r="F16" i="2" s="1"/>
  <c r="D21" i="2"/>
  <c r="F21" i="2" s="1"/>
  <c r="D20" i="2"/>
  <c r="F20" i="2" s="1"/>
  <c r="C8" i="2"/>
  <c r="D19" i="2"/>
  <c r="F19" i="2" s="1"/>
  <c r="C24" i="2" l="1"/>
  <c r="F24" i="2"/>
  <c r="F25" i="2"/>
  <c r="C25" i="2" s="1" a="1"/>
  <c r="C25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<sst xmlns="http://schemas.openxmlformats.org/spreadsheetml/2006/main" count="75" uniqueCount="62">
  <si>
    <t>Roll No.</t>
  </si>
  <si>
    <t>Serial No.</t>
  </si>
  <si>
    <t>Name</t>
  </si>
  <si>
    <t>Father Name</t>
  </si>
  <si>
    <t>Mother Name</t>
  </si>
  <si>
    <t>Date of Birth</t>
  </si>
  <si>
    <t>Hindi</t>
  </si>
  <si>
    <t>English</t>
  </si>
  <si>
    <t>Maths</t>
  </si>
  <si>
    <t>Vishwas Sharma</t>
  </si>
  <si>
    <t>Vedik Sharma</t>
  </si>
  <si>
    <t>Divyansh Sharma</t>
  </si>
  <si>
    <t>Jatin Tiwari</t>
  </si>
  <si>
    <t>Ajay Singh</t>
  </si>
  <si>
    <t>Abhijit gupta</t>
  </si>
  <si>
    <t>Sonu Saxena</t>
  </si>
  <si>
    <t>Shubham Rajput</t>
  </si>
  <si>
    <t>Vinay Dubey</t>
  </si>
  <si>
    <t>Sunanda Sharma</t>
  </si>
  <si>
    <t>Anita Rajput</t>
  </si>
  <si>
    <t>Maya Sharma</t>
  </si>
  <si>
    <t>Jaya Tiwari</t>
  </si>
  <si>
    <t>Sakshi Gupta</t>
  </si>
  <si>
    <t>Manasvi Saxena</t>
  </si>
  <si>
    <t>Yogesh Sharma</t>
  </si>
  <si>
    <t>Hemant Rajput</t>
  </si>
  <si>
    <t>Rajesh Sharma</t>
  </si>
  <si>
    <t>Mansi Singh</t>
  </si>
  <si>
    <t>Nisha Dubey</t>
  </si>
  <si>
    <t>Aryan Sisodiya</t>
  </si>
  <si>
    <t>Geeta Sisodiya</t>
  </si>
  <si>
    <t>Shivraj Sisodiya</t>
  </si>
  <si>
    <t>Hariom Tiwari</t>
  </si>
  <si>
    <t>Aaditya Singh</t>
  </si>
  <si>
    <t>Kamlesh Gupta</t>
  </si>
  <si>
    <t>Sanjeev Saxena</t>
  </si>
  <si>
    <t>Digraj Dubey</t>
  </si>
  <si>
    <t>Roll NO.</t>
  </si>
  <si>
    <t>Class</t>
  </si>
  <si>
    <t>Subject</t>
  </si>
  <si>
    <t>Total Marks</t>
  </si>
  <si>
    <t>Obtain Marks</t>
  </si>
  <si>
    <t>Passing Marks</t>
  </si>
  <si>
    <t>Status</t>
  </si>
  <si>
    <t>Social Studies</t>
  </si>
  <si>
    <t>Science</t>
  </si>
  <si>
    <t>IT</t>
  </si>
  <si>
    <t>Pass/Fail</t>
  </si>
  <si>
    <t>Profile Photo</t>
  </si>
  <si>
    <t>Grade</t>
  </si>
  <si>
    <t>Obtained Marks</t>
  </si>
  <si>
    <t>Percentage</t>
  </si>
  <si>
    <t>School</t>
  </si>
  <si>
    <t>PRAGATI CONVENT HIGHER SECONDARY SCHOOL</t>
  </si>
  <si>
    <t xml:space="preserve">                     CENTRAL BOARD OF SECONDARY EDUCATION</t>
  </si>
  <si>
    <t>DATE</t>
  </si>
  <si>
    <t>Controller of Examination</t>
  </si>
  <si>
    <t>Chanakya</t>
  </si>
  <si>
    <t xml:space="preserve">                                             DELHI,INDIA</t>
  </si>
  <si>
    <t>10th</t>
  </si>
  <si>
    <t>CLASS--10th (B)</t>
  </si>
  <si>
    <t xml:space="preserve">                       SECONDARY SCHOOL EXAMINATION,2026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</si>
</sst>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1"/>
      <name val="Arial Black"/>
      <family val="2"/>
    </font>
    <font>
      <sz val="18"/>
      <color theme="1"/>
      <name val="Arial Black"/>
      <family val="2"/>
    </font>
    <font>
      <sz val="14"/>
      <color theme="1"/>
      <name val="Arial Black"/>
      <family val="2"/>
    </font>
    <font>
      <b/>
      <sz val="14"/>
      <color theme="1"/>
      <name val="Arial Black"/>
      <family val="2"/>
    </font>
    <font>
      <sz val="24"/>
      <color theme="1"/>
      <name val="Britannic Bold"/>
      <family val="2"/>
    </font>
    <font>
      <b/>
      <sz val="16"/>
      <color theme="1"/>
      <name val="Calibri"/>
      <family val="2"/>
      <scheme val="minor"/>
    </font>
    <font>
      <sz val="22"/>
      <color theme="1"/>
      <name val="Britannic Bold"/>
      <family val="2"/>
    </font>
    <font>
      <sz val="24"/>
      <color theme="1"/>
      <name val="Algerian"/>
      <family val="5"/>
    </font>
    <font>
      <sz val="11"/>
      <color theme="1"/>
      <name val="Algerian"/>
      <family val="5"/>
    </font>
    <font>
      <sz val="20"/>
      <color theme="1"/>
      <name val="Algerian"/>
      <family val="5"/>
    </font>
    <font>
      <b/>
      <i/>
      <u/>
      <sz val="28"/>
      <color rgb="FFFF0000"/>
      <name val="Edwardian Script ITC"/>
      <family val="4"/>
    </font>
    <font>
      <sz val="3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EDB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mediumGray">
        <bgColor theme="7" tint="0.39997558519241921"/>
      </patternFill>
    </fill>
  </fills>
  <borders count="4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double">
        <color indexed="64"/>
      </top>
      <bottom/>
      <diagonal/>
    </border>
    <border>
      <left style="thick">
        <color indexed="64"/>
      </left>
      <right/>
      <top/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double">
        <color indexed="64"/>
      </bottom>
      <diagonal/>
    </border>
    <border>
      <left style="thick">
        <color indexed="64"/>
      </left>
      <right style="medium">
        <color indexed="64"/>
      </right>
      <top style="double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0" borderId="0" xfId="0" applyFont="1"/>
    <xf numFmtId="0" fontId="0" fillId="3" borderId="0" xfId="0" applyFill="1"/>
    <xf numFmtId="0" fontId="2" fillId="3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0" fillId="3" borderId="16" xfId="0" applyFill="1" applyBorder="1" applyAlignment="1">
      <alignment horizontal="left"/>
    </xf>
    <xf numFmtId="0" fontId="5" fillId="3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2" fillId="3" borderId="16" xfId="0" applyFont="1" applyFill="1" applyBorder="1" applyAlignment="1">
      <alignment horizontal="left"/>
    </xf>
    <xf numFmtId="0" fontId="0" fillId="2" borderId="33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0" xfId="0" applyFill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10" fillId="4" borderId="3" xfId="0" applyFont="1" applyFill="1" applyBorder="1"/>
    <xf numFmtId="0" fontId="11" fillId="4" borderId="3" xfId="0" applyFont="1" applyFill="1" applyBorder="1"/>
    <xf numFmtId="0" fontId="11" fillId="4" borderId="0" xfId="0" applyFont="1" applyFill="1"/>
    <xf numFmtId="0" fontId="12" fillId="4" borderId="0" xfId="0" applyFont="1" applyFill="1"/>
    <xf numFmtId="0" fontId="1" fillId="3" borderId="13" xfId="0" applyFont="1" applyFill="1" applyBorder="1"/>
    <xf numFmtId="0" fontId="1" fillId="0" borderId="13" xfId="0" applyFont="1" applyBorder="1"/>
    <xf numFmtId="164" fontId="1" fillId="0" borderId="13" xfId="0" applyNumberFormat="1" applyFont="1" applyBorder="1"/>
    <xf numFmtId="0" fontId="0" fillId="2" borderId="13" xfId="0" applyFill="1" applyBorder="1"/>
    <xf numFmtId="0" fontId="0" fillId="0" borderId="13" xfId="0" applyBorder="1"/>
    <xf numFmtId="0" fontId="5" fillId="5" borderId="16" xfId="0" applyFont="1" applyFill="1" applyBorder="1" applyAlignment="1">
      <alignment horizontal="left"/>
    </xf>
    <xf numFmtId="0" fontId="5" fillId="5" borderId="0" xfId="0" applyFont="1" applyFill="1" applyAlignment="1">
      <alignment horizontal="left"/>
    </xf>
    <xf numFmtId="0" fontId="0" fillId="5" borderId="12" xfId="0" applyFill="1" applyBorder="1"/>
    <xf numFmtId="0" fontId="0" fillId="5" borderId="0" xfId="0" applyFill="1"/>
    <xf numFmtId="0" fontId="5" fillId="5" borderId="20" xfId="0" applyFont="1" applyFill="1" applyBorder="1" applyAlignment="1">
      <alignment horizontal="left"/>
    </xf>
    <xf numFmtId="0" fontId="5" fillId="5" borderId="22" xfId="0" applyFont="1" applyFill="1" applyBorder="1" applyAlignment="1">
      <alignment horizontal="left"/>
    </xf>
    <xf numFmtId="164" fontId="5" fillId="5" borderId="22" xfId="0" applyNumberFormat="1" applyFont="1" applyFill="1" applyBorder="1" applyAlignment="1">
      <alignment horizontal="left"/>
    </xf>
    <xf numFmtId="0" fontId="5" fillId="5" borderId="24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/>
    </xf>
    <xf numFmtId="0" fontId="5" fillId="5" borderId="31" xfId="0" applyFont="1" applyFill="1" applyBorder="1" applyAlignment="1">
      <alignment horizontal="left"/>
    </xf>
    <xf numFmtId="0" fontId="5" fillId="5" borderId="26" xfId="0" applyFont="1" applyFill="1" applyBorder="1" applyAlignment="1">
      <alignment horizontal="left"/>
    </xf>
    <xf numFmtId="0" fontId="5" fillId="5" borderId="32" xfId="0" applyFont="1" applyFill="1" applyBorder="1" applyAlignment="1">
      <alignment horizontal="left"/>
    </xf>
    <xf numFmtId="0" fontId="5" fillId="5" borderId="11" xfId="0" applyFont="1" applyFill="1" applyBorder="1" applyAlignment="1">
      <alignment horizontal="left"/>
    </xf>
    <xf numFmtId="0" fontId="5" fillId="5" borderId="12" xfId="0" applyFont="1" applyFill="1" applyBorder="1" applyAlignment="1">
      <alignment horizontal="left"/>
    </xf>
    <xf numFmtId="0" fontId="5" fillId="5" borderId="30" xfId="0" applyFont="1" applyFill="1" applyBorder="1" applyAlignment="1">
      <alignment horizontal="left"/>
    </xf>
    <xf numFmtId="0" fontId="5" fillId="5" borderId="27" xfId="0" applyFont="1" applyFill="1" applyBorder="1" applyAlignment="1">
      <alignment horizontal="left"/>
    </xf>
    <xf numFmtId="0" fontId="5" fillId="5" borderId="34" xfId="0" applyFont="1" applyFill="1" applyBorder="1" applyAlignment="1">
      <alignment horizontal="left"/>
    </xf>
    <xf numFmtId="9" fontId="5" fillId="5" borderId="36" xfId="0" applyNumberFormat="1" applyFont="1" applyFill="1" applyBorder="1" applyAlignment="1">
      <alignment horizontal="left"/>
    </xf>
    <xf numFmtId="0" fontId="0" fillId="5" borderId="16" xfId="0" applyFill="1" applyBorder="1"/>
    <xf numFmtId="0" fontId="0" fillId="5" borderId="10" xfId="0" applyFill="1" applyBorder="1"/>
    <xf numFmtId="14" fontId="0" fillId="5" borderId="16" xfId="0" applyNumberFormat="1" applyFill="1" applyBorder="1"/>
    <xf numFmtId="0" fontId="8" fillId="5" borderId="16" xfId="0" applyFont="1" applyFill="1" applyBorder="1"/>
    <xf numFmtId="0" fontId="8" fillId="5" borderId="0" xfId="0" applyFont="1" applyFill="1"/>
    <xf numFmtId="0" fontId="13" fillId="5" borderId="0" xfId="0" applyFont="1" applyFill="1" applyAlignment="1">
      <alignment textRotation="22"/>
    </xf>
    <xf numFmtId="0" fontId="1" fillId="5" borderId="10" xfId="0" applyFont="1" applyFill="1" applyBorder="1"/>
    <xf numFmtId="0" fontId="1" fillId="5" borderId="17" xfId="0" applyFont="1" applyFill="1" applyBorder="1"/>
    <xf numFmtId="0" fontId="8" fillId="5" borderId="17" xfId="0" applyFont="1" applyFill="1" applyBorder="1"/>
    <xf numFmtId="0" fontId="1" fillId="5" borderId="18" xfId="0" applyFont="1" applyFill="1" applyBorder="1"/>
    <xf numFmtId="0" fontId="6" fillId="6" borderId="19" xfId="0" applyFont="1" applyFill="1" applyBorder="1" applyAlignment="1">
      <alignment horizontal="left"/>
    </xf>
    <xf numFmtId="0" fontId="6" fillId="6" borderId="21" xfId="0" applyFont="1" applyFill="1" applyBorder="1" applyAlignment="1">
      <alignment horizontal="left"/>
    </xf>
    <xf numFmtId="0" fontId="6" fillId="6" borderId="23" xfId="0" applyFont="1" applyFill="1" applyBorder="1" applyAlignment="1">
      <alignment horizontal="left"/>
    </xf>
    <xf numFmtId="0" fontId="6" fillId="6" borderId="25" xfId="0" applyFont="1" applyFill="1" applyBorder="1" applyAlignment="1">
      <alignment horizontal="left"/>
    </xf>
    <xf numFmtId="0" fontId="6" fillId="6" borderId="30" xfId="0" applyFont="1" applyFill="1" applyBorder="1" applyAlignment="1">
      <alignment horizontal="left"/>
    </xf>
    <xf numFmtId="0" fontId="6" fillId="6" borderId="28" xfId="0" applyFont="1" applyFill="1" applyBorder="1" applyAlignment="1">
      <alignment horizontal="left"/>
    </xf>
    <xf numFmtId="0" fontId="6" fillId="6" borderId="29" xfId="0" applyFont="1" applyFill="1" applyBorder="1" applyAlignment="1">
      <alignment horizontal="left"/>
    </xf>
    <xf numFmtId="0" fontId="6" fillId="6" borderId="35" xfId="0" applyFont="1" applyFill="1" applyBorder="1" applyAlignment="1">
      <alignment horizontal="left"/>
    </xf>
    <xf numFmtId="14" fontId="8" fillId="5" borderId="38" xfId="0" applyNumberFormat="1" applyFont="1" applyFill="1" applyBorder="1" applyAlignment="1">
      <alignment horizontal="left"/>
    </xf>
    <xf numFmtId="0" fontId="8" fillId="6" borderId="37" xfId="0" applyFont="1" applyFill="1" applyBorder="1"/>
    <xf numFmtId="0" fontId="5" fillId="7" borderId="14" xfId="0" applyFont="1" applyFill="1" applyBorder="1" applyAlignment="1">
      <alignment horizontal="left"/>
    </xf>
    <xf numFmtId="0" fontId="7" fillId="7" borderId="15" xfId="0" applyFont="1" applyFill="1" applyBorder="1" applyAlignment="1">
      <alignment horizontal="left"/>
    </xf>
    <xf numFmtId="0" fontId="5" fillId="7" borderId="15" xfId="0" applyFont="1" applyFill="1" applyBorder="1" applyAlignment="1">
      <alignment horizontal="left"/>
    </xf>
    <xf numFmtId="0" fontId="5" fillId="7" borderId="39" xfId="0" applyFont="1" applyFill="1" applyBorder="1" applyAlignment="1">
      <alignment horizontal="left"/>
    </xf>
    <xf numFmtId="0" fontId="5" fillId="7" borderId="16" xfId="0" applyFont="1" applyFill="1" applyBorder="1" applyAlignment="1">
      <alignment horizontal="left"/>
    </xf>
    <xf numFmtId="0" fontId="7" fillId="7" borderId="0" xfId="0" applyFont="1" applyFill="1" applyAlignment="1">
      <alignment horizontal="left"/>
    </xf>
    <xf numFmtId="0" fontId="5" fillId="7" borderId="0" xfId="0" applyFont="1" applyFill="1" applyAlignment="1">
      <alignment horizontal="left"/>
    </xf>
    <xf numFmtId="0" fontId="5" fillId="7" borderId="10" xfId="0" applyFont="1" applyFill="1" applyBorder="1" applyAlignment="1">
      <alignment horizontal="left"/>
    </xf>
    <xf numFmtId="0" fontId="5" fillId="7" borderId="40" xfId="0" applyFont="1" applyFill="1" applyBorder="1" applyAlignment="1">
      <alignment horizontal="left"/>
    </xf>
    <xf numFmtId="0" fontId="9" fillId="7" borderId="17" xfId="0" applyFont="1" applyFill="1" applyBorder="1" applyAlignment="1">
      <alignment horizontal="left"/>
    </xf>
    <xf numFmtId="0" fontId="5" fillId="7" borderId="17" xfId="0" applyFont="1" applyFill="1" applyBorder="1" applyAlignment="1">
      <alignment horizontal="left"/>
    </xf>
    <xf numFmtId="0" fontId="5" fillId="7" borderId="18" xfId="0" applyFont="1" applyFill="1" applyBorder="1" applyAlignment="1">
      <alignment horizontal="left"/>
    </xf>
    <xf numFmtId="0" fontId="15" fillId="0" borderId="0" xfId="0" applyFont="1"/>
    <xf numFmtId="0" fontId="14" fillId="0" borderId="0" xfId="0" applyFont="1" applyAlignment="1">
      <alignment horizontal="left"/>
    </xf>
    <xf numFmtId="0" fontId="0" fillId="0" borderId="0" xfId="0"/>
    <xf numFmtId="0" fontId="5" fillId="5" borderId="0" xfId="0" applyFont="1" applyFill="1" applyAlignment="1">
      <alignment horizontal="left"/>
    </xf>
  </cellXfs>
  <cellStyles count="1">
    <cellStyle name="Normal" xfId="0" builtinId="0"/>
  </cellStyles>
  <dxfs count="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E699"/>
      <color rgb="FFFFEDB3"/>
      <color rgb="FFE272EE"/>
      <color rgb="FFFFD966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2.png"/><Relationship Id="rId1" Type="http://schemas.openxmlformats.org/officeDocument/2006/relationships/image" Target="../media/image11.emf"/><Relationship Id="rId4" Type="http://schemas.openxmlformats.org/officeDocument/2006/relationships/image" Target="../media/image13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6350</xdr:colOff>
      <xdr:row>4</xdr:row>
      <xdr:rowOff>0</xdr:rowOff>
    </xdr:from>
    <xdr:to>
      <xdr:col>3</xdr:col>
      <xdr:colOff>0</xdr:colOff>
      <xdr:row>5</xdr:row>
      <xdr:rowOff>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931BDA9-9642-97F5-70BC-E3BE6D1AC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636" y="1169206"/>
          <a:ext cx="830237" cy="624921"/>
        </a:xfrm>
        <a:prstGeom prst="rect">
          <a:avLst/>
        </a:prstGeom>
      </xdr:spPr>
    </xdr:pic>
    <xdr:clientData/>
  </xdr:twoCellAnchor>
  <xdr:twoCellAnchor editAs="oneCell">
    <xdr:from>
      <xdr:col>2</xdr:col>
      <xdr:colOff>18594</xdr:colOff>
      <xdr:row>5</xdr:row>
      <xdr:rowOff>40318</xdr:rowOff>
    </xdr:from>
    <xdr:to>
      <xdr:col>3</xdr:col>
      <xdr:colOff>0</xdr:colOff>
      <xdr:row>6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66040EC-4CD2-4438-AD3D-22C494E84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7880" y="1834445"/>
          <a:ext cx="817993" cy="584603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0</xdr:colOff>
      <xdr:row>6</xdr:row>
      <xdr:rowOff>1</xdr:rowOff>
    </xdr:from>
    <xdr:to>
      <xdr:col>3</xdr:col>
      <xdr:colOff>0</xdr:colOff>
      <xdr:row>7</xdr:row>
      <xdr:rowOff>1017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83C8D43-538E-6CA4-5D79-06331CE70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9286" y="2419049"/>
          <a:ext cx="836587" cy="6249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3</xdr:col>
      <xdr:colOff>0</xdr:colOff>
      <xdr:row>8</xdr:row>
      <xdr:rowOff>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C35FD4D-BBAC-02FF-C16D-DCFBB6500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9286" y="3043968"/>
          <a:ext cx="836587" cy="6249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17F709D-BD7E-FD77-B917-EB1454C6C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9286" y="3668889"/>
          <a:ext cx="836587" cy="624921"/>
        </a:xfrm>
        <a:prstGeom prst="rect">
          <a:avLst/>
        </a:prstGeom>
        <a:noFill/>
        <a:ln w="6350"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1</xdr:rowOff>
    </xdr:from>
    <xdr:to>
      <xdr:col>3</xdr:col>
      <xdr:colOff>0</xdr:colOff>
      <xdr:row>10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FAA119-ABF9-A2F4-9AE7-0C2B04354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9286" y="4293811"/>
          <a:ext cx="836587" cy="624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3</xdr:col>
      <xdr:colOff>0</xdr:colOff>
      <xdr:row>11</xdr:row>
      <xdr:rowOff>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47BFEAF-6569-4C95-CADB-5BD520D1D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9286" y="4918730"/>
          <a:ext cx="836587" cy="6249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3</xdr:col>
      <xdr:colOff>0</xdr:colOff>
      <xdr:row>12</xdr:row>
      <xdr:rowOff>1016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1FEB9BF-10E9-EB9D-39DA-532947F9D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9286" y="5543651"/>
          <a:ext cx="836587" cy="624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3</xdr:col>
      <xdr:colOff>0</xdr:colOff>
      <xdr:row>13</xdr:row>
      <xdr:rowOff>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C7A1C44A-3BF5-6DC3-348D-DB52A93E7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9286" y="6168571"/>
          <a:ext cx="836587" cy="6249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8" name="Picture 17" descr="PASSPORT-SIZE-PHOTO-2 | FCRI IndiaFCRI India">
          <a:extLst>
            <a:ext uri="{FF2B5EF4-FFF2-40B4-BE49-F238E27FC236}">
              <a16:creationId xmlns:a16="http://schemas.microsoft.com/office/drawing/2014/main" id="{23A3BD38-9E05-EC31-0B88-3C23992BE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9286" y="6793492"/>
          <a:ext cx="836587" cy="6249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1169094</xdr:colOff>
          <xdr:row>5</xdr:row>
          <xdr:rowOff>44098</xdr:rowOff>
        </xdr:from>
        <xdr:to>
          <xdr:col>4</xdr:col>
          <xdr:colOff>1633673</xdr:colOff>
          <xdr:row>12</xdr:row>
          <xdr:rowOff>8820</xdr:rowOff>
        </xdr:to>
        <xdr:pic>
          <xdr:nvPicPr>
            <xdr:cNvPr id="15" name="Picture 14">
              <a:extLst>
                <a:ext uri="{FF2B5EF4-FFF2-40B4-BE49-F238E27FC236}">
                  <a16:creationId xmlns:a16="http://schemas.microsoft.com/office/drawing/2014/main" id="{435A7648-5756-6C7B-3BCD-7711FA8B3DA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tudentPhoto" spid="_x0000_s2156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 bwMode="auto">
            <a:xfrm>
              <a:off x="10491247" y="1737431"/>
              <a:ext cx="1864795" cy="1949097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2</xdr:col>
      <xdr:colOff>695476</xdr:colOff>
      <xdr:row>1</xdr:row>
      <xdr:rowOff>100795</xdr:rowOff>
    </xdr:from>
    <xdr:to>
      <xdr:col>2</xdr:col>
      <xdr:colOff>1904999</xdr:colOff>
      <xdr:row>3</xdr:row>
      <xdr:rowOff>151190</xdr:rowOff>
    </xdr:to>
    <xdr:pic>
      <xdr:nvPicPr>
        <xdr:cNvPr id="19" name="Picture 18" descr="CBSE Logo (Central Board of Secondary Education) - PNG Logo Vector Brand Downloads (SVG, EPS)">
          <a:extLst>
            <a:ext uri="{FF2B5EF4-FFF2-40B4-BE49-F238E27FC236}">
              <a16:creationId xmlns:a16="http://schemas.microsoft.com/office/drawing/2014/main" id="{704B4CAE-6DBB-428D-A026-3683BB3E1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EDB3">
              <a:alpha val="0"/>
              <a:tint val="45000"/>
              <a:satMod val="400000"/>
            </a:srgbClr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100000"/>
                  </a14:imgEffect>
                  <a14:imgEffect>
                    <a14:saturation sat="66000"/>
                  </a14:imgEffect>
                  <a14:imgEffect>
                    <a14:brightnessContrast bright="2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3968" y="403176"/>
          <a:ext cx="1209523" cy="846665"/>
        </a:xfrm>
        <a:prstGeom prst="rect">
          <a:avLst/>
        </a:prstGeom>
        <a:solidFill>
          <a:schemeClr val="accent1"/>
        </a:solidFill>
        <a:effectLst>
          <a:reflection stA="45000" endPos="65000" dist="1270000" dir="5400000" sy="-100000" algn="bl" rotWithShape="0"/>
        </a:effectLst>
      </xdr:spPr>
    </xdr:pic>
    <xdr:clientData/>
  </xdr:twoCellAnchor>
  <xdr:twoCellAnchor editAs="oneCell">
    <xdr:from>
      <xdr:col>2</xdr:col>
      <xdr:colOff>6886727</xdr:colOff>
      <xdr:row>28</xdr:row>
      <xdr:rowOff>92927</xdr:rowOff>
    </xdr:from>
    <xdr:to>
      <xdr:col>4</xdr:col>
      <xdr:colOff>71348</xdr:colOff>
      <xdr:row>30</xdr:row>
      <xdr:rowOff>52080</xdr:rowOff>
    </xdr:to>
    <xdr:pic>
      <xdr:nvPicPr>
        <xdr:cNvPr id="20" name="Picture 19" descr="Example Seal Stock Illustrations – 1,059 Example Seal Stock Illustrations,  Vectors &amp; Clipart - Dreamstime">
          <a:extLst>
            <a:ext uri="{FF2B5EF4-FFF2-40B4-BE49-F238E27FC236}">
              <a16:creationId xmlns:a16="http://schemas.microsoft.com/office/drawing/2014/main" id="{85B56FF2-791B-5935-4C87-6E697D936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duotone>
            <a:prstClr val="black"/>
            <a:srgbClr val="FFE699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2911" y="8055493"/>
          <a:ext cx="1539884" cy="1095469"/>
        </a:xfrm>
        <a:prstGeom prst="rect">
          <a:avLst/>
        </a:prstGeom>
        <a:solidFill>
          <a:srgbClr val="FF0000"/>
        </a:solidFill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1168400</xdr:colOff>
          <xdr:row>5</xdr:row>
          <xdr:rowOff>44450</xdr:rowOff>
        </xdr:from>
        <xdr:to>
          <xdr:col>4</xdr:col>
          <xdr:colOff>1638300</xdr:colOff>
          <xdr:row>12</xdr:row>
          <xdr:rowOff>6350</xdr:rowOff>
        </xdr:to>
        <xdr:pic>
          <xdr:nvPicPr>
            <xdr:cNvPr id="2097" name="Picture 14">
              <a:extLst>
                <a:ext uri="{FF2B5EF4-FFF2-40B4-BE49-F238E27FC236}">
                  <a16:creationId xmlns:a16="http://schemas.microsoft.com/office/drawing/2014/main" id="{300DF26C-7B35-51A3-D677-E9C270E5708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tudentPhoto" spid="_x0000_s215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0490200" y="1746250"/>
              <a:ext cx="1860550" cy="1968500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54F1-11A5-474A-A40E-7E6CB803B94D}">
  <dimension ref="A1:M15"/>
  <sheetViews>
    <sheetView showGridLines="0" topLeftCell="A9" zoomScale="96" workbookViewId="0">
      <selection activeCell="O7" sqref="O7"/>
    </sheetView>
  </sheetViews>
  <sheetFormatPr defaultColWidth="49.6328125" defaultRowHeight="14.5" x14ac:dyDescent="0.35"/>
  <cols>
    <col min="1" max="1" width="9.08984375" bestFit="1" customWidth="1"/>
    <col min="2" max="2" width="7.7265625" bestFit="1" customWidth="1"/>
    <col min="3" max="3" width="11.90625" bestFit="1" customWidth="1"/>
    <col min="4" max="4" width="16" bestFit="1" customWidth="1"/>
    <col min="5" max="5" width="14.54296875" bestFit="1" customWidth="1"/>
    <col min="6" max="6" width="15.81640625" bestFit="1" customWidth="1"/>
    <col min="7" max="7" width="17.7265625" bestFit="1" customWidth="1"/>
    <col min="8" max="8" width="5.1796875" bestFit="1" customWidth="1"/>
    <col min="9" max="9" width="6.7265625" bestFit="1" customWidth="1"/>
    <col min="10" max="10" width="6.26953125" bestFit="1" customWidth="1"/>
    <col min="11" max="11" width="12.26953125" bestFit="1" customWidth="1"/>
    <col min="12" max="12" width="7.26953125" bestFit="1" customWidth="1"/>
    <col min="13" max="13" width="3.08984375" bestFit="1" customWidth="1"/>
  </cols>
  <sheetData>
    <row r="1" spans="1:13" ht="34" x14ac:dyDescent="0.8">
      <c r="A1" s="11"/>
      <c r="B1" s="12"/>
      <c r="C1" s="12"/>
      <c r="D1" s="20" t="s">
        <v>53</v>
      </c>
      <c r="E1" s="20"/>
      <c r="F1" s="20"/>
      <c r="G1" s="21"/>
      <c r="H1" s="21"/>
      <c r="I1" s="21"/>
      <c r="J1" s="21"/>
      <c r="K1" s="12"/>
      <c r="L1" s="12"/>
      <c r="M1" s="13"/>
    </row>
    <row r="2" spans="1:13" ht="28" x14ac:dyDescent="0.65">
      <c r="A2" s="14"/>
      <c r="B2" s="15"/>
      <c r="C2" s="15"/>
      <c r="D2" s="22"/>
      <c r="E2" s="22"/>
      <c r="F2" s="23" t="s">
        <v>60</v>
      </c>
      <c r="G2" s="22"/>
      <c r="H2" s="22"/>
      <c r="I2" s="22"/>
      <c r="J2" s="22"/>
      <c r="K2" s="15"/>
      <c r="L2" s="15"/>
      <c r="M2" s="16"/>
    </row>
    <row r="3" spans="1:13" ht="15" thickBot="1" x14ac:dyDescent="0.4">
      <c r="A3" s="17"/>
      <c r="B3" s="18"/>
      <c r="C3" s="15"/>
      <c r="D3" s="18"/>
      <c r="E3" s="18"/>
      <c r="F3" s="18"/>
      <c r="G3" s="18"/>
      <c r="H3" s="18"/>
      <c r="I3" s="18"/>
      <c r="J3" s="18"/>
      <c r="K3" s="18"/>
      <c r="L3" s="18"/>
      <c r="M3" s="19"/>
    </row>
    <row r="4" spans="1:13" ht="15.5" thickTop="1" thickBot="1" x14ac:dyDescent="0.4">
      <c r="A4" s="10" t="s">
        <v>1</v>
      </c>
      <c r="B4" s="10" t="s">
        <v>0</v>
      </c>
      <c r="C4" s="27" t="s">
        <v>48</v>
      </c>
      <c r="D4" s="10" t="s">
        <v>2</v>
      </c>
      <c r="E4" s="10" t="s">
        <v>3</v>
      </c>
      <c r="F4" s="10" t="s">
        <v>4</v>
      </c>
      <c r="G4" s="10" t="s">
        <v>5</v>
      </c>
      <c r="H4" s="10" t="s">
        <v>6</v>
      </c>
      <c r="I4" s="10" t="s">
        <v>7</v>
      </c>
      <c r="J4" s="10" t="s">
        <v>8</v>
      </c>
      <c r="K4" s="10" t="s">
        <v>44</v>
      </c>
      <c r="L4" s="10" t="s">
        <v>45</v>
      </c>
      <c r="M4" s="10" t="s">
        <v>46</v>
      </c>
    </row>
    <row r="5" spans="1:13" ht="49" customHeight="1" thickTop="1" thickBot="1" x14ac:dyDescent="0.4">
      <c r="A5" s="24">
        <v>1</v>
      </c>
      <c r="B5" s="25">
        <v>101</v>
      </c>
      <c r="C5" s="28"/>
      <c r="D5" s="25" t="s">
        <v>9</v>
      </c>
      <c r="E5" s="25" t="s">
        <v>24</v>
      </c>
      <c r="F5" s="25" t="s">
        <v>18</v>
      </c>
      <c r="G5" s="26">
        <v>40772</v>
      </c>
      <c r="H5" s="25">
        <v>43</v>
      </c>
      <c r="I5" s="25">
        <v>46</v>
      </c>
      <c r="J5" s="25">
        <v>82</v>
      </c>
      <c r="K5" s="25">
        <v>93</v>
      </c>
      <c r="L5" s="25">
        <v>83</v>
      </c>
      <c r="M5" s="25">
        <v>40</v>
      </c>
    </row>
    <row r="6" spans="1:13" ht="49" customHeight="1" thickTop="1" thickBot="1" x14ac:dyDescent="0.4">
      <c r="A6" s="24">
        <v>2</v>
      </c>
      <c r="B6" s="25">
        <v>102</v>
      </c>
      <c r="C6" s="25"/>
      <c r="D6" s="25" t="s">
        <v>10</v>
      </c>
      <c r="E6" s="25" t="s">
        <v>24</v>
      </c>
      <c r="F6" s="25" t="s">
        <v>18</v>
      </c>
      <c r="G6" s="26">
        <v>40221</v>
      </c>
      <c r="H6" s="25">
        <v>39</v>
      </c>
      <c r="I6" s="25">
        <v>27</v>
      </c>
      <c r="J6" s="25">
        <v>27</v>
      </c>
      <c r="K6" s="25">
        <v>51</v>
      </c>
      <c r="L6" s="25">
        <v>86</v>
      </c>
      <c r="M6" s="25">
        <v>52</v>
      </c>
    </row>
    <row r="7" spans="1:13" ht="49" customHeight="1" thickTop="1" thickBot="1" x14ac:dyDescent="0.4">
      <c r="A7" s="24">
        <v>3</v>
      </c>
      <c r="B7" s="25">
        <v>103</v>
      </c>
      <c r="C7" s="28"/>
      <c r="D7" s="25" t="s">
        <v>16</v>
      </c>
      <c r="E7" s="25" t="s">
        <v>25</v>
      </c>
      <c r="F7" s="25" t="s">
        <v>19</v>
      </c>
      <c r="G7" s="26">
        <v>40825</v>
      </c>
      <c r="H7" s="25">
        <v>68</v>
      </c>
      <c r="I7" s="25">
        <v>27</v>
      </c>
      <c r="J7" s="25">
        <v>78</v>
      </c>
      <c r="K7" s="25">
        <v>72</v>
      </c>
      <c r="L7" s="25">
        <v>30</v>
      </c>
      <c r="M7" s="25">
        <v>97</v>
      </c>
    </row>
    <row r="8" spans="1:13" ht="49" customHeight="1" thickTop="1" thickBot="1" x14ac:dyDescent="0.4">
      <c r="A8" s="24">
        <v>4</v>
      </c>
      <c r="B8" s="25">
        <v>104</v>
      </c>
      <c r="C8" s="28"/>
      <c r="D8" s="25" t="s">
        <v>11</v>
      </c>
      <c r="E8" s="25" t="s">
        <v>26</v>
      </c>
      <c r="F8" s="25" t="s">
        <v>20</v>
      </c>
      <c r="G8" s="26">
        <v>40195</v>
      </c>
      <c r="H8" s="25">
        <v>62</v>
      </c>
      <c r="I8" s="25">
        <v>67</v>
      </c>
      <c r="J8" s="25">
        <v>90</v>
      </c>
      <c r="K8" s="25">
        <v>76</v>
      </c>
      <c r="L8" s="25">
        <v>79</v>
      </c>
      <c r="M8" s="25">
        <v>61</v>
      </c>
    </row>
    <row r="9" spans="1:13" ht="49" customHeight="1" thickTop="1" thickBot="1" x14ac:dyDescent="0.4">
      <c r="A9" s="24">
        <v>5</v>
      </c>
      <c r="B9" s="25">
        <v>105</v>
      </c>
      <c r="C9" s="28"/>
      <c r="D9" s="25" t="s">
        <v>29</v>
      </c>
      <c r="E9" s="25" t="s">
        <v>31</v>
      </c>
      <c r="F9" s="25" t="s">
        <v>30</v>
      </c>
      <c r="G9" s="26">
        <v>41273</v>
      </c>
      <c r="H9" s="25">
        <v>97</v>
      </c>
      <c r="I9" s="25">
        <v>64</v>
      </c>
      <c r="J9" s="25">
        <v>60</v>
      </c>
      <c r="K9" s="25">
        <v>36</v>
      </c>
      <c r="L9" s="25">
        <v>55</v>
      </c>
      <c r="M9" s="25">
        <v>24</v>
      </c>
    </row>
    <row r="10" spans="1:13" ht="49" customHeight="1" thickTop="1" thickBot="1" x14ac:dyDescent="0.4">
      <c r="A10" s="24">
        <v>6</v>
      </c>
      <c r="B10" s="25">
        <v>106</v>
      </c>
      <c r="C10" s="28"/>
      <c r="D10" s="25" t="s">
        <v>12</v>
      </c>
      <c r="E10" s="25" t="s">
        <v>32</v>
      </c>
      <c r="F10" s="25" t="s">
        <v>21</v>
      </c>
      <c r="G10" s="26">
        <v>40651</v>
      </c>
      <c r="H10" s="25">
        <v>12</v>
      </c>
      <c r="I10" s="25">
        <v>23</v>
      </c>
      <c r="J10" s="25">
        <v>25</v>
      </c>
      <c r="K10" s="25">
        <v>16</v>
      </c>
      <c r="L10" s="25">
        <v>18</v>
      </c>
      <c r="M10" s="25">
        <v>49</v>
      </c>
    </row>
    <row r="11" spans="1:13" ht="49" customHeight="1" thickTop="1" thickBot="1" x14ac:dyDescent="0.4">
      <c r="A11" s="24">
        <v>7</v>
      </c>
      <c r="B11" s="25">
        <v>107</v>
      </c>
      <c r="C11" s="28"/>
      <c r="D11" s="25" t="s">
        <v>13</v>
      </c>
      <c r="E11" s="25" t="s">
        <v>33</v>
      </c>
      <c r="F11" s="25" t="s">
        <v>27</v>
      </c>
      <c r="G11" s="26">
        <v>40614</v>
      </c>
      <c r="H11" s="25">
        <v>91</v>
      </c>
      <c r="I11" s="25">
        <v>75</v>
      </c>
      <c r="J11" s="25">
        <v>70</v>
      </c>
      <c r="K11" s="25">
        <v>27</v>
      </c>
      <c r="L11" s="25">
        <v>93</v>
      </c>
      <c r="M11" s="25">
        <v>24</v>
      </c>
    </row>
    <row r="12" spans="1:13" ht="49" customHeight="1" thickTop="1" thickBot="1" x14ac:dyDescent="0.4">
      <c r="A12" s="24">
        <v>8</v>
      </c>
      <c r="B12" s="25">
        <v>108</v>
      </c>
      <c r="C12" s="28"/>
      <c r="D12" s="25" t="s">
        <v>14</v>
      </c>
      <c r="E12" s="25" t="s">
        <v>34</v>
      </c>
      <c r="F12" s="25" t="s">
        <v>22</v>
      </c>
      <c r="G12" s="26">
        <v>40795</v>
      </c>
      <c r="H12" s="25">
        <v>31</v>
      </c>
      <c r="I12" s="25">
        <v>55</v>
      </c>
      <c r="J12" s="25">
        <v>72</v>
      </c>
      <c r="K12" s="25">
        <v>96</v>
      </c>
      <c r="L12" s="25">
        <v>23</v>
      </c>
      <c r="M12" s="25">
        <v>57</v>
      </c>
    </row>
    <row r="13" spans="1:13" ht="49" customHeight="1" thickTop="1" thickBot="1" x14ac:dyDescent="0.4">
      <c r="A13" s="24">
        <v>9</v>
      </c>
      <c r="B13" s="25">
        <v>109</v>
      </c>
      <c r="C13" s="28"/>
      <c r="D13" s="25" t="s">
        <v>15</v>
      </c>
      <c r="E13" s="25" t="s">
        <v>35</v>
      </c>
      <c r="F13" s="25" t="s">
        <v>23</v>
      </c>
      <c r="G13" s="26">
        <v>40258</v>
      </c>
      <c r="H13" s="25">
        <v>65</v>
      </c>
      <c r="I13" s="25">
        <v>71</v>
      </c>
      <c r="J13" s="25">
        <v>42</v>
      </c>
      <c r="K13" s="25">
        <v>27</v>
      </c>
      <c r="L13" s="25">
        <v>62</v>
      </c>
      <c r="M13" s="25">
        <v>46</v>
      </c>
    </row>
    <row r="14" spans="1:13" ht="49" customHeight="1" thickTop="1" thickBot="1" x14ac:dyDescent="0.4">
      <c r="A14" s="24">
        <v>10</v>
      </c>
      <c r="B14" s="25">
        <v>110</v>
      </c>
      <c r="C14" s="28"/>
      <c r="D14" s="25" t="s">
        <v>17</v>
      </c>
      <c r="E14" s="25" t="s">
        <v>36</v>
      </c>
      <c r="F14" s="25" t="s">
        <v>28</v>
      </c>
      <c r="G14" s="26">
        <v>40767</v>
      </c>
      <c r="H14" s="25">
        <v>71</v>
      </c>
      <c r="I14" s="25">
        <v>64</v>
      </c>
      <c r="J14" s="25">
        <v>69</v>
      </c>
      <c r="K14" s="25">
        <v>39</v>
      </c>
      <c r="L14" s="25">
        <v>60</v>
      </c>
      <c r="M14" s="25">
        <v>73</v>
      </c>
    </row>
    <row r="15" spans="1:13" ht="15" thickTop="1" x14ac:dyDescent="0.35"/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1E39B-7650-4573-9DC4-ECB2F14D80A5}">
  <sheetPr>
    <pageSetUpPr autoPageBreaks="0"/>
  </sheetPr>
  <dimension ref="B1:Q34"/>
  <sheetViews>
    <sheetView showGridLines="0" tabSelected="1" zoomScale="65" zoomScaleNormal="49" zoomScaleSheetLayoutView="40" zoomScalePageLayoutView="10" workbookViewId="0">
      <selection activeCell="I12" sqref="I12"/>
    </sheetView>
  </sheetViews>
  <sheetFormatPr defaultRowHeight="14.5" x14ac:dyDescent="0.35"/>
  <cols>
    <col min="1" max="1" width="12.453125" bestFit="1" customWidth="1"/>
    <col min="2" max="2" width="21.26953125" bestFit="1" customWidth="1"/>
    <col min="3" max="3" width="99.7265625" bestFit="1" customWidth="1"/>
    <col min="4" max="4" width="19.90625" bestFit="1" customWidth="1"/>
    <col min="5" max="5" width="31.08984375" bestFit="1" customWidth="1"/>
    <col min="6" max="6" width="12.81640625" bestFit="1" customWidth="1"/>
    <col min="7" max="7" width="4.26953125" bestFit="1" customWidth="1"/>
    <col min="8" max="8" width="14.26953125" bestFit="1" customWidth="1"/>
    <col min="9" max="9" width="64.26953125" bestFit="1" customWidth="1"/>
    <col min="10" max="10" width="13.1796875" bestFit="1" customWidth="1"/>
  </cols>
  <sheetData>
    <row r="1" spans="2:17" ht="24" thickBot="1" x14ac:dyDescent="0.6">
      <c r="I1" s="1"/>
      <c r="J1" s="1"/>
      <c r="K1" s="1"/>
    </row>
    <row r="2" spans="2:17" ht="32.5" thickTop="1" x14ac:dyDescent="0.8">
      <c r="B2" s="67"/>
      <c r="C2" s="68" t="s">
        <v>54</v>
      </c>
      <c r="D2" s="69"/>
      <c r="E2" s="69"/>
      <c r="F2" s="70"/>
      <c r="G2" s="9"/>
      <c r="H2" s="8"/>
      <c r="J2" s="2"/>
      <c r="K2" s="3"/>
      <c r="L2" s="4"/>
      <c r="M2" s="4"/>
      <c r="N2" s="4"/>
      <c r="O2" s="4"/>
      <c r="P2" s="4"/>
      <c r="Q2" s="4"/>
    </row>
    <row r="3" spans="2:17" ht="30.5" x14ac:dyDescent="0.65">
      <c r="B3" s="71"/>
      <c r="C3" s="72" t="s">
        <v>61</v>
      </c>
      <c r="D3" s="73"/>
      <c r="E3" s="73"/>
      <c r="F3" s="74"/>
      <c r="G3" s="5"/>
      <c r="H3" s="6"/>
      <c r="J3" s="2"/>
      <c r="K3" s="4"/>
      <c r="L3" s="4"/>
      <c r="M3" s="4"/>
      <c r="N3" s="4"/>
      <c r="O3" s="4"/>
      <c r="P3" s="4"/>
      <c r="Q3" s="4"/>
    </row>
    <row r="4" spans="2:17" ht="29" thickBot="1" x14ac:dyDescent="0.7">
      <c r="B4" s="75"/>
      <c r="C4" s="76" t="s">
        <v>58</v>
      </c>
      <c r="D4" s="77"/>
      <c r="E4" s="77"/>
      <c r="F4" s="78"/>
      <c r="G4" s="5"/>
      <c r="H4" s="7"/>
      <c r="J4" s="4"/>
      <c r="K4" s="4"/>
      <c r="L4" s="4"/>
      <c r="M4" s="4"/>
      <c r="N4" s="4"/>
      <c r="O4" s="4"/>
      <c r="P4" s="4"/>
      <c r="Q4" s="4"/>
    </row>
    <row r="5" spans="2:17" ht="18" thickTop="1" thickBot="1" x14ac:dyDescent="0.55000000000000004">
      <c r="B5" s="31"/>
      <c r="C5" s="32"/>
      <c r="D5" s="32"/>
      <c r="E5" s="32"/>
      <c r="F5" s="32"/>
      <c r="G5" s="5"/>
      <c r="H5" s="7"/>
      <c r="J5" s="4"/>
      <c r="K5" s="4"/>
      <c r="L5" s="4"/>
      <c r="M5" s="4"/>
      <c r="N5" s="4"/>
      <c r="O5" s="4"/>
      <c r="P5" s="4"/>
      <c r="Q5" s="4"/>
    </row>
    <row r="6" spans="2:17" ht="23" thickTop="1" thickBot="1" x14ac:dyDescent="0.7">
      <c r="B6" s="57" t="s">
        <v>37</v>
      </c>
      <c r="C6" s="33">
        <v>101</v>
      </c>
      <c r="D6" s="30"/>
      <c r="E6" s="82"/>
      <c r="F6" s="30"/>
      <c r="G6" s="5"/>
      <c r="H6" s="7"/>
      <c r="J6" s="4"/>
      <c r="K6" s="4"/>
      <c r="L6" s="4"/>
      <c r="M6" s="4"/>
      <c r="N6" s="4"/>
      <c r="O6" s="4"/>
      <c r="P6" s="4"/>
      <c r="Q6" s="4"/>
    </row>
    <row r="7" spans="2:17" ht="22.5" thickBot="1" x14ac:dyDescent="0.7">
      <c r="B7" s="58" t="s">
        <v>2</v>
      </c>
      <c r="C7" s="34" t="str">
        <f>VLOOKUP(C6,Sheet1!B4:K14,MATCH(B7,Sheet1!B4:M4,0),0)</f>
        <v>Vishwas Sharma</v>
      </c>
      <c r="D7" s="30"/>
      <c r="E7" s="82"/>
      <c r="F7" s="30"/>
      <c r="G7" s="5"/>
      <c r="H7" s="7"/>
      <c r="J7" s="4"/>
      <c r="K7" s="4"/>
      <c r="L7" s="4"/>
      <c r="M7" s="4"/>
      <c r="N7" s="4"/>
      <c r="O7" s="4"/>
      <c r="P7" s="4"/>
      <c r="Q7" s="4"/>
    </row>
    <row r="8" spans="2:17" ht="22.5" thickBot="1" x14ac:dyDescent="0.7">
      <c r="B8" s="58" t="s">
        <v>3</v>
      </c>
      <c r="C8" s="34" t="str">
        <f>VLOOKUP(C6,Sheet1!B4:K14,MATCH(B8,Sheet1!B4:M4,0),0)</f>
        <v>Yogesh Sharma</v>
      </c>
      <c r="D8" s="30"/>
      <c r="E8" s="82"/>
      <c r="F8" s="30"/>
      <c r="G8" s="5"/>
      <c r="H8" s="7"/>
      <c r="J8" s="4"/>
      <c r="K8" s="4"/>
      <c r="M8" s="4"/>
      <c r="N8" s="4"/>
      <c r="O8" s="4"/>
      <c r="P8" s="4"/>
      <c r="Q8" s="4"/>
    </row>
    <row r="9" spans="2:17" ht="22.5" thickBot="1" x14ac:dyDescent="0.7">
      <c r="B9" s="58" t="s">
        <v>4</v>
      </c>
      <c r="C9" s="34" t="str">
        <f>VLOOKUP(C6,Sheet1!B4:K14,MATCH(B9,Sheet1!B4:M4,0),0)</f>
        <v>Sunanda Sharma</v>
      </c>
      <c r="D9" s="30"/>
      <c r="E9" s="82"/>
      <c r="F9" s="30"/>
      <c r="G9" s="5"/>
      <c r="H9" s="7"/>
      <c r="J9" s="4"/>
      <c r="K9" s="4"/>
      <c r="L9" s="4"/>
      <c r="M9" s="4"/>
      <c r="N9" s="4"/>
      <c r="O9" s="4"/>
      <c r="P9" s="4"/>
      <c r="Q9" s="4"/>
    </row>
    <row r="10" spans="2:17" ht="22.5" thickBot="1" x14ac:dyDescent="0.7">
      <c r="B10" s="58" t="s">
        <v>38</v>
      </c>
      <c r="C10" s="34" t="s">
        <v>59</v>
      </c>
      <c r="D10" s="30"/>
      <c r="E10" s="82"/>
      <c r="F10" s="30"/>
      <c r="G10" s="5"/>
      <c r="H10" s="7"/>
      <c r="K10" s="4"/>
      <c r="L10" s="4"/>
      <c r="M10" s="4"/>
      <c r="N10" s="4"/>
      <c r="O10" s="4"/>
      <c r="P10" s="4"/>
      <c r="Q10" s="4"/>
    </row>
    <row r="11" spans="2:17" ht="22.5" thickBot="1" x14ac:dyDescent="0.7">
      <c r="B11" s="58" t="s">
        <v>5</v>
      </c>
      <c r="C11" s="35">
        <f>VLOOKUP(C6,Sheet1!B4:K14,MATCH(B11,Sheet1!B4:M4,0),0)</f>
        <v>40772</v>
      </c>
      <c r="D11" s="30"/>
      <c r="E11" s="82"/>
      <c r="F11" s="30"/>
      <c r="G11" s="5"/>
      <c r="H11" s="7"/>
      <c r="J11" s="4"/>
      <c r="K11" s="4"/>
      <c r="L11" s="4"/>
      <c r="M11" s="4"/>
      <c r="N11" s="4"/>
      <c r="O11" s="4"/>
      <c r="P11" s="4"/>
      <c r="Q11" s="4"/>
    </row>
    <row r="12" spans="2:17" ht="22.5" thickBot="1" x14ac:dyDescent="0.7">
      <c r="B12" s="59" t="s">
        <v>52</v>
      </c>
      <c r="C12" s="36" t="str">
        <f>Sheet1!D1</f>
        <v>PRAGATI CONVENT HIGHER SECONDARY SCHOOL</v>
      </c>
      <c r="D12" s="30"/>
      <c r="E12" s="82"/>
      <c r="F12" s="30"/>
      <c r="G12" s="5"/>
      <c r="H12" s="7"/>
      <c r="J12" s="4"/>
      <c r="K12" s="4"/>
      <c r="L12" s="4"/>
      <c r="M12" s="4"/>
      <c r="N12" s="4"/>
      <c r="O12" s="4"/>
      <c r="P12" s="4"/>
      <c r="Q12" s="4"/>
    </row>
    <row r="13" spans="2:17" ht="22.5" thickTop="1" x14ac:dyDescent="0.65">
      <c r="B13" s="29"/>
      <c r="C13" s="30"/>
      <c r="D13" s="30"/>
      <c r="E13" s="30"/>
      <c r="F13" s="30"/>
      <c r="G13" s="5"/>
      <c r="H13" s="7"/>
      <c r="J13" s="4"/>
      <c r="K13" s="4"/>
      <c r="L13" s="4"/>
      <c r="M13" s="4"/>
      <c r="N13" s="4"/>
      <c r="O13" s="4"/>
      <c r="P13" s="4"/>
      <c r="Q13" s="4"/>
    </row>
    <row r="14" spans="2:17" ht="22.5" thickBot="1" x14ac:dyDescent="0.7">
      <c r="B14" s="29"/>
      <c r="C14" s="30"/>
      <c r="D14" s="30"/>
      <c r="E14" s="30"/>
      <c r="F14" s="30"/>
      <c r="G14" s="5"/>
      <c r="H14" s="7"/>
      <c r="J14" s="4"/>
      <c r="K14" s="4"/>
      <c r="L14" s="4"/>
      <c r="M14" s="4"/>
      <c r="N14" s="4"/>
      <c r="O14" s="4"/>
      <c r="P14" s="4"/>
      <c r="Q14" s="4"/>
    </row>
    <row r="15" spans="2:17" ht="23" thickTop="1" thickBot="1" x14ac:dyDescent="0.7">
      <c r="B15" s="57" t="s">
        <v>39</v>
      </c>
      <c r="C15" s="60" t="s">
        <v>40</v>
      </c>
      <c r="D15" s="60" t="s">
        <v>41</v>
      </c>
      <c r="E15" s="60" t="s">
        <v>42</v>
      </c>
      <c r="F15" s="61" t="s">
        <v>43</v>
      </c>
      <c r="G15" s="5"/>
      <c r="H15" s="7"/>
      <c r="J15" s="4"/>
      <c r="K15" s="4"/>
      <c r="L15" s="4"/>
      <c r="M15" s="4"/>
      <c r="N15" s="4"/>
      <c r="O15" s="4"/>
      <c r="P15" s="4"/>
      <c r="Q15" s="4"/>
    </row>
    <row r="16" spans="2:17" ht="22.5" thickBot="1" x14ac:dyDescent="0.7">
      <c r="B16" s="58" t="s">
        <v>6</v>
      </c>
      <c r="C16" s="37">
        <v>100</v>
      </c>
      <c r="D16" s="37">
        <f>VLOOKUP(C6,Sheet1!B4:M14,MATCH(Sheet2!B16,Sheet1!B4:M4,0),0)</f>
        <v>43</v>
      </c>
      <c r="E16" s="37">
        <v>35</v>
      </c>
      <c r="F16" s="38" t="str">
        <f t="shared" ref="F16:F21" si="0">IF(D16&gt;=E16,"PASS","FAIL")</f>
        <v>PASS</v>
      </c>
      <c r="G16" s="5"/>
      <c r="H16" s="7"/>
      <c r="J16" s="4"/>
      <c r="K16" s="4"/>
      <c r="L16" s="4"/>
      <c r="M16" s="4"/>
      <c r="N16" s="4"/>
      <c r="O16" s="4"/>
      <c r="P16" s="4"/>
      <c r="Q16" s="4"/>
    </row>
    <row r="17" spans="2:17" ht="22.5" thickBot="1" x14ac:dyDescent="0.7">
      <c r="B17" s="58" t="s">
        <v>7</v>
      </c>
      <c r="C17" s="37">
        <v>100</v>
      </c>
      <c r="D17" s="37">
        <f>VLOOKUP(C6,Sheet1!B4:M14,MATCH(Sheet2!B17,Sheet1!B4:M4,0),0)</f>
        <v>46</v>
      </c>
      <c r="E17" s="37">
        <v>35</v>
      </c>
      <c r="F17" s="38" t="str">
        <f t="shared" si="0"/>
        <v>PASS</v>
      </c>
      <c r="G17" s="5"/>
      <c r="H17" s="7"/>
      <c r="J17" s="4"/>
      <c r="K17" s="4"/>
      <c r="L17" s="4"/>
      <c r="M17" s="4"/>
      <c r="N17" s="4"/>
      <c r="O17" s="4"/>
      <c r="P17" s="4"/>
      <c r="Q17" s="4"/>
    </row>
    <row r="18" spans="2:17" ht="22.5" thickBot="1" x14ac:dyDescent="0.7">
      <c r="B18" s="58" t="s">
        <v>8</v>
      </c>
      <c r="C18" s="37">
        <v>100</v>
      </c>
      <c r="D18" s="37">
        <f>VLOOKUP(C6,Sheet1!B4:M14,MATCH(Sheet2!B18,Sheet1!B4:M4,0),0)</f>
        <v>82</v>
      </c>
      <c r="E18" s="37">
        <v>35</v>
      </c>
      <c r="F18" s="38" t="str">
        <f t="shared" si="0"/>
        <v>PASS</v>
      </c>
      <c r="G18" s="5"/>
      <c r="H18" s="7"/>
      <c r="K18" s="4"/>
      <c r="L18" s="4"/>
      <c r="M18" s="4"/>
      <c r="N18" s="4"/>
      <c r="O18" s="4"/>
      <c r="P18" s="4"/>
      <c r="Q18" s="4"/>
    </row>
    <row r="19" spans="2:17" ht="22.5" thickBot="1" x14ac:dyDescent="0.7">
      <c r="B19" s="58" t="s">
        <v>44</v>
      </c>
      <c r="C19" s="37">
        <v>100</v>
      </c>
      <c r="D19" s="37">
        <f>VLOOKUP(C6,Sheet1!B4:M14,MATCH(Sheet2!B19,Sheet1!B4:M4,0),0)</f>
        <v>93</v>
      </c>
      <c r="E19" s="37">
        <v>35</v>
      </c>
      <c r="F19" s="38" t="str">
        <f t="shared" si="0"/>
        <v>PASS</v>
      </c>
      <c r="G19" s="5"/>
      <c r="H19" s="7"/>
      <c r="J19" s="4"/>
      <c r="K19" s="4"/>
      <c r="L19" s="4"/>
      <c r="M19" s="4"/>
      <c r="N19" s="4"/>
      <c r="O19" s="4"/>
      <c r="P19" s="4"/>
      <c r="Q19" s="4"/>
    </row>
    <row r="20" spans="2:17" ht="22.5" thickBot="1" x14ac:dyDescent="0.7">
      <c r="B20" s="58" t="s">
        <v>45</v>
      </c>
      <c r="C20" s="37">
        <v>100</v>
      </c>
      <c r="D20" s="37">
        <f>VLOOKUP(C6,Sheet1!B4:M14,MATCH(Sheet2!B20,Sheet1!B4:M4,0),0)</f>
        <v>83</v>
      </c>
      <c r="E20" s="37">
        <v>35</v>
      </c>
      <c r="F20" s="38" t="str">
        <f t="shared" si="0"/>
        <v>PASS</v>
      </c>
      <c r="G20" s="5"/>
      <c r="H20" s="7"/>
      <c r="J20" s="4"/>
      <c r="K20" s="4"/>
      <c r="L20" s="4"/>
      <c r="M20" s="4"/>
      <c r="N20" s="4"/>
      <c r="O20" s="4"/>
      <c r="P20" s="4"/>
      <c r="Q20" s="4"/>
    </row>
    <row r="21" spans="2:17" ht="22.5" thickBot="1" x14ac:dyDescent="0.7">
      <c r="B21" s="59" t="s">
        <v>46</v>
      </c>
      <c r="C21" s="39">
        <v>100</v>
      </c>
      <c r="D21" s="39">
        <f>VLOOKUP(C6,Sheet1!B4:M14,MATCH(Sheet2!B21,Sheet1!B4:M4,0),0)</f>
        <v>40</v>
      </c>
      <c r="E21" s="39">
        <v>35</v>
      </c>
      <c r="F21" s="40" t="str">
        <f t="shared" si="0"/>
        <v>PASS</v>
      </c>
      <c r="G21" s="5"/>
      <c r="H21" s="7"/>
      <c r="J21" s="4"/>
      <c r="K21" s="4"/>
      <c r="L21" s="4"/>
      <c r="M21" s="4"/>
      <c r="N21" s="4"/>
      <c r="O21" s="4"/>
      <c r="P21" s="4"/>
      <c r="Q21" s="4"/>
    </row>
    <row r="22" spans="2:17" ht="23" thickTop="1" thickBot="1" x14ac:dyDescent="0.7">
      <c r="B22" s="41"/>
      <c r="C22" s="30"/>
      <c r="D22" s="30"/>
      <c r="E22" s="30"/>
      <c r="F22" s="30"/>
      <c r="G22" s="5"/>
      <c r="H22" s="7"/>
      <c r="J22" s="4"/>
      <c r="K22" s="4"/>
      <c r="L22" s="4"/>
      <c r="M22" s="4"/>
      <c r="N22" s="4"/>
      <c r="O22" s="4"/>
      <c r="P22" s="4"/>
      <c r="Q22" s="4"/>
    </row>
    <row r="23" spans="2:17" ht="23" thickTop="1" thickBot="1" x14ac:dyDescent="0.7">
      <c r="B23" s="42"/>
      <c r="C23" s="30"/>
      <c r="D23" s="30"/>
      <c r="E23" s="62" t="s">
        <v>40</v>
      </c>
      <c r="F23" s="43">
        <f>COUNTA(B16:B21)*100</f>
        <v>600</v>
      </c>
      <c r="G23" s="5"/>
      <c r="H23" s="7"/>
      <c r="J23" s="4"/>
      <c r="K23" s="4"/>
      <c r="L23" s="4"/>
      <c r="M23" s="4"/>
      <c r="N23" s="4"/>
      <c r="O23" s="4"/>
      <c r="P23" s="4"/>
      <c r="Q23" s="4"/>
    </row>
    <row r="24" spans="2:17" ht="23" thickTop="1" thickBot="1" x14ac:dyDescent="0.7">
      <c r="B24" s="57" t="s">
        <v>47</v>
      </c>
      <c r="C24" s="44" t="str">
        <f>IF(COUNTIF(F16:F21,"PASS")&gt;=4,"PASS","FAIL")</f>
        <v>PASS</v>
      </c>
      <c r="D24" s="30"/>
      <c r="E24" s="63" t="s">
        <v>50</v>
      </c>
      <c r="F24" s="38">
        <f>SUM(D16:D21)</f>
        <v>387</v>
      </c>
      <c r="G24" s="5"/>
      <c r="H24" s="7"/>
      <c r="J24" s="4"/>
      <c r="K24" s="4"/>
      <c r="L24" s="4"/>
      <c r="M24" s="4"/>
      <c r="N24" s="4"/>
      <c r="O24" s="4"/>
      <c r="P24" s="4"/>
      <c r="Q24" s="4"/>
    </row>
    <row r="25" spans="2:17" ht="22.5" thickBot="1" x14ac:dyDescent="0.7">
      <c r="B25" s="59" t="s">
        <v>49</v>
      </c>
      <c r="C25" s="45" t="str" cm="1">
        <f t="array" ref="C25">_xlfn.IFS(F25&gt;=80%,"A",F25&gt;=60%,"B",F25&gt;=40%,"C",F25&lt;40%,"D")</f>
        <v>B</v>
      </c>
      <c r="D25" s="30"/>
      <c r="E25" s="64" t="s">
        <v>51</v>
      </c>
      <c r="F25" s="46">
        <f>AVERAGE(D16:D21)/100</f>
        <v>0.64500000000000002</v>
      </c>
      <c r="J25" s="2"/>
      <c r="K25" s="2"/>
      <c r="L25" s="2"/>
      <c r="M25" s="2"/>
      <c r="N25" s="2"/>
      <c r="O25" s="2"/>
      <c r="P25" s="2"/>
      <c r="Q25" s="2"/>
    </row>
    <row r="26" spans="2:17" ht="15" thickTop="1" x14ac:dyDescent="0.35">
      <c r="B26" s="47"/>
      <c r="C26" s="32"/>
      <c r="D26" s="32"/>
      <c r="E26" s="32"/>
      <c r="F26" s="48"/>
    </row>
    <row r="27" spans="2:17" x14ac:dyDescent="0.35">
      <c r="B27" s="47"/>
      <c r="C27" s="32"/>
      <c r="D27" s="32"/>
      <c r="E27" s="32"/>
      <c r="F27" s="48"/>
    </row>
    <row r="28" spans="2:17" x14ac:dyDescent="0.35">
      <c r="B28" s="47"/>
      <c r="C28" s="32"/>
      <c r="D28" s="32"/>
      <c r="E28" s="32"/>
      <c r="F28" s="48"/>
    </row>
    <row r="29" spans="2:17" x14ac:dyDescent="0.35">
      <c r="B29" s="49"/>
      <c r="C29" s="32"/>
      <c r="D29" s="32"/>
      <c r="E29" s="32"/>
      <c r="F29" s="48"/>
      <c r="J29" s="81"/>
      <c r="K29" s="81"/>
    </row>
    <row r="30" spans="2:17" ht="75" thickBot="1" x14ac:dyDescent="0.55000000000000004">
      <c r="B30" s="50"/>
      <c r="C30" s="51"/>
      <c r="E30" s="52" t="s">
        <v>57</v>
      </c>
      <c r="F30" s="53"/>
    </row>
    <row r="31" spans="2:17" ht="22" thickTop="1" thickBot="1" x14ac:dyDescent="0.55000000000000004">
      <c r="B31" s="66" t="s">
        <v>55</v>
      </c>
      <c r="C31" s="65">
        <f ca="1">TODAY()</f>
        <v>46274</v>
      </c>
      <c r="D31" s="54"/>
      <c r="E31" s="55" t="s">
        <v>56</v>
      </c>
      <c r="F31" s="56"/>
    </row>
    <row r="32" spans="2:17" ht="15" thickTop="1" x14ac:dyDescent="0.35"/>
    <row r="34" spans="9:10" ht="46" x14ac:dyDescent="1">
      <c r="I34" s="79"/>
      <c r="J34" s="80"/>
    </row>
  </sheetData>
  <mergeCells count="2">
    <mergeCell ref="J29:K29"/>
    <mergeCell ref="E6:E12"/>
  </mergeCells>
  <conditionalFormatting sqref="C24">
    <cfRule type="containsText" dxfId="8" priority="6" operator="containsText" text="PASS">
      <formula>NOT(ISERROR(SEARCH("PASS",C24)))</formula>
    </cfRule>
    <cfRule type="containsText" dxfId="7" priority="7" operator="containsText" text="FAIL">
      <formula>NOT(ISERROR(SEARCH("FAIL",C24)))</formula>
    </cfRule>
  </conditionalFormatting>
  <conditionalFormatting sqref="C25">
    <cfRule type="containsText" dxfId="6" priority="1" operator="containsText" text="D">
      <formula>NOT(ISERROR(SEARCH("D",C25)))</formula>
    </cfRule>
    <cfRule type="containsText" dxfId="5" priority="2" operator="containsText" text="D">
      <formula>NOT(ISERROR(SEARCH("D",C25)))</formula>
    </cfRule>
    <cfRule type="containsText" dxfId="4" priority="3" operator="containsText" text="C">
      <formula>NOT(ISERROR(SEARCH("C",C25)))</formula>
    </cfRule>
    <cfRule type="containsText" dxfId="3" priority="4" operator="containsText" text="B">
      <formula>NOT(ISERROR(SEARCH("B",C25)))</formula>
    </cfRule>
    <cfRule type="containsText" dxfId="2" priority="5" operator="containsText" text="A">
      <formula>NOT(ISERROR(SEARCH("A",C25)))</formula>
    </cfRule>
  </conditionalFormatting>
  <conditionalFormatting sqref="F25">
    <cfRule type="cellIs" dxfId="1" priority="8" operator="lessThan">
      <formula>0.33</formula>
    </cfRule>
    <cfRule type="cellIs" dxfId="0" priority="9" operator="greaterThan">
      <formula>0.33</formula>
    </cfRule>
  </conditionalFormatting>
  <pageMargins left="0.70866141732283472" right="0.98425196850393704" top="0.74803149606299213" bottom="3.5039370078740157" header="0.31496062992125984" footer="0.31496062992125984"/>
  <pageSetup paperSize="152" orientation="portrait" r:id="rId1"/>
  <rowBreaks count="1" manualBreakCount="1">
    <brk id="31" max="16383" man="1"/>
  </rowBreaks>
  <colBreaks count="1" manualBreakCount="1">
    <brk id="6" max="1048575" man="1"/>
  </col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vishwas9302821830@outlook.com</dc:creator>
  <cp:lastModifiedBy>Vishwas Sharma</cp:lastModifiedBy>
  <cp:lastPrinted>2026-08-12T09:48:42Z</cp:lastPrinted>
  <dcterms:created xsi:type="dcterms:W3CDTF">2026-08-11T09:39:31Z</dcterms:created>
  <dcterms:modified xsi:type="dcterms:W3CDTF">2026-09-09T09:49:00Z</dcterms:modified>
</cp:coreProperties>
</file>