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a09651503e071a/Documents/"/>
    </mc:Choice>
  </mc:AlternateContent>
  <xr:revisionPtr revIDLastSave="0" documentId="8_{D280CAA3-172D-451B-B4DC-D580AA6FDFBE}" xr6:coauthVersionLast="47" xr6:coauthVersionMax="47" xr10:uidLastSave="{00000000-0000-0000-0000-000000000000}"/>
  <bookViews>
    <workbookView xWindow="-110" yWindow="-110" windowWidth="19420" windowHeight="11020" xr2:uid="{07631E21-67F9-4587-A5B9-3BD1BC103117}"/>
  </bookViews>
  <sheets>
    <sheet name="Home Loan" sheetId="2" r:id="rId1"/>
    <sheet name="EMI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G2" i="2" s="1"/>
  <c r="F2" i="2"/>
  <c r="E3" i="2"/>
  <c r="G3" i="2" s="1"/>
  <c r="F3" i="2"/>
  <c r="P3" i="2"/>
  <c r="Q3" i="2"/>
  <c r="Q28" i="2" s="1"/>
  <c r="E4" i="2"/>
  <c r="G4" i="2" s="1"/>
  <c r="F4" i="2"/>
  <c r="P4" i="2"/>
  <c r="R4" i="2" s="1"/>
  <c r="Q4" i="2"/>
  <c r="E5" i="2"/>
  <c r="F5" i="2"/>
  <c r="P5" i="2"/>
  <c r="R5" i="2" s="1"/>
  <c r="Q5" i="2"/>
  <c r="B6" i="2"/>
  <c r="E6" i="2"/>
  <c r="F6" i="2"/>
  <c r="M6" i="2"/>
  <c r="P6" i="2"/>
  <c r="R6" i="2" s="1"/>
  <c r="Q6" i="2"/>
  <c r="E7" i="2"/>
  <c r="F7" i="2"/>
  <c r="G7" i="2" s="1"/>
  <c r="P7" i="2"/>
  <c r="Q7" i="2"/>
  <c r="E8" i="2"/>
  <c r="G8" i="2" s="1"/>
  <c r="F8" i="2"/>
  <c r="P8" i="2"/>
  <c r="Q8" i="2"/>
  <c r="E9" i="2"/>
  <c r="F9" i="2"/>
  <c r="G9" i="2"/>
  <c r="P9" i="2"/>
  <c r="R9" i="2" s="1"/>
  <c r="Q9" i="2"/>
  <c r="E10" i="2"/>
  <c r="F10" i="2"/>
  <c r="P10" i="2"/>
  <c r="Q10" i="2"/>
  <c r="R10" i="2"/>
  <c r="E11" i="2"/>
  <c r="G11" i="2" s="1"/>
  <c r="F11" i="2"/>
  <c r="P11" i="2"/>
  <c r="Q11" i="2"/>
  <c r="E12" i="2"/>
  <c r="F12" i="2"/>
  <c r="G12" i="2"/>
  <c r="P12" i="2"/>
  <c r="Q12" i="2"/>
  <c r="E13" i="2"/>
  <c r="F13" i="2"/>
  <c r="G13" i="2"/>
  <c r="P13" i="2"/>
  <c r="Q13" i="2"/>
  <c r="R13" i="2"/>
  <c r="E14" i="2"/>
  <c r="F14" i="2"/>
  <c r="P14" i="2"/>
  <c r="Q14" i="2"/>
  <c r="R14" i="2"/>
  <c r="E15" i="2"/>
  <c r="F15" i="2"/>
  <c r="G15" i="2"/>
  <c r="P15" i="2"/>
  <c r="Q15" i="2"/>
  <c r="E16" i="2"/>
  <c r="F16" i="2"/>
  <c r="G16" i="2"/>
  <c r="P16" i="2"/>
  <c r="Q16" i="2"/>
  <c r="E17" i="2"/>
  <c r="F17" i="2"/>
  <c r="G17" i="2"/>
  <c r="P17" i="2"/>
  <c r="Q17" i="2"/>
  <c r="R17" i="2"/>
  <c r="E18" i="2"/>
  <c r="F18" i="2"/>
  <c r="P18" i="2"/>
  <c r="Q18" i="2"/>
  <c r="R18" i="2"/>
  <c r="E19" i="2"/>
  <c r="F19" i="2"/>
  <c r="G19" i="2"/>
  <c r="P19" i="2"/>
  <c r="Q19" i="2"/>
  <c r="E20" i="2"/>
  <c r="F20" i="2"/>
  <c r="G20" i="2"/>
  <c r="P20" i="2"/>
  <c r="Q20" i="2"/>
  <c r="E21" i="2"/>
  <c r="G21" i="2" s="1"/>
  <c r="F21" i="2"/>
  <c r="P21" i="2"/>
  <c r="Q21" i="2"/>
  <c r="R21" i="2"/>
  <c r="E22" i="2"/>
  <c r="F22" i="2"/>
  <c r="P22" i="2"/>
  <c r="R22" i="2" s="1"/>
  <c r="Q22" i="2"/>
  <c r="E23" i="2"/>
  <c r="F23" i="2"/>
  <c r="G23" i="2"/>
  <c r="P23" i="2"/>
  <c r="Q23" i="2"/>
  <c r="E24" i="2"/>
  <c r="G24" i="2" s="1"/>
  <c r="F24" i="2"/>
  <c r="P24" i="2"/>
  <c r="Q24" i="2"/>
  <c r="E25" i="2"/>
  <c r="G25" i="2" s="1"/>
  <c r="F25" i="2"/>
  <c r="P25" i="2"/>
  <c r="R25" i="2" s="1"/>
  <c r="Q25" i="2"/>
  <c r="E26" i="2"/>
  <c r="F26" i="2"/>
  <c r="P26" i="2"/>
  <c r="R26" i="2" s="1"/>
  <c r="Q26" i="2"/>
  <c r="E27" i="2"/>
  <c r="G27" i="2" s="1"/>
  <c r="F27" i="2"/>
  <c r="P27" i="2"/>
  <c r="Q27" i="2"/>
  <c r="E28" i="2"/>
  <c r="G28" i="2" s="1"/>
  <c r="F28" i="2"/>
  <c r="E29" i="2"/>
  <c r="F29" i="2"/>
  <c r="G29" i="2"/>
  <c r="E30" i="2"/>
  <c r="G30" i="2" s="1"/>
  <c r="F30" i="2"/>
  <c r="E31" i="2"/>
  <c r="G31" i="2" s="1"/>
  <c r="F31" i="2"/>
  <c r="E32" i="2"/>
  <c r="F32" i="2"/>
  <c r="G32" i="2"/>
  <c r="E33" i="2"/>
  <c r="G33" i="2" s="1"/>
  <c r="F33" i="2"/>
  <c r="E34" i="2"/>
  <c r="G34" i="2" s="1"/>
  <c r="F34" i="2"/>
  <c r="E35" i="2"/>
  <c r="F35" i="2"/>
  <c r="G35" i="2"/>
  <c r="E36" i="2"/>
  <c r="G36" i="2" s="1"/>
  <c r="F36" i="2"/>
  <c r="E37" i="2"/>
  <c r="F37" i="2"/>
  <c r="G37" i="2" s="1"/>
  <c r="E38" i="2"/>
  <c r="F38" i="2"/>
  <c r="G38" i="2"/>
  <c r="E39" i="2"/>
  <c r="G39" i="2" s="1"/>
  <c r="F39" i="2"/>
  <c r="E40" i="2"/>
  <c r="F40" i="2"/>
  <c r="G40" i="2" s="1"/>
  <c r="E41" i="2"/>
  <c r="F41" i="2"/>
  <c r="G41" i="2"/>
  <c r="E42" i="2"/>
  <c r="G42" i="2" s="1"/>
  <c r="F42" i="2"/>
  <c r="E43" i="2"/>
  <c r="F43" i="2"/>
  <c r="G43" i="2" s="1"/>
  <c r="E44" i="2"/>
  <c r="F44" i="2"/>
  <c r="E45" i="2"/>
  <c r="G45" i="2" s="1"/>
  <c r="F45" i="2"/>
  <c r="E46" i="2"/>
  <c r="F46" i="2"/>
  <c r="G46" i="2" s="1"/>
  <c r="E47" i="2"/>
  <c r="F47" i="2"/>
  <c r="E48" i="2"/>
  <c r="G48" i="2" s="1"/>
  <c r="F48" i="2"/>
  <c r="E49" i="2"/>
  <c r="F49" i="2"/>
  <c r="G49" i="2" s="1"/>
  <c r="E50" i="2"/>
  <c r="F50" i="2"/>
  <c r="E51" i="2"/>
  <c r="G51" i="2" s="1"/>
  <c r="F51" i="2"/>
  <c r="E52" i="2"/>
  <c r="F52" i="2"/>
  <c r="E53" i="2"/>
  <c r="F53" i="2"/>
  <c r="G53" i="2"/>
  <c r="E54" i="2"/>
  <c r="G54" i="2" s="1"/>
  <c r="F54" i="2"/>
  <c r="E55" i="2"/>
  <c r="F55" i="2"/>
  <c r="E56" i="2"/>
  <c r="F56" i="2"/>
  <c r="G56" i="2"/>
  <c r="E57" i="2"/>
  <c r="G57" i="2" s="1"/>
  <c r="F57" i="2"/>
  <c r="E58" i="2"/>
  <c r="F58" i="2"/>
  <c r="E59" i="2"/>
  <c r="F59" i="2"/>
  <c r="G59" i="2"/>
  <c r="E60" i="2"/>
  <c r="F60" i="2"/>
  <c r="E61" i="2"/>
  <c r="F61" i="2"/>
  <c r="G61" i="2"/>
  <c r="E62" i="2"/>
  <c r="F62" i="2"/>
  <c r="G62" i="2"/>
  <c r="E63" i="2"/>
  <c r="F63" i="2"/>
  <c r="E64" i="2"/>
  <c r="F64" i="2"/>
  <c r="G64" i="2"/>
  <c r="E65" i="2"/>
  <c r="F65" i="2"/>
  <c r="G65" i="2"/>
  <c r="E66" i="2"/>
  <c r="F66" i="2"/>
  <c r="E67" i="2"/>
  <c r="F67" i="2"/>
  <c r="G67" i="2"/>
  <c r="E68" i="2"/>
  <c r="F68" i="2"/>
  <c r="E69" i="2"/>
  <c r="F69" i="2"/>
  <c r="G69" i="2"/>
  <c r="E70" i="2"/>
  <c r="F70" i="2"/>
  <c r="G70" i="2"/>
  <c r="E71" i="2"/>
  <c r="F71" i="2"/>
  <c r="E72" i="2"/>
  <c r="F72" i="2"/>
  <c r="G72" i="2"/>
  <c r="E73" i="2"/>
  <c r="F73" i="2"/>
  <c r="G73" i="2"/>
  <c r="E74" i="2"/>
  <c r="F74" i="2"/>
  <c r="E75" i="2"/>
  <c r="F75" i="2"/>
  <c r="G75" i="2"/>
  <c r="E76" i="2"/>
  <c r="F76" i="2"/>
  <c r="E77" i="2"/>
  <c r="G77" i="2" s="1"/>
  <c r="F77" i="2"/>
  <c r="E78" i="2"/>
  <c r="F78" i="2"/>
  <c r="G78" i="2"/>
  <c r="E79" i="2"/>
  <c r="F79" i="2"/>
  <c r="E80" i="2"/>
  <c r="G80" i="2" s="1"/>
  <c r="F80" i="2"/>
  <c r="E81" i="2"/>
  <c r="F81" i="2"/>
  <c r="G81" i="2"/>
  <c r="E82" i="2"/>
  <c r="F82" i="2"/>
  <c r="E83" i="2"/>
  <c r="G83" i="2" s="1"/>
  <c r="F83" i="2"/>
  <c r="E84" i="2"/>
  <c r="F84" i="2"/>
  <c r="E85" i="2"/>
  <c r="G85" i="2" s="1"/>
  <c r="F85" i="2"/>
  <c r="E86" i="2"/>
  <c r="G86" i="2" s="1"/>
  <c r="F86" i="2"/>
  <c r="E87" i="2"/>
  <c r="F87" i="2"/>
  <c r="E88" i="2"/>
  <c r="G88" i="2" s="1"/>
  <c r="F88" i="2"/>
  <c r="E89" i="2"/>
  <c r="G89" i="2" s="1"/>
  <c r="F89" i="2"/>
  <c r="E90" i="2"/>
  <c r="F90" i="2"/>
  <c r="E91" i="2"/>
  <c r="G91" i="2" s="1"/>
  <c r="F91" i="2"/>
  <c r="E92" i="2"/>
  <c r="G92" i="2" s="1"/>
  <c r="F92" i="2"/>
  <c r="E93" i="2"/>
  <c r="F93" i="2"/>
  <c r="G93" i="2"/>
  <c r="E94" i="2"/>
  <c r="G94" i="2" s="1"/>
  <c r="F94" i="2"/>
  <c r="E95" i="2"/>
  <c r="G95" i="2" s="1"/>
  <c r="F95" i="2"/>
  <c r="E96" i="2"/>
  <c r="F96" i="2"/>
  <c r="G96" i="2"/>
  <c r="E97" i="2"/>
  <c r="G97" i="2" s="1"/>
  <c r="F97" i="2"/>
  <c r="E98" i="2"/>
  <c r="G98" i="2" s="1"/>
  <c r="F98" i="2"/>
  <c r="E99" i="2"/>
  <c r="F99" i="2"/>
  <c r="G99" i="2"/>
  <c r="E100" i="2"/>
  <c r="G100" i="2" s="1"/>
  <c r="F100" i="2"/>
  <c r="E101" i="2"/>
  <c r="F101" i="2"/>
  <c r="G101" i="2" s="1"/>
  <c r="E102" i="2"/>
  <c r="F102" i="2"/>
  <c r="G102" i="2"/>
  <c r="E103" i="2"/>
  <c r="G103" i="2" s="1"/>
  <c r="F103" i="2"/>
  <c r="E104" i="2"/>
  <c r="F104" i="2"/>
  <c r="G104" i="2" s="1"/>
  <c r="E105" i="2"/>
  <c r="F105" i="2"/>
  <c r="G105" i="2"/>
  <c r="E106" i="2"/>
  <c r="G106" i="2" s="1"/>
  <c r="F106" i="2"/>
  <c r="E107" i="2"/>
  <c r="F107" i="2"/>
  <c r="G107" i="2" s="1"/>
  <c r="E108" i="2"/>
  <c r="F108" i="2"/>
  <c r="E109" i="2"/>
  <c r="G109" i="2" s="1"/>
  <c r="F109" i="2"/>
  <c r="E110" i="2"/>
  <c r="F110" i="2"/>
  <c r="G110" i="2" s="1"/>
  <c r="E111" i="2"/>
  <c r="F111" i="2"/>
  <c r="E112" i="2"/>
  <c r="G112" i="2" s="1"/>
  <c r="F112" i="2"/>
  <c r="E113" i="2"/>
  <c r="F113" i="2"/>
  <c r="G113" i="2" s="1"/>
  <c r="E114" i="2"/>
  <c r="F114" i="2"/>
  <c r="E115" i="2"/>
  <c r="G115" i="2" s="1"/>
  <c r="F115" i="2"/>
  <c r="E116" i="2"/>
  <c r="F116" i="2"/>
  <c r="E117" i="2"/>
  <c r="F117" i="2"/>
  <c r="G117" i="2"/>
  <c r="E118" i="2"/>
  <c r="G118" i="2" s="1"/>
  <c r="F118" i="2"/>
  <c r="E119" i="2"/>
  <c r="F119" i="2"/>
  <c r="E120" i="2"/>
  <c r="F120" i="2"/>
  <c r="G120" i="2"/>
  <c r="E121" i="2"/>
  <c r="G121" i="2" s="1"/>
  <c r="F121" i="2"/>
  <c r="E122" i="2"/>
  <c r="F122" i="2"/>
  <c r="E123" i="2"/>
  <c r="F123" i="2"/>
  <c r="G123" i="2"/>
  <c r="E124" i="2"/>
  <c r="F124" i="2"/>
  <c r="E125" i="2"/>
  <c r="F125" i="2"/>
  <c r="G125" i="2"/>
  <c r="E126" i="2"/>
  <c r="F126" i="2"/>
  <c r="G126" i="2"/>
  <c r="E127" i="2"/>
  <c r="F127" i="2"/>
  <c r="E128" i="2"/>
  <c r="F128" i="2"/>
  <c r="G128" i="2"/>
  <c r="E129" i="2"/>
  <c r="F129" i="2"/>
  <c r="G129" i="2"/>
  <c r="E130" i="2"/>
  <c r="F130" i="2"/>
  <c r="E131" i="2"/>
  <c r="F131" i="2"/>
  <c r="G131" i="2"/>
  <c r="E132" i="2"/>
  <c r="F132" i="2"/>
  <c r="E133" i="2"/>
  <c r="F133" i="2"/>
  <c r="G133" i="2"/>
  <c r="E134" i="2"/>
  <c r="F134" i="2"/>
  <c r="G134" i="2"/>
  <c r="E135" i="2"/>
  <c r="F135" i="2"/>
  <c r="E136" i="2"/>
  <c r="F136" i="2"/>
  <c r="G136" i="2"/>
  <c r="E137" i="2"/>
  <c r="F137" i="2"/>
  <c r="G137" i="2"/>
  <c r="E138" i="2"/>
  <c r="F138" i="2"/>
  <c r="E139" i="2"/>
  <c r="F139" i="2"/>
  <c r="G139" i="2"/>
  <c r="E140" i="2"/>
  <c r="F140" i="2"/>
  <c r="E141" i="2"/>
  <c r="G141" i="2" s="1"/>
  <c r="F141" i="2"/>
  <c r="E142" i="2"/>
  <c r="F142" i="2"/>
  <c r="G142" i="2"/>
  <c r="E143" i="2"/>
  <c r="F143" i="2"/>
  <c r="E144" i="2"/>
  <c r="G144" i="2" s="1"/>
  <c r="F144" i="2"/>
  <c r="E145" i="2"/>
  <c r="F145" i="2"/>
  <c r="G145" i="2"/>
  <c r="E146" i="2"/>
  <c r="F146" i="2"/>
  <c r="E147" i="2"/>
  <c r="G147" i="2" s="1"/>
  <c r="F147" i="2"/>
  <c r="E148" i="2"/>
  <c r="F148" i="2"/>
  <c r="E149" i="2"/>
  <c r="G149" i="2" s="1"/>
  <c r="F149" i="2"/>
  <c r="E150" i="2"/>
  <c r="G150" i="2" s="1"/>
  <c r="F150" i="2"/>
  <c r="E151" i="2"/>
  <c r="F151" i="2"/>
  <c r="E152" i="2"/>
  <c r="G152" i="2" s="1"/>
  <c r="F152" i="2"/>
  <c r="E153" i="2"/>
  <c r="G153" i="2" s="1"/>
  <c r="F153" i="2"/>
  <c r="E154" i="2"/>
  <c r="F154" i="2"/>
  <c r="E155" i="2"/>
  <c r="G155" i="2" s="1"/>
  <c r="F155" i="2"/>
  <c r="E156" i="2"/>
  <c r="G156" i="2" s="1"/>
  <c r="F156" i="2"/>
  <c r="E157" i="2"/>
  <c r="F157" i="2"/>
  <c r="G157" i="2"/>
  <c r="E158" i="2"/>
  <c r="G158" i="2" s="1"/>
  <c r="F158" i="2"/>
  <c r="E159" i="2"/>
  <c r="G159" i="2" s="1"/>
  <c r="F159" i="2"/>
  <c r="E160" i="2"/>
  <c r="F160" i="2"/>
  <c r="G160" i="2"/>
  <c r="E161" i="2"/>
  <c r="G161" i="2" s="1"/>
  <c r="F161" i="2"/>
  <c r="E162" i="2"/>
  <c r="G162" i="2" s="1"/>
  <c r="F162" i="2"/>
  <c r="E163" i="2"/>
  <c r="F163" i="2"/>
  <c r="G163" i="2"/>
  <c r="E164" i="2"/>
  <c r="G164" i="2" s="1"/>
  <c r="F164" i="2"/>
  <c r="E165" i="2"/>
  <c r="F165" i="2"/>
  <c r="G165" i="2" s="1"/>
  <c r="E166" i="2"/>
  <c r="F166" i="2"/>
  <c r="G166" i="2"/>
  <c r="E167" i="2"/>
  <c r="G167" i="2" s="1"/>
  <c r="F167" i="2"/>
  <c r="E168" i="2"/>
  <c r="F168" i="2"/>
  <c r="G168" i="2" s="1"/>
  <c r="E169" i="2"/>
  <c r="F169" i="2"/>
  <c r="G169" i="2"/>
  <c r="E170" i="2"/>
  <c r="G170" i="2" s="1"/>
  <c r="F170" i="2"/>
  <c r="E171" i="2"/>
  <c r="F171" i="2"/>
  <c r="G171" i="2" s="1"/>
  <c r="E172" i="2"/>
  <c r="F172" i="2"/>
  <c r="E173" i="2"/>
  <c r="G173" i="2" s="1"/>
  <c r="F173" i="2"/>
  <c r="E174" i="2"/>
  <c r="F174" i="2"/>
  <c r="G174" i="2" s="1"/>
  <c r="E175" i="2"/>
  <c r="F175" i="2"/>
  <c r="E176" i="2"/>
  <c r="G176" i="2" s="1"/>
  <c r="F176" i="2"/>
  <c r="E177" i="2"/>
  <c r="F177" i="2"/>
  <c r="G177" i="2" s="1"/>
  <c r="E178" i="2"/>
  <c r="F178" i="2"/>
  <c r="E179" i="2"/>
  <c r="G179" i="2" s="1"/>
  <c r="F179" i="2"/>
  <c r="E180" i="2"/>
  <c r="F180" i="2"/>
  <c r="E181" i="2"/>
  <c r="F181" i="2"/>
  <c r="G181" i="2"/>
  <c r="E182" i="2"/>
  <c r="G182" i="2" s="1"/>
  <c r="F182" i="2"/>
  <c r="E183" i="2"/>
  <c r="F183" i="2"/>
  <c r="E184" i="2"/>
  <c r="F184" i="2"/>
  <c r="G184" i="2"/>
  <c r="E185" i="2"/>
  <c r="G185" i="2" s="1"/>
  <c r="F185" i="2"/>
  <c r="E186" i="2"/>
  <c r="F186" i="2"/>
  <c r="E187" i="2"/>
  <c r="F187" i="2"/>
  <c r="G187" i="2"/>
  <c r="E188" i="2"/>
  <c r="F188" i="2"/>
  <c r="E189" i="2"/>
  <c r="F189" i="2"/>
  <c r="G189" i="2"/>
  <c r="E190" i="2"/>
  <c r="F190" i="2"/>
  <c r="G190" i="2"/>
  <c r="E191" i="2"/>
  <c r="F191" i="2"/>
  <c r="E192" i="2"/>
  <c r="F192" i="2"/>
  <c r="G192" i="2"/>
  <c r="E193" i="2"/>
  <c r="F193" i="2"/>
  <c r="G193" i="2"/>
  <c r="E194" i="2"/>
  <c r="F194" i="2"/>
  <c r="E195" i="2"/>
  <c r="F195" i="2"/>
  <c r="G195" i="2"/>
  <c r="E196" i="2"/>
  <c r="F196" i="2"/>
  <c r="E197" i="2"/>
  <c r="F197" i="2"/>
  <c r="G197" i="2"/>
  <c r="E198" i="2"/>
  <c r="F198" i="2"/>
  <c r="G198" i="2"/>
  <c r="E199" i="2"/>
  <c r="F199" i="2"/>
  <c r="E200" i="2"/>
  <c r="F200" i="2"/>
  <c r="G200" i="2"/>
  <c r="E201" i="2"/>
  <c r="F201" i="2"/>
  <c r="G201" i="2"/>
  <c r="E202" i="2"/>
  <c r="F202" i="2"/>
  <c r="E203" i="2"/>
  <c r="F203" i="2"/>
  <c r="G203" i="2"/>
  <c r="E204" i="2"/>
  <c r="F204" i="2"/>
  <c r="E205" i="2"/>
  <c r="G205" i="2" s="1"/>
  <c r="F205" i="2"/>
  <c r="E206" i="2"/>
  <c r="F206" i="2"/>
  <c r="G206" i="2"/>
  <c r="E207" i="2"/>
  <c r="F207" i="2"/>
  <c r="E208" i="2"/>
  <c r="G208" i="2" s="1"/>
  <c r="F208" i="2"/>
  <c r="E209" i="2"/>
  <c r="F209" i="2"/>
  <c r="G209" i="2"/>
  <c r="E210" i="2"/>
  <c r="F210" i="2"/>
  <c r="E211" i="2"/>
  <c r="G211" i="2" s="1"/>
  <c r="F211" i="2"/>
  <c r="E212" i="2"/>
  <c r="F212" i="2"/>
  <c r="E213" i="2"/>
  <c r="G213" i="2" s="1"/>
  <c r="F213" i="2"/>
  <c r="E214" i="2"/>
  <c r="G214" i="2" s="1"/>
  <c r="F214" i="2"/>
  <c r="E215" i="2"/>
  <c r="F215" i="2"/>
  <c r="E216" i="2"/>
  <c r="G216" i="2" s="1"/>
  <c r="F216" i="2"/>
  <c r="E217" i="2"/>
  <c r="G217" i="2" s="1"/>
  <c r="F217" i="2"/>
  <c r="E218" i="2"/>
  <c r="F218" i="2"/>
  <c r="E219" i="2"/>
  <c r="G219" i="2" s="1"/>
  <c r="F219" i="2"/>
  <c r="E220" i="2"/>
  <c r="G220" i="2" s="1"/>
  <c r="F220" i="2"/>
  <c r="E221" i="2"/>
  <c r="F221" i="2"/>
  <c r="G221" i="2"/>
  <c r="E222" i="2"/>
  <c r="G222" i="2" s="1"/>
  <c r="F222" i="2"/>
  <c r="E223" i="2"/>
  <c r="F223" i="2"/>
  <c r="E224" i="2"/>
  <c r="F224" i="2"/>
  <c r="G224" i="2"/>
  <c r="E225" i="2"/>
  <c r="G225" i="2" s="1"/>
  <c r="F225" i="2"/>
  <c r="E226" i="2"/>
  <c r="F226" i="2"/>
  <c r="E227" i="2"/>
  <c r="F227" i="2"/>
  <c r="G227" i="2"/>
  <c r="E228" i="2"/>
  <c r="G228" i="2" s="1"/>
  <c r="F228" i="2"/>
  <c r="E229" i="2"/>
  <c r="F229" i="2"/>
  <c r="G229" i="2"/>
  <c r="E230" i="2"/>
  <c r="F230" i="2"/>
  <c r="G230" i="2"/>
  <c r="E231" i="2"/>
  <c r="G231" i="2" s="1"/>
  <c r="F231" i="2"/>
  <c r="E232" i="2"/>
  <c r="F232" i="2"/>
  <c r="G232" i="2"/>
  <c r="E233" i="2"/>
  <c r="F233" i="2"/>
  <c r="G233" i="2"/>
  <c r="E234" i="2"/>
  <c r="G234" i="2" s="1"/>
  <c r="F234" i="2"/>
  <c r="E235" i="2"/>
  <c r="F235" i="2"/>
  <c r="G235" i="2"/>
  <c r="E236" i="2"/>
  <c r="F236" i="2"/>
  <c r="E237" i="2"/>
  <c r="F237" i="2"/>
  <c r="G237" i="2" s="1"/>
  <c r="E238" i="2"/>
  <c r="F238" i="2"/>
  <c r="G238" i="2"/>
  <c r="E239" i="2"/>
  <c r="F239" i="2"/>
  <c r="E240" i="2"/>
  <c r="F240" i="2"/>
  <c r="G240" i="2" s="1"/>
  <c r="E241" i="2"/>
  <c r="F241" i="2"/>
  <c r="G241" i="2"/>
  <c r="E242" i="2"/>
  <c r="F242" i="2"/>
  <c r="E243" i="2"/>
  <c r="F243" i="2"/>
  <c r="G243" i="2" s="1"/>
  <c r="E244" i="2"/>
  <c r="F244" i="2"/>
  <c r="E245" i="2"/>
  <c r="F245" i="2"/>
  <c r="G245" i="2"/>
  <c r="E246" i="2"/>
  <c r="F246" i="2"/>
  <c r="G246" i="2" s="1"/>
  <c r="E247" i="2"/>
  <c r="F247" i="2"/>
  <c r="E248" i="2"/>
  <c r="F248" i="2"/>
  <c r="G248" i="2"/>
  <c r="E249" i="2"/>
  <c r="F249" i="2"/>
  <c r="G249" i="2" s="1"/>
  <c r="E250" i="2"/>
  <c r="F250" i="2"/>
  <c r="E251" i="2"/>
  <c r="F251" i="2"/>
  <c r="G251" i="2"/>
  <c r="E252" i="2"/>
  <c r="F252" i="2"/>
  <c r="E253" i="2"/>
  <c r="G253" i="2" s="1"/>
  <c r="F253" i="2"/>
  <c r="E254" i="2"/>
  <c r="F254" i="2"/>
  <c r="G254" i="2"/>
  <c r="E255" i="2"/>
  <c r="F255" i="2"/>
  <c r="E256" i="2"/>
  <c r="G256" i="2" s="1"/>
  <c r="F256" i="2"/>
  <c r="E257" i="2"/>
  <c r="F257" i="2"/>
  <c r="G257" i="2"/>
  <c r="E258" i="2"/>
  <c r="F258" i="2"/>
  <c r="E259" i="2"/>
  <c r="G259" i="2" s="1"/>
  <c r="F259" i="2"/>
  <c r="E260" i="2"/>
  <c r="G260" i="2" s="1"/>
  <c r="F260" i="2"/>
  <c r="E261" i="2"/>
  <c r="F261" i="2"/>
  <c r="G261" i="2"/>
  <c r="E262" i="2"/>
  <c r="G262" i="2" s="1"/>
  <c r="F262" i="2"/>
  <c r="E263" i="2"/>
  <c r="G263" i="2" s="1"/>
  <c r="F263" i="2"/>
  <c r="E264" i="2"/>
  <c r="F264" i="2"/>
  <c r="G264" i="2"/>
  <c r="E265" i="2"/>
  <c r="G265" i="2" s="1"/>
  <c r="F265" i="2"/>
  <c r="E266" i="2"/>
  <c r="G266" i="2" s="1"/>
  <c r="F266" i="2"/>
  <c r="E267" i="2"/>
  <c r="F267" i="2"/>
  <c r="G267" i="2"/>
  <c r="E268" i="2"/>
  <c r="G268" i="2" s="1"/>
  <c r="F268" i="2"/>
  <c r="E269" i="2"/>
  <c r="G269" i="2" s="1"/>
  <c r="F269" i="2"/>
  <c r="E270" i="2"/>
  <c r="F270" i="2"/>
  <c r="G270" i="2"/>
  <c r="E271" i="2"/>
  <c r="G271" i="2" s="1"/>
  <c r="F271" i="2"/>
  <c r="E272" i="2"/>
  <c r="G272" i="2" s="1"/>
  <c r="F272" i="2"/>
  <c r="E273" i="2"/>
  <c r="F273" i="2"/>
  <c r="G273" i="2"/>
  <c r="E274" i="2"/>
  <c r="G274" i="2" s="1"/>
  <c r="F274" i="2"/>
  <c r="E275" i="2"/>
  <c r="G275" i="2" s="1"/>
  <c r="F275" i="2"/>
  <c r="E276" i="2"/>
  <c r="F276" i="2"/>
  <c r="E277" i="2"/>
  <c r="G277" i="2" s="1"/>
  <c r="F277" i="2"/>
  <c r="E278" i="2"/>
  <c r="G278" i="2" s="1"/>
  <c r="F278" i="2"/>
  <c r="E279" i="2"/>
  <c r="F279" i="2"/>
  <c r="E280" i="2"/>
  <c r="G280" i="2" s="1"/>
  <c r="F280" i="2"/>
  <c r="E281" i="2"/>
  <c r="G281" i="2" s="1"/>
  <c r="F281" i="2"/>
  <c r="E282" i="2"/>
  <c r="F282" i="2"/>
  <c r="G282" i="2" s="1"/>
  <c r="E283" i="2"/>
  <c r="G283" i="2" s="1"/>
  <c r="F283" i="2"/>
  <c r="E284" i="2"/>
  <c r="F284" i="2"/>
  <c r="E285" i="2"/>
  <c r="F285" i="2"/>
  <c r="G285" i="2"/>
  <c r="E286" i="2"/>
  <c r="G286" i="2" s="1"/>
  <c r="F286" i="2"/>
  <c r="E287" i="2"/>
  <c r="F287" i="2"/>
  <c r="E288" i="2"/>
  <c r="F288" i="2"/>
  <c r="G288" i="2"/>
  <c r="E289" i="2"/>
  <c r="G289" i="2" s="1"/>
  <c r="F289" i="2"/>
  <c r="E290" i="2"/>
  <c r="F290" i="2"/>
  <c r="G290" i="2" s="1"/>
  <c r="E291" i="2"/>
  <c r="F291" i="2"/>
  <c r="G291" i="2"/>
  <c r="E292" i="2"/>
  <c r="G292" i="2" s="1"/>
  <c r="F292" i="2"/>
  <c r="E293" i="2"/>
  <c r="F293" i="2"/>
  <c r="G293" i="2"/>
  <c r="E294" i="2"/>
  <c r="F294" i="2"/>
  <c r="G294" i="2"/>
  <c r="E295" i="2"/>
  <c r="G295" i="2" s="1"/>
  <c r="F295" i="2"/>
  <c r="E296" i="2"/>
  <c r="F296" i="2"/>
  <c r="G296" i="2"/>
  <c r="E297" i="2"/>
  <c r="F297" i="2"/>
  <c r="G297" i="2"/>
  <c r="E298" i="2"/>
  <c r="F298" i="2"/>
  <c r="E299" i="2"/>
  <c r="F299" i="2"/>
  <c r="G299" i="2"/>
  <c r="E300" i="2"/>
  <c r="F300" i="2"/>
  <c r="E301" i="2"/>
  <c r="F301" i="2"/>
  <c r="G301" i="2" s="1"/>
  <c r="K2" i="1"/>
  <c r="M2" i="1" s="1"/>
  <c r="L2" i="1"/>
  <c r="K3" i="1"/>
  <c r="M3" i="1" s="1"/>
  <c r="L3" i="1"/>
  <c r="K4" i="1"/>
  <c r="M4" i="1" s="1"/>
  <c r="L4" i="1"/>
  <c r="K5" i="1"/>
  <c r="L5" i="1"/>
  <c r="M5" i="1"/>
  <c r="K6" i="1"/>
  <c r="M6" i="1" s="1"/>
  <c r="L6" i="1"/>
  <c r="B7" i="1"/>
  <c r="E7" i="1"/>
  <c r="H7" i="1"/>
  <c r="K7" i="1"/>
  <c r="L7" i="1"/>
  <c r="M7" i="1"/>
  <c r="K8" i="1"/>
  <c r="L8" i="1"/>
  <c r="M8" i="1"/>
  <c r="K9" i="1"/>
  <c r="M9" i="1" s="1"/>
  <c r="L9" i="1"/>
  <c r="K10" i="1"/>
  <c r="M10" i="1" s="1"/>
  <c r="L10" i="1"/>
  <c r="K11" i="1"/>
  <c r="M11" i="1" s="1"/>
  <c r="L11" i="1"/>
  <c r="K12" i="1"/>
  <c r="L12" i="1"/>
  <c r="M12" i="1"/>
  <c r="K13" i="1"/>
  <c r="L13" i="1"/>
  <c r="M13" i="1"/>
  <c r="K14" i="1"/>
  <c r="M14" i="1" s="1"/>
  <c r="L14" i="1"/>
  <c r="B15" i="1"/>
  <c r="E15" i="1"/>
  <c r="H15" i="1"/>
  <c r="K15" i="1"/>
  <c r="L15" i="1"/>
  <c r="M15" i="1"/>
  <c r="K16" i="1"/>
  <c r="M16" i="1" s="1"/>
  <c r="L16" i="1"/>
  <c r="K17" i="1"/>
  <c r="M17" i="1" s="1"/>
  <c r="L17" i="1"/>
  <c r="K18" i="1"/>
  <c r="M18" i="1" s="1"/>
  <c r="L18" i="1"/>
  <c r="K19" i="1"/>
  <c r="M19" i="1" s="1"/>
  <c r="L19" i="1"/>
  <c r="K20" i="1"/>
  <c r="L20" i="1"/>
  <c r="M20" i="1"/>
  <c r="K21" i="1"/>
  <c r="M21" i="1" s="1"/>
  <c r="L21" i="1"/>
  <c r="K22" i="1"/>
  <c r="L22" i="1"/>
  <c r="M22" i="1"/>
  <c r="K23" i="1"/>
  <c r="L23" i="1"/>
  <c r="M23" i="1"/>
  <c r="K24" i="1"/>
  <c r="M24" i="1" s="1"/>
  <c r="L24" i="1"/>
  <c r="K25" i="1"/>
  <c r="M25" i="1" s="1"/>
  <c r="L25" i="1"/>
  <c r="L26" i="1"/>
  <c r="G215" i="2" l="1"/>
  <c r="G154" i="2"/>
  <c r="G151" i="2"/>
  <c r="G148" i="2"/>
  <c r="G90" i="2"/>
  <c r="G87" i="2"/>
  <c r="G84" i="2"/>
  <c r="R27" i="2"/>
  <c r="G26" i="2"/>
  <c r="R24" i="2"/>
  <c r="G5" i="2"/>
  <c r="R3" i="2"/>
  <c r="G252" i="2"/>
  <c r="G191" i="2"/>
  <c r="G127" i="2"/>
  <c r="G63" i="2"/>
  <c r="R15" i="2"/>
  <c r="R12" i="2"/>
  <c r="G279" i="2"/>
  <c r="G218" i="2"/>
  <c r="G212" i="2"/>
  <c r="G300" i="2"/>
  <c r="G242" i="2"/>
  <c r="G239" i="2"/>
  <c r="G236" i="2"/>
  <c r="G178" i="2"/>
  <c r="G175" i="2"/>
  <c r="G172" i="2"/>
  <c r="G114" i="2"/>
  <c r="G111" i="2"/>
  <c r="G108" i="2"/>
  <c r="G50" i="2"/>
  <c r="G47" i="2"/>
  <c r="G44" i="2"/>
  <c r="R7" i="2"/>
  <c r="F302" i="2"/>
  <c r="G202" i="2"/>
  <c r="G199" i="2"/>
  <c r="G196" i="2"/>
  <c r="G138" i="2"/>
  <c r="G135" i="2"/>
  <c r="G132" i="2"/>
  <c r="G74" i="2"/>
  <c r="G71" i="2"/>
  <c r="G68" i="2"/>
  <c r="R19" i="2"/>
  <c r="G18" i="2"/>
  <c r="R16" i="2"/>
  <c r="G6" i="2"/>
  <c r="G255" i="2"/>
  <c r="G66" i="2"/>
  <c r="G276" i="2"/>
  <c r="G287" i="2"/>
  <c r="G226" i="2"/>
  <c r="P28" i="2"/>
  <c r="G258" i="2"/>
  <c r="G194" i="2"/>
  <c r="G188" i="2"/>
  <c r="G130" i="2"/>
  <c r="G124" i="2"/>
  <c r="G60" i="2"/>
  <c r="G14" i="2"/>
  <c r="G284" i="2"/>
  <c r="G223" i="2"/>
  <c r="G250" i="2"/>
  <c r="G247" i="2"/>
  <c r="G244" i="2"/>
  <c r="G186" i="2"/>
  <c r="G183" i="2"/>
  <c r="G180" i="2"/>
  <c r="G122" i="2"/>
  <c r="G119" i="2"/>
  <c r="G116" i="2"/>
  <c r="G58" i="2"/>
  <c r="G55" i="2"/>
  <c r="G52" i="2"/>
  <c r="R11" i="2"/>
  <c r="G10" i="2"/>
  <c r="R8" i="2"/>
  <c r="R28" i="2" s="1"/>
  <c r="G298" i="2"/>
  <c r="G210" i="2"/>
  <c r="G207" i="2"/>
  <c r="G204" i="2"/>
  <c r="G146" i="2"/>
  <c r="G143" i="2"/>
  <c r="G140" i="2"/>
  <c r="G82" i="2"/>
  <c r="G79" i="2"/>
  <c r="G76" i="2"/>
  <c r="R23" i="2"/>
  <c r="G22" i="2"/>
  <c r="R20" i="2"/>
  <c r="E302" i="2"/>
  <c r="G302" i="2" s="1"/>
  <c r="M26" i="1"/>
  <c r="K26" i="1"/>
</calcChain>
</file>

<file path=xl/sharedStrings.xml><?xml version="1.0" encoding="utf-8"?>
<sst xmlns="http://schemas.openxmlformats.org/spreadsheetml/2006/main" count="63" uniqueCount="24">
  <si>
    <t>Total</t>
  </si>
  <si>
    <t>EMI</t>
  </si>
  <si>
    <t>Months</t>
  </si>
  <si>
    <t>int</t>
  </si>
  <si>
    <t>Int</t>
  </si>
  <si>
    <t>DP</t>
  </si>
  <si>
    <t>Dp</t>
  </si>
  <si>
    <t>Loan AMT.</t>
  </si>
  <si>
    <t>Price</t>
  </si>
  <si>
    <t>Gold loan</t>
  </si>
  <si>
    <t>Bike</t>
  </si>
  <si>
    <t>LED</t>
  </si>
  <si>
    <t>According to month</t>
  </si>
  <si>
    <t>years</t>
  </si>
  <si>
    <t>Years</t>
  </si>
  <si>
    <t>IPMT</t>
  </si>
  <si>
    <t>PPMT</t>
  </si>
  <si>
    <t>MONTH</t>
  </si>
  <si>
    <t>According to years</t>
  </si>
  <si>
    <t>Month</t>
  </si>
  <si>
    <t>ipmt</t>
  </si>
  <si>
    <t>ppmt</t>
  </si>
  <si>
    <t>AMT</t>
  </si>
  <si>
    <t>Home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</si>
</sst>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3" formatCode="_ * #,##0.00_ ;_ * \-#,##0.00_ ;_ * &quot;-&quot;??_ ;_ @_ "/>
  </numFmts>
  <fonts count="2" x14ac:knownFonts="1">
    <font>
      <sz val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8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0" fillId="2" borderId="0" xfId="0" applyFill="1"/>
    <xf numFmtId="8" fontId="0" fillId="0" borderId="0" xfId="0" applyNumberFormat="1"/>
    <xf numFmtId="10" fontId="0" fillId="0" borderId="0" xfId="0" applyNumberFormat="1"/>
    <xf numFmtId="43" fontId="0" fillId="0" borderId="0" xfId="1" applyFont="1"/>
  </cellXfs>
  <cellStyles count="2">
    <cellStyle name="Comma 2" xfId="1" xr:uid="{4D6BAB56-B50F-4AA6-8ADF-EEBA7AF561B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78CA-0682-44B0-8AD9-E748AE729D05}">
  <dimension ref="A1:R302"/>
  <sheetViews>
    <sheetView tabSelected="1" zoomScale="95" workbookViewId="0">
      <selection activeCell="P4" sqref="P4"/>
    </sheetView>
  </sheetViews>
  <sheetFormatPr defaultRowHeight="12.5" x14ac:dyDescent="0.25"/>
  <cols>
    <col min="1" max="1" width="5.26953125" bestFit="1" customWidth="1"/>
    <col min="2" max="2" width="12.54296875" bestFit="1" customWidth="1"/>
    <col min="4" max="4" width="3.81640625" bestFit="1" customWidth="1"/>
    <col min="5" max="5" width="13.08984375" bestFit="1" customWidth="1"/>
    <col min="6" max="7" width="14.6328125" bestFit="1" customWidth="1"/>
    <col min="10" max="10" width="4.81640625" bestFit="1" customWidth="1"/>
    <col min="11" max="11" width="13.08984375" bestFit="1" customWidth="1"/>
    <col min="12" max="12" width="12" bestFit="1" customWidth="1"/>
    <col min="13" max="13" width="13.08984375" bestFit="1" customWidth="1"/>
    <col min="15" max="15" width="4.81640625" bestFit="1" customWidth="1"/>
    <col min="16" max="16" width="13.08984375" bestFit="1" customWidth="1"/>
    <col min="17" max="17" width="12" bestFit="1" customWidth="1"/>
    <col min="18" max="18" width="13.08984375" bestFit="1" customWidth="1"/>
  </cols>
  <sheetData>
    <row r="1" spans="1:18" x14ac:dyDescent="0.25">
      <c r="B1" t="s">
        <v>23</v>
      </c>
      <c r="E1" t="s">
        <v>21</v>
      </c>
      <c r="F1" t="s">
        <v>20</v>
      </c>
      <c r="G1" t="s">
        <v>1</v>
      </c>
      <c r="M1" t="s">
        <v>23</v>
      </c>
    </row>
    <row r="2" spans="1:18" x14ac:dyDescent="0.25">
      <c r="A2" t="s">
        <v>22</v>
      </c>
      <c r="B2" s="9">
        <v>5000000</v>
      </c>
      <c r="D2">
        <v>1</v>
      </c>
      <c r="E2" s="7">
        <f>PPMT($B$4/12,D2,$B$5*12,$B$3-$B$2)</f>
        <v>1691.479098256516</v>
      </c>
      <c r="F2" s="7">
        <f>IPMT($B$4/12,D2,$B$5*12,$B$3-$B$2)</f>
        <v>60416.666666666664</v>
      </c>
      <c r="G2" s="7">
        <f>E2+F2</f>
        <v>62108.145764923182</v>
      </c>
      <c r="L2" t="s">
        <v>22</v>
      </c>
      <c r="M2" s="9">
        <v>5000000</v>
      </c>
      <c r="P2" t="s">
        <v>21</v>
      </c>
      <c r="Q2" t="s">
        <v>20</v>
      </c>
      <c r="R2" t="s">
        <v>1</v>
      </c>
    </row>
    <row r="3" spans="1:18" x14ac:dyDescent="0.25">
      <c r="A3" t="s">
        <v>5</v>
      </c>
      <c r="B3">
        <v>0</v>
      </c>
      <c r="D3">
        <v>2</v>
      </c>
      <c r="E3" s="7">
        <f>PPMT($B$4/12,D3,$B$5*12,$B$3-$B$2)</f>
        <v>1711.9178040271156</v>
      </c>
      <c r="F3" s="7">
        <f>IPMT($B$4/12,D3,$B$5*12,$B$3-$B$2)</f>
        <v>60396.227960896074</v>
      </c>
      <c r="G3" s="7">
        <f>E3+F3</f>
        <v>62108.145764923189</v>
      </c>
      <c r="L3" t="s">
        <v>5</v>
      </c>
      <c r="M3">
        <v>0</v>
      </c>
      <c r="O3">
        <v>1</v>
      </c>
      <c r="P3" s="7">
        <f>PPMT($M$4/12,O3,$M$5,$M$3-$M$2)</f>
        <v>172507.10441862617</v>
      </c>
      <c r="Q3" s="7">
        <f>IPMT($M$4/12,O3,$M$5,$M$3-$M$2)</f>
        <v>60416.666666666664</v>
      </c>
      <c r="R3" s="7">
        <f>P3+Q3</f>
        <v>232923.77108529283</v>
      </c>
    </row>
    <row r="4" spans="1:18" x14ac:dyDescent="0.25">
      <c r="A4" t="s">
        <v>4</v>
      </c>
      <c r="B4" s="8">
        <v>0.14499999999999999</v>
      </c>
      <c r="D4">
        <v>3</v>
      </c>
      <c r="E4" s="7">
        <f>PPMT($B$4/12,D4,$B$5*12,$B$3-$B$2)</f>
        <v>1732.6034774924426</v>
      </c>
      <c r="F4" s="7">
        <f>IPMT($B$4/12,D4,$B$5*12,$B$3-$B$2)</f>
        <v>60375.542287430741</v>
      </c>
      <c r="G4" s="7">
        <f>E4+F4</f>
        <v>62108.145764923182</v>
      </c>
      <c r="L4" t="s">
        <v>4</v>
      </c>
      <c r="M4" s="8">
        <v>0.14499999999999999</v>
      </c>
      <c r="O4">
        <v>2</v>
      </c>
      <c r="P4" s="7">
        <f>PPMT($M$4/12,O4,$M$5,$M$3-$M$2)</f>
        <v>174591.56526368455</v>
      </c>
      <c r="Q4" s="7">
        <f>IPMT($M$4/12,O4,$M$5,$M$3-$M$2)</f>
        <v>58332.205821608266</v>
      </c>
      <c r="R4" s="7">
        <f>P4+Q4</f>
        <v>232923.7710852928</v>
      </c>
    </row>
    <row r="5" spans="1:18" x14ac:dyDescent="0.25">
      <c r="A5" t="s">
        <v>13</v>
      </c>
      <c r="B5">
        <v>25</v>
      </c>
      <c r="D5">
        <v>4</v>
      </c>
      <c r="E5" s="7">
        <f>PPMT($B$4/12,D5,$B$5*12,$B$3-$B$2)</f>
        <v>1753.5391028454767</v>
      </c>
      <c r="F5" s="7">
        <f>IPMT($B$4/12,D5,$B$5*12,$B$3-$B$2)</f>
        <v>60354.606662077713</v>
      </c>
      <c r="G5" s="7">
        <f>E5+F5</f>
        <v>62108.145764923189</v>
      </c>
      <c r="L5" t="s">
        <v>19</v>
      </c>
      <c r="M5">
        <v>25</v>
      </c>
      <c r="O5">
        <v>3</v>
      </c>
      <c r="P5" s="7">
        <f>PPMT($M$4/12,O5,$M$5,$M$3-$M$2)</f>
        <v>176701.21334395409</v>
      </c>
      <c r="Q5" s="7">
        <f>IPMT($M$4/12,O5,$M$5,$M$3-$M$2)</f>
        <v>56222.557741338744</v>
      </c>
      <c r="R5" s="7">
        <f>P5+Q5</f>
        <v>232923.77108529283</v>
      </c>
    </row>
    <row r="6" spans="1:18" x14ac:dyDescent="0.25">
      <c r="A6" t="s">
        <v>1</v>
      </c>
      <c r="B6" s="7">
        <f>PMT(B4/12,B5*12,B3-B2)</f>
        <v>62108.145764923182</v>
      </c>
      <c r="D6">
        <v>5</v>
      </c>
      <c r="E6" s="7">
        <f>PPMT($B$4/12,D6,$B$5*12,$B$3-$B$2)</f>
        <v>1774.727700338193</v>
      </c>
      <c r="F6" s="7">
        <f>IPMT($B$4/12,D6,$B$5*12,$B$3-$B$2)</f>
        <v>60333.418064584992</v>
      </c>
      <c r="G6" s="7">
        <f>E6+F6</f>
        <v>62108.145764923182</v>
      </c>
      <c r="L6" t="s">
        <v>1</v>
      </c>
      <c r="M6" s="7">
        <f>PMT(M4/12,M5*12,M3-M2)</f>
        <v>62108.145764923182</v>
      </c>
      <c r="O6">
        <v>4</v>
      </c>
      <c r="P6" s="7">
        <f>PPMT($M$4/12,O6,$M$5,$M$3-$M$2)</f>
        <v>178836.35300519355</v>
      </c>
      <c r="Q6" s="7">
        <f>IPMT($M$4/12,O6,$M$5,$M$3-$M$2)</f>
        <v>54087.418080099298</v>
      </c>
      <c r="R6" s="7">
        <f>P6+Q6</f>
        <v>232923.77108529286</v>
      </c>
    </row>
    <row r="7" spans="1:18" x14ac:dyDescent="0.25">
      <c r="D7">
        <v>6</v>
      </c>
      <c r="E7" s="7">
        <f>PPMT($B$4/12,D7,$B$5*12,$B$3-$B$2)</f>
        <v>1796.1723267172797</v>
      </c>
      <c r="F7" s="7">
        <f>IPMT($B$4/12,D7,$B$5*12,$B$3-$B$2)</f>
        <v>60311.97343820591</v>
      </c>
      <c r="G7" s="7">
        <f>E7+F7</f>
        <v>62108.145764923189</v>
      </c>
      <c r="O7">
        <v>5</v>
      </c>
      <c r="P7" s="7">
        <f>PPMT($M$4/12,O7,$M$5,$M$3-$M$2)</f>
        <v>180997.29227067297</v>
      </c>
      <c r="Q7" s="7">
        <f>IPMT($M$4/12,O7,$M$5,$M$3-$M$2)</f>
        <v>51926.47881461987</v>
      </c>
      <c r="R7" s="7">
        <f>P7+Q7</f>
        <v>232923.77108529286</v>
      </c>
    </row>
    <row r="8" spans="1:18" x14ac:dyDescent="0.25">
      <c r="D8">
        <v>7</v>
      </c>
      <c r="E8" s="7">
        <f>PPMT($B$4/12,D8,$B$5*12,$B$3-$B$2)</f>
        <v>1817.8760756651129</v>
      </c>
      <c r="F8" s="7">
        <f>IPMT($B$4/12,D8,$B$5*12,$B$3-$B$2)</f>
        <v>60290.269689258072</v>
      </c>
      <c r="G8" s="7">
        <f>E8+F8</f>
        <v>62108.145764923182</v>
      </c>
      <c r="O8">
        <v>6</v>
      </c>
      <c r="P8" s="7">
        <f>PPMT($M$4/12,O8,$M$5,$M$3-$M$2)</f>
        <v>183184.34288561027</v>
      </c>
      <c r="Q8" s="7">
        <f>IPMT($M$4/12,O8,$M$5,$M$3-$M$2)</f>
        <v>49739.428199682581</v>
      </c>
      <c r="R8" s="7">
        <f>P8+Q8</f>
        <v>232923.77108529286</v>
      </c>
    </row>
    <row r="9" spans="1:18" x14ac:dyDescent="0.25">
      <c r="D9">
        <v>8</v>
      </c>
      <c r="E9" s="7">
        <f>PPMT($B$4/12,D9,$B$5*12,$B$3-$B$2)</f>
        <v>1839.8420782460664</v>
      </c>
      <c r="F9" s="7">
        <f>IPMT($B$4/12,D9,$B$5*12,$B$3-$B$2)</f>
        <v>60268.303686677114</v>
      </c>
      <c r="G9" s="7">
        <f>E9+F9</f>
        <v>62108.145764923182</v>
      </c>
      <c r="O9">
        <v>7</v>
      </c>
      <c r="P9" s="7">
        <f>PPMT($M$4/12,O9,$M$5,$M$3-$M$2)</f>
        <v>185397.8203621447</v>
      </c>
      <c r="Q9" s="7">
        <f>IPMT($M$4/12,O9,$M$5,$M$3-$M$2)</f>
        <v>47525.950723148118</v>
      </c>
      <c r="R9" s="7">
        <f>P9+Q9</f>
        <v>232923.77108529283</v>
      </c>
    </row>
    <row r="10" spans="1:18" x14ac:dyDescent="0.25">
      <c r="D10">
        <v>9</v>
      </c>
      <c r="E10" s="7">
        <f>PPMT($B$4/12,D10,$B$5*12,$B$3-$B$2)</f>
        <v>1862.0735033582068</v>
      </c>
      <c r="F10" s="7">
        <f>IPMT($B$4/12,D10,$B$5*12,$B$3-$B$2)</f>
        <v>60246.072261564972</v>
      </c>
      <c r="G10" s="7">
        <f>E10+F10</f>
        <v>62108.145764923182</v>
      </c>
      <c r="O10">
        <v>8</v>
      </c>
      <c r="P10" s="7">
        <f>PPMT($M$4/12,O10,$M$5,$M$3-$M$2)</f>
        <v>187638.04402485394</v>
      </c>
      <c r="Q10" s="7">
        <f>IPMT($M$4/12,O10,$M$5,$M$3-$M$2)</f>
        <v>45285.727060438869</v>
      </c>
      <c r="R10" s="7">
        <f>P10+Q10</f>
        <v>232923.7710852928</v>
      </c>
    </row>
    <row r="11" spans="1:18" x14ac:dyDescent="0.25">
      <c r="D11">
        <v>10</v>
      </c>
      <c r="E11" s="7">
        <f>PPMT($B$4/12,D11,$B$5*12,$B$3-$B$2)</f>
        <v>1884.5735581904521</v>
      </c>
      <c r="F11" s="7">
        <f>IPMT($B$4/12,D11,$B$5*12,$B$3-$B$2)</f>
        <v>60223.572206732737</v>
      </c>
      <c r="G11" s="7">
        <f>E11+F11</f>
        <v>62108.145764923189</v>
      </c>
      <c r="O11">
        <v>9</v>
      </c>
      <c r="P11" s="7">
        <f>PPMT($M$4/12,O11,$M$5,$M$3-$M$2)</f>
        <v>189905.33705682092</v>
      </c>
      <c r="Q11" s="7">
        <f>IPMT($M$4/12,O11,$M$5,$M$3-$M$2)</f>
        <v>43018.434028471886</v>
      </c>
      <c r="R11" s="7">
        <f>P11+Q11</f>
        <v>232923.7710852928</v>
      </c>
    </row>
    <row r="12" spans="1:18" x14ac:dyDescent="0.25">
      <c r="D12">
        <v>11</v>
      </c>
      <c r="E12" s="7">
        <f>PPMT($B$4/12,D12,$B$5*12,$B$3-$B$2)</f>
        <v>1907.3454886852528</v>
      </c>
      <c r="F12" s="7">
        <f>IPMT($B$4/12,D12,$B$5*12,$B$3-$B$2)</f>
        <v>60200.800276237933</v>
      </c>
      <c r="G12" s="7">
        <f>E12+F12</f>
        <v>62108.145764923189</v>
      </c>
      <c r="O12">
        <v>10</v>
      </c>
      <c r="P12" s="7">
        <f>PPMT($M$4/12,O12,$M$5,$M$3-$M$2)</f>
        <v>192200.02654625755</v>
      </c>
      <c r="Q12" s="7">
        <f>IPMT($M$4/12,O12,$M$5,$M$3-$M$2)</f>
        <v>40723.744539035302</v>
      </c>
      <c r="R12" s="7">
        <f>P12+Q12</f>
        <v>232923.77108529286</v>
      </c>
    </row>
    <row r="13" spans="1:18" x14ac:dyDescent="0.25">
      <c r="D13">
        <v>12</v>
      </c>
      <c r="E13" s="7">
        <f>PPMT($B$4/12,D13,$B$5*12,$B$3-$B$2)</f>
        <v>1930.3925800068664</v>
      </c>
      <c r="F13" s="7">
        <f>IPMT($B$4/12,D13,$B$5*12,$B$3-$B$2)</f>
        <v>60177.753184916321</v>
      </c>
      <c r="G13" s="7">
        <f>E13+F13</f>
        <v>62108.145764923189</v>
      </c>
      <c r="O13">
        <v>11</v>
      </c>
      <c r="P13" s="7">
        <f>PPMT($M$4/12,O13,$M$5,$M$3-$M$2)</f>
        <v>194522.44353369146</v>
      </c>
      <c r="Q13" s="7">
        <f>IPMT($M$4/12,O13,$M$5,$M$3-$M$2)</f>
        <v>38401.327551601353</v>
      </c>
      <c r="R13" s="7">
        <f>P13+Q13</f>
        <v>232923.7710852928</v>
      </c>
    </row>
    <row r="14" spans="1:18" x14ac:dyDescent="0.25">
      <c r="D14">
        <v>13</v>
      </c>
      <c r="E14" s="7">
        <f>PPMT($B$4/12,D14,$B$5*12,$B$3-$B$2)</f>
        <v>1953.7181570152829</v>
      </c>
      <c r="F14" s="7">
        <f>IPMT($B$4/12,D14,$B$5*12,$B$3-$B$2)</f>
        <v>60154.427607907906</v>
      </c>
      <c r="G14" s="7">
        <f>E14+F14</f>
        <v>62108.145764923189</v>
      </c>
      <c r="O14">
        <v>12</v>
      </c>
      <c r="P14" s="7">
        <f>PPMT($M$4/12,O14,$M$5,$M$3-$M$2)</f>
        <v>196872.92305972357</v>
      </c>
      <c r="Q14" s="7">
        <f>IPMT($M$4/12,O14,$M$5,$M$3-$M$2)</f>
        <v>36050.848025569248</v>
      </c>
      <c r="R14" s="7">
        <f>P14+Q14</f>
        <v>232923.77108529283</v>
      </c>
    </row>
    <row r="15" spans="1:18" x14ac:dyDescent="0.25">
      <c r="D15">
        <v>14</v>
      </c>
      <c r="E15" s="7">
        <f>PPMT($B$4/12,D15,$B$5*12,$B$3-$B$2)</f>
        <v>1977.3255847458838</v>
      </c>
      <c r="F15" s="7">
        <f>IPMT($B$4/12,D15,$B$5*12,$B$3-$B$2)</f>
        <v>60130.820180177303</v>
      </c>
      <c r="G15" s="7">
        <f>E15+F15</f>
        <v>62108.145764923189</v>
      </c>
      <c r="O15">
        <v>13</v>
      </c>
      <c r="P15" s="7">
        <f>PPMT($M$4/12,O15,$M$5,$M$3-$M$2)</f>
        <v>199251.8042133619</v>
      </c>
      <c r="Q15" s="7">
        <f>IPMT($M$4/12,O15,$M$5,$M$3-$M$2)</f>
        <v>33671.966871930919</v>
      </c>
      <c r="R15" s="7">
        <f>P15+Q15</f>
        <v>232923.77108529283</v>
      </c>
    </row>
    <row r="16" spans="1:18" x14ac:dyDescent="0.25">
      <c r="D16">
        <v>15</v>
      </c>
      <c r="E16" s="7">
        <f>PPMT($B$4/12,D16,$B$5*12,$B$3-$B$2)</f>
        <v>2001.2182688948965</v>
      </c>
      <c r="F16" s="7">
        <f>IPMT($B$4/12,D16,$B$5*12,$B$3-$B$2)</f>
        <v>60106.927496028286</v>
      </c>
      <c r="G16" s="7">
        <f>E16+F16</f>
        <v>62108.145764923182</v>
      </c>
      <c r="O16">
        <v>14</v>
      </c>
      <c r="P16" s="7">
        <f>PPMT($M$4/12,O16,$M$5,$M$3-$M$2)</f>
        <v>201659.43018094002</v>
      </c>
      <c r="Q16" s="7">
        <f>IPMT($M$4/12,O16,$M$5,$M$3-$M$2)</f>
        <v>31264.340904352805</v>
      </c>
      <c r="R16" s="7">
        <f>P16+Q16</f>
        <v>232923.77108529283</v>
      </c>
    </row>
    <row r="17" spans="4:18" x14ac:dyDescent="0.25">
      <c r="D17">
        <v>16</v>
      </c>
      <c r="E17" s="7">
        <f>PPMT($B$4/12,D17,$B$5*12,$B$3-$B$2)</f>
        <v>2025.39965631071</v>
      </c>
      <c r="F17" s="7">
        <f>IPMT($B$4/12,D17,$B$5*12,$B$3-$B$2)</f>
        <v>60082.746108612482</v>
      </c>
      <c r="G17" s="7">
        <f>E17+F17</f>
        <v>62108.145764923189</v>
      </c>
      <c r="O17">
        <v>15</v>
      </c>
      <c r="P17" s="7">
        <f>PPMT($M$4/12,O17,$M$5,$M$3-$M$2)</f>
        <v>204096.14829562639</v>
      </c>
      <c r="Q17" s="7">
        <f>IPMT($M$4/12,O17,$M$5,$M$3-$M$2)</f>
        <v>28827.622789666435</v>
      </c>
      <c r="R17" s="7">
        <f>P17+Q17</f>
        <v>232923.77108529283</v>
      </c>
    </row>
    <row r="18" spans="4:18" x14ac:dyDescent="0.25">
      <c r="D18">
        <v>17</v>
      </c>
      <c r="E18" s="7">
        <f>PPMT($B$4/12,D18,$B$5*12,$B$3-$B$2)</f>
        <v>2049.8732354911317</v>
      </c>
      <c r="F18" s="7">
        <f>IPMT($B$4/12,D18,$B$5*12,$B$3-$B$2)</f>
        <v>60058.272529432048</v>
      </c>
      <c r="G18" s="7">
        <f>E18+F18</f>
        <v>62108.145764923182</v>
      </c>
      <c r="O18">
        <v>16</v>
      </c>
      <c r="P18" s="7">
        <f>PPMT($M$4/12,O18,$M$5,$M$3-$M$2)</f>
        <v>206562.31008753186</v>
      </c>
      <c r="Q18" s="7">
        <f>IPMT($M$4/12,O18,$M$5,$M$3-$M$2)</f>
        <v>26361.460997760951</v>
      </c>
      <c r="R18" s="7">
        <f>P18+Q18</f>
        <v>232923.7710852928</v>
      </c>
    </row>
    <row r="19" spans="4:18" x14ac:dyDescent="0.25">
      <c r="D19">
        <v>18</v>
      </c>
      <c r="E19" s="7">
        <f>PPMT($B$4/12,D19,$B$5*12,$B$3-$B$2)</f>
        <v>2074.6425370866491</v>
      </c>
      <c r="F19" s="7">
        <f>IPMT($B$4/12,D19,$B$5*12,$B$3-$B$2)</f>
        <v>60033.503227836532</v>
      </c>
      <c r="G19" s="7">
        <f>E19+F19</f>
        <v>62108.145764923182</v>
      </c>
      <c r="O19">
        <v>17</v>
      </c>
      <c r="P19" s="7">
        <f>PPMT($M$4/12,O19,$M$5,$M$3-$M$2)</f>
        <v>209058.27133442287</v>
      </c>
      <c r="Q19" s="7">
        <f>IPMT($M$4/12,O19,$M$5,$M$3-$M$2)</f>
        <v>23865.499750869942</v>
      </c>
      <c r="R19" s="7">
        <f>P19+Q19</f>
        <v>232923.7710852928</v>
      </c>
    </row>
    <row r="20" spans="4:18" x14ac:dyDescent="0.25">
      <c r="D20">
        <v>19</v>
      </c>
      <c r="E20" s="7">
        <f>PPMT($B$4/12,D20,$B$5*12,$B$3-$B$2)</f>
        <v>2099.7111344097798</v>
      </c>
      <c r="F20" s="7">
        <f>IPMT($B$4/12,D20,$B$5*12,$B$3-$B$2)</f>
        <v>60008.434630513402</v>
      </c>
      <c r="G20" s="7">
        <f>E20+F20</f>
        <v>62108.145764923182</v>
      </c>
      <c r="O20">
        <v>18</v>
      </c>
      <c r="P20" s="7">
        <f>PPMT($M$4/12,O20,$M$5,$M$3-$M$2)</f>
        <v>211584.39211304713</v>
      </c>
      <c r="Q20" s="7">
        <f>IPMT($M$4/12,O20,$M$5,$M$3-$M$2)</f>
        <v>21339.378972245671</v>
      </c>
      <c r="R20" s="7">
        <f>P20+Q20</f>
        <v>232923.7710852928</v>
      </c>
    </row>
    <row r="21" spans="4:18" x14ac:dyDescent="0.25">
      <c r="D21">
        <v>20</v>
      </c>
      <c r="E21" s="7">
        <f>PPMT($B$4/12,D21,$B$5*12,$B$3-$B$2)</f>
        <v>2125.0826439505645</v>
      </c>
      <c r="F21" s="7">
        <f>IPMT($B$4/12,D21,$B$5*12,$B$3-$B$2)</f>
        <v>59983.06312097262</v>
      </c>
      <c r="G21" s="7">
        <f>E21+F21</f>
        <v>62108.145764923182</v>
      </c>
      <c r="O21">
        <v>19</v>
      </c>
      <c r="P21" s="7">
        <f>PPMT($M$4/12,O21,$M$5,$M$3-$M$2)</f>
        <v>214141.03685107981</v>
      </c>
      <c r="Q21" s="7">
        <f>IPMT($M$4/12,O21,$M$5,$M$3-$M$2)</f>
        <v>18782.73423421301</v>
      </c>
      <c r="R21" s="7">
        <f>P21+Q21</f>
        <v>232923.77108529283</v>
      </c>
    </row>
    <row r="22" spans="4:18" x14ac:dyDescent="0.25">
      <c r="D22">
        <v>21</v>
      </c>
      <c r="E22" s="7">
        <f>PPMT($B$4/12,D22,$B$5*12,$B$3-$B$2)</f>
        <v>2150.7607258983007</v>
      </c>
      <c r="F22" s="7">
        <f>IPMT($B$4/12,D22,$B$5*12,$B$3-$B$2)</f>
        <v>59957.385039024877</v>
      </c>
      <c r="G22" s="7">
        <f>E22+F22</f>
        <v>62108.145764923174</v>
      </c>
      <c r="O22">
        <v>20</v>
      </c>
      <c r="P22" s="7">
        <f>PPMT($M$4/12,O22,$M$5,$M$3-$M$2)</f>
        <v>216728.57437969703</v>
      </c>
      <c r="Q22" s="7">
        <f>IPMT($M$4/12,O22,$M$5,$M$3-$M$2)</f>
        <v>16195.196705595799</v>
      </c>
      <c r="R22" s="7">
        <f>P22+Q22</f>
        <v>232923.77108529283</v>
      </c>
    </row>
    <row r="23" spans="4:18" x14ac:dyDescent="0.25">
      <c r="D23">
        <v>22</v>
      </c>
      <c r="E23" s="7">
        <f>PPMT($B$4/12,D23,$B$5*12,$B$3-$B$2)</f>
        <v>2176.7490846695714</v>
      </c>
      <c r="F23" s="7">
        <f>IPMT($B$4/12,D23,$B$5*12,$B$3-$B$2)</f>
        <v>59931.396680253616</v>
      </c>
      <c r="G23" s="7">
        <f>E23+F23</f>
        <v>62108.145764923189</v>
      </c>
      <c r="O23">
        <v>21</v>
      </c>
      <c r="P23" s="7">
        <f>PPMT($M$4/12,O23,$M$5,$M$3-$M$2)</f>
        <v>219347.37798678502</v>
      </c>
      <c r="Q23" s="7">
        <f>IPMT($M$4/12,O23,$M$5,$M$3-$M$2)</f>
        <v>13576.393098507791</v>
      </c>
      <c r="R23" s="7">
        <f>P23+Q23</f>
        <v>232923.77108529283</v>
      </c>
    </row>
    <row r="24" spans="4:18" x14ac:dyDescent="0.25">
      <c r="D24">
        <v>23</v>
      </c>
      <c r="E24" s="7">
        <f>PPMT($B$4/12,D24,$B$5*12,$B$3-$B$2)</f>
        <v>2203.0514694426624</v>
      </c>
      <c r="F24" s="7">
        <f>IPMT($B$4/12,D24,$B$5*12,$B$3-$B$2)</f>
        <v>59905.094295480514</v>
      </c>
      <c r="G24" s="7">
        <f>E24+F24</f>
        <v>62108.145764923174</v>
      </c>
      <c r="O24">
        <v>22</v>
      </c>
      <c r="P24" s="7">
        <f>PPMT($M$4/12,O24,$M$5,$M$3-$M$2)</f>
        <v>221997.82547079204</v>
      </c>
      <c r="Q24" s="7">
        <f>IPMT($M$4/12,O24,$M$5,$M$3-$M$2)</f>
        <v>10925.945614500808</v>
      </c>
      <c r="R24" s="7">
        <f>P24+Q24</f>
        <v>232923.77108529286</v>
      </c>
    </row>
    <row r="25" spans="4:18" x14ac:dyDescent="0.25">
      <c r="D25">
        <v>24</v>
      </c>
      <c r="E25" s="7">
        <f>PPMT($B$4/12,D25,$B$5*12,$B$3-$B$2)</f>
        <v>2229.671674698428</v>
      </c>
      <c r="F25" s="7">
        <f>IPMT($B$4/12,D25,$B$5*12,$B$3-$B$2)</f>
        <v>59878.47409022475</v>
      </c>
      <c r="G25" s="7">
        <f>E25+F25</f>
        <v>62108.145764923182</v>
      </c>
      <c r="O25">
        <v>23</v>
      </c>
      <c r="P25" s="7">
        <f>PPMT($M$4/12,O25,$M$5,$M$3-$M$2)</f>
        <v>224680.29919523076</v>
      </c>
      <c r="Q25" s="7">
        <f>IPMT($M$4/12,O25,$M$5,$M$3-$M$2)</f>
        <v>8243.4718900620737</v>
      </c>
      <c r="R25" s="7">
        <f>P25+Q25</f>
        <v>232923.77108529283</v>
      </c>
    </row>
    <row r="26" spans="4:18" x14ac:dyDescent="0.25">
      <c r="D26">
        <v>25</v>
      </c>
      <c r="E26" s="7">
        <f>PPMT($B$4/12,D26,$B$5*12,$B$3-$B$2)</f>
        <v>2256.6135407676998</v>
      </c>
      <c r="F26" s="7">
        <f>IPMT($B$4/12,D26,$B$5*12,$B$3-$B$2)</f>
        <v>59851.53222415549</v>
      </c>
      <c r="G26" s="7">
        <f>E26+F26</f>
        <v>62108.145764923189</v>
      </c>
      <c r="O26">
        <v>24</v>
      </c>
      <c r="P26" s="7">
        <f>PPMT($M$4/12,O26,$M$5,$M$3-$M$2)</f>
        <v>227395.18614383979</v>
      </c>
      <c r="Q26" s="7">
        <f>IPMT($M$4/12,O26,$M$5,$M$3-$M$2)</f>
        <v>5528.584941453033</v>
      </c>
      <c r="R26" s="7">
        <f>P26+Q26</f>
        <v>232923.77108529283</v>
      </c>
    </row>
    <row r="27" spans="4:18" x14ac:dyDescent="0.25">
      <c r="D27">
        <v>26</v>
      </c>
      <c r="E27" s="7">
        <f>PPMT($B$4/12,D27,$B$5*12,$B$3-$B$2)</f>
        <v>2283.8809543853095</v>
      </c>
      <c r="F27" s="7">
        <f>IPMT($B$4/12,D27,$B$5*12,$B$3-$B$2)</f>
        <v>59824.264810537868</v>
      </c>
      <c r="G27" s="7">
        <f>E27+F27</f>
        <v>62108.145764923174</v>
      </c>
      <c r="O27">
        <v>25</v>
      </c>
      <c r="P27" s="7">
        <f>PPMT($M$4/12,O27,$M$5,$M$3-$M$2)</f>
        <v>230142.8779764112</v>
      </c>
      <c r="Q27" s="7">
        <f>IPMT($M$4/12,O27,$M$5,$M$3-$M$2)</f>
        <v>2780.8931088816357</v>
      </c>
      <c r="R27" s="7">
        <f>P27+Q27</f>
        <v>232923.77108529283</v>
      </c>
    </row>
    <row r="28" spans="4:18" x14ac:dyDescent="0.25">
      <c r="D28">
        <v>27</v>
      </c>
      <c r="E28" s="7">
        <f>PPMT($B$4/12,D28,$B$5*12,$B$3-$B$2)</f>
        <v>2311.4778492507994</v>
      </c>
      <c r="F28" s="7">
        <f>IPMT($B$4/12,D28,$B$5*12,$B$3-$B$2)</f>
        <v>59796.667915672384</v>
      </c>
      <c r="G28" s="7">
        <f>E28+F28</f>
        <v>62108.145764923182</v>
      </c>
      <c r="O28" t="s">
        <v>0</v>
      </c>
      <c r="P28" s="7">
        <f>SUM(P3:P27)</f>
        <v>4999999.9999999991</v>
      </c>
      <c r="Q28" s="7">
        <f>SUM(Q3:Q27)</f>
        <v>823094.27713232103</v>
      </c>
      <c r="R28" s="7">
        <f>SUM(R3:R27)</f>
        <v>5823094.277132323</v>
      </c>
    </row>
    <row r="29" spans="4:18" x14ac:dyDescent="0.25">
      <c r="D29">
        <v>28</v>
      </c>
      <c r="E29" s="7">
        <f>PPMT($B$4/12,D29,$B$5*12,$B$3-$B$2)</f>
        <v>2339.4082065959133</v>
      </c>
      <c r="F29" s="7">
        <f>IPMT($B$4/12,D29,$B$5*12,$B$3-$B$2)</f>
        <v>59768.737558327273</v>
      </c>
      <c r="G29" s="7">
        <f>E29+F29</f>
        <v>62108.145764923189</v>
      </c>
      <c r="K29" s="7"/>
      <c r="L29" s="7"/>
      <c r="M29" s="7"/>
      <c r="P29" s="7"/>
      <c r="Q29" s="7"/>
      <c r="R29" s="7"/>
    </row>
    <row r="30" spans="4:18" x14ac:dyDescent="0.25">
      <c r="D30">
        <v>29</v>
      </c>
      <c r="E30" s="7">
        <f>PPMT($B$4/12,D30,$B$5*12,$B$3-$B$2)</f>
        <v>2367.6760557589464</v>
      </c>
      <c r="F30" s="7">
        <f>IPMT($B$4/12,D30,$B$5*12,$B$3-$B$2)</f>
        <v>59740.469709164237</v>
      </c>
      <c r="G30" s="7">
        <f>E30+F30</f>
        <v>62108.145764923182</v>
      </c>
      <c r="K30" s="7"/>
      <c r="L30" s="7"/>
      <c r="M30" s="7"/>
    </row>
    <row r="31" spans="4:18" x14ac:dyDescent="0.25">
      <c r="D31">
        <v>30</v>
      </c>
      <c r="E31" s="7">
        <f>PPMT($B$4/12,D31,$B$5*12,$B$3-$B$2)</f>
        <v>2396.285474766034</v>
      </c>
      <c r="F31" s="7">
        <f>IPMT($B$4/12,D31,$B$5*12,$B$3-$B$2)</f>
        <v>59711.86029015715</v>
      </c>
      <c r="G31" s="7">
        <f>E31+F31</f>
        <v>62108.145764923182</v>
      </c>
      <c r="K31" s="7"/>
      <c r="L31" s="7"/>
      <c r="M31" s="7"/>
    </row>
    <row r="32" spans="4:18" x14ac:dyDescent="0.25">
      <c r="D32">
        <v>31</v>
      </c>
      <c r="E32" s="7">
        <f>PPMT($B$4/12,D32,$B$5*12,$B$3-$B$2)</f>
        <v>2425.2405909194572</v>
      </c>
      <c r="F32" s="7">
        <f>IPMT($B$4/12,D32,$B$5*12,$B$3-$B$2)</f>
        <v>59682.905174003725</v>
      </c>
      <c r="G32" s="7">
        <f>E32+F32</f>
        <v>62108.145764923182</v>
      </c>
      <c r="K32" s="7"/>
      <c r="L32" s="7"/>
      <c r="M32" s="7"/>
    </row>
    <row r="33" spans="4:13" x14ac:dyDescent="0.25">
      <c r="D33">
        <v>32</v>
      </c>
      <c r="E33" s="7">
        <f>PPMT($B$4/12,D33,$B$5*12,$B$3-$B$2)</f>
        <v>2454.545581393068</v>
      </c>
      <c r="F33" s="7">
        <f>IPMT($B$4/12,D33,$B$5*12,$B$3-$B$2)</f>
        <v>59653.600183530114</v>
      </c>
      <c r="G33" s="7">
        <f>E33+F33</f>
        <v>62108.145764923182</v>
      </c>
      <c r="K33" s="7"/>
      <c r="L33" s="7"/>
      <c r="M33" s="7"/>
    </row>
    <row r="34" spans="4:13" x14ac:dyDescent="0.25">
      <c r="D34">
        <v>33</v>
      </c>
      <c r="E34" s="7">
        <f>PPMT($B$4/12,D34,$B$5*12,$B$3-$B$2)</f>
        <v>2484.2046738348999</v>
      </c>
      <c r="F34" s="7">
        <f>IPMT($B$4/12,D34,$B$5*12,$B$3-$B$2)</f>
        <v>59623.94109108828</v>
      </c>
      <c r="G34" s="7">
        <f>E34+F34</f>
        <v>62108.145764923182</v>
      </c>
      <c r="K34" s="7"/>
      <c r="L34" s="7"/>
      <c r="M34" s="7"/>
    </row>
    <row r="35" spans="4:13" x14ac:dyDescent="0.25">
      <c r="D35">
        <v>34</v>
      </c>
      <c r="E35" s="7">
        <f>PPMT($B$4/12,D35,$B$5*12,$B$3-$B$2)</f>
        <v>2514.2221469770716</v>
      </c>
      <c r="F35" s="7">
        <f>IPMT($B$4/12,D35,$B$5*12,$B$3-$B$2)</f>
        <v>59593.923617946115</v>
      </c>
      <c r="G35" s="7">
        <f>E35+F35</f>
        <v>62108.145764923189</v>
      </c>
      <c r="K35" s="7"/>
      <c r="L35" s="7"/>
      <c r="M35" s="7"/>
    </row>
    <row r="36" spans="4:13" x14ac:dyDescent="0.25">
      <c r="D36">
        <v>35</v>
      </c>
      <c r="E36" s="7">
        <f>PPMT($B$4/12,D36,$B$5*12,$B$3-$B$2)</f>
        <v>2544.6023312530451</v>
      </c>
      <c r="F36" s="7">
        <f>IPMT($B$4/12,D36,$B$5*12,$B$3-$B$2)</f>
        <v>59563.543433670136</v>
      </c>
      <c r="G36" s="7">
        <f>E36+F36</f>
        <v>62108.145764923182</v>
      </c>
      <c r="K36" s="7"/>
      <c r="L36" s="7"/>
      <c r="M36" s="7"/>
    </row>
    <row r="37" spans="4:13" x14ac:dyDescent="0.25">
      <c r="D37">
        <v>36</v>
      </c>
      <c r="E37" s="7">
        <f>PPMT($B$4/12,D37,$B$5*12,$B$3-$B$2)</f>
        <v>2575.3496094223519</v>
      </c>
      <c r="F37" s="7">
        <f>IPMT($B$4/12,D37,$B$5*12,$B$3-$B$2)</f>
        <v>59532.796155500837</v>
      </c>
      <c r="G37" s="7">
        <f>E37+F37</f>
        <v>62108.145764923189</v>
      </c>
      <c r="K37" s="7"/>
      <c r="L37" s="7"/>
      <c r="M37" s="7"/>
    </row>
    <row r="38" spans="4:13" x14ac:dyDescent="0.25">
      <c r="D38">
        <v>37</v>
      </c>
      <c r="E38" s="7">
        <f>PPMT($B$4/12,D38,$B$5*12,$B$3-$B$2)</f>
        <v>2606.4684172028719</v>
      </c>
      <c r="F38" s="7">
        <f>IPMT($B$4/12,D38,$B$5*12,$B$3-$B$2)</f>
        <v>59501.67734772031</v>
      </c>
      <c r="G38" s="7">
        <f>E38+F38</f>
        <v>62108.145764923182</v>
      </c>
      <c r="K38" s="7"/>
      <c r="L38" s="7"/>
      <c r="M38" s="7"/>
    </row>
    <row r="39" spans="4:13" x14ac:dyDescent="0.25">
      <c r="D39">
        <v>38</v>
      </c>
      <c r="E39" s="7">
        <f>PPMT($B$4/12,D39,$B$5*12,$B$3-$B$2)</f>
        <v>2637.9632439107409</v>
      </c>
      <c r="F39" s="7">
        <f>IPMT($B$4/12,D39,$B$5*12,$B$3-$B$2)</f>
        <v>59470.182521012444</v>
      </c>
      <c r="G39" s="7">
        <f>E39+F39</f>
        <v>62108.145764923189</v>
      </c>
      <c r="K39" s="7"/>
      <c r="L39" s="7"/>
      <c r="M39" s="7"/>
    </row>
    <row r="40" spans="4:13" x14ac:dyDescent="0.25">
      <c r="D40">
        <v>39</v>
      </c>
      <c r="E40" s="7">
        <f>PPMT($B$4/12,D40,$B$5*12,$B$3-$B$2)</f>
        <v>2669.838633107996</v>
      </c>
      <c r="F40" s="7">
        <f>IPMT($B$4/12,D40,$B$5*12,$B$3-$B$2)</f>
        <v>59438.307131815185</v>
      </c>
      <c r="G40" s="7">
        <f>E40+F40</f>
        <v>62108.145764923182</v>
      </c>
      <c r="K40" s="7"/>
      <c r="L40" s="7"/>
      <c r="M40" s="7"/>
    </row>
    <row r="41" spans="4:13" x14ac:dyDescent="0.25">
      <c r="D41">
        <v>40</v>
      </c>
      <c r="E41" s="7">
        <f>PPMT($B$4/12,D41,$B$5*12,$B$3-$B$2)</f>
        <v>2702.0991832580503</v>
      </c>
      <c r="F41" s="7">
        <f>IPMT($B$4/12,D41,$B$5*12,$B$3-$B$2)</f>
        <v>59406.046581665141</v>
      </c>
      <c r="G41" s="7">
        <f>E41+F41</f>
        <v>62108.145764923189</v>
      </c>
      <c r="K41" s="7"/>
      <c r="L41" s="7"/>
      <c r="M41" s="7"/>
    </row>
    <row r="42" spans="4:13" x14ac:dyDescent="0.25">
      <c r="D42">
        <v>41</v>
      </c>
      <c r="E42" s="7">
        <f>PPMT($B$4/12,D42,$B$5*12,$B$3-$B$2)</f>
        <v>2734.7495483890848</v>
      </c>
      <c r="F42" s="7">
        <f>IPMT($B$4/12,D42,$B$5*12,$B$3-$B$2)</f>
        <v>59373.3962165341</v>
      </c>
      <c r="G42" s="7">
        <f>E42+F42</f>
        <v>62108.145764923182</v>
      </c>
      <c r="K42" s="7"/>
      <c r="L42" s="7"/>
      <c r="M42" s="7"/>
    </row>
    <row r="43" spans="4:13" x14ac:dyDescent="0.25">
      <c r="D43">
        <v>42</v>
      </c>
      <c r="E43" s="7">
        <f>PPMT($B$4/12,D43,$B$5*12,$B$3-$B$2)</f>
        <v>2767.7944387654534</v>
      </c>
      <c r="F43" s="7">
        <f>IPMT($B$4/12,D43,$B$5*12,$B$3-$B$2)</f>
        <v>59340.351326157732</v>
      </c>
      <c r="G43" s="7">
        <f>E43+F43</f>
        <v>62108.145764923189</v>
      </c>
      <c r="K43" s="7"/>
      <c r="L43" s="7"/>
      <c r="M43" s="7"/>
    </row>
    <row r="44" spans="4:13" x14ac:dyDescent="0.25">
      <c r="D44">
        <v>43</v>
      </c>
      <c r="E44" s="7">
        <f>PPMT($B$4/12,D44,$B$5*12,$B$3-$B$2)</f>
        <v>2801.2386215672032</v>
      </c>
      <c r="F44" s="7">
        <f>IPMT($B$4/12,D44,$B$5*12,$B$3-$B$2)</f>
        <v>59306.907143355973</v>
      </c>
      <c r="G44" s="7">
        <f>E44+F44</f>
        <v>62108.145764923174</v>
      </c>
      <c r="K44" s="7"/>
      <c r="L44" s="7"/>
      <c r="M44" s="7"/>
    </row>
    <row r="45" spans="4:13" x14ac:dyDescent="0.25">
      <c r="D45">
        <v>44</v>
      </c>
      <c r="E45" s="7">
        <f>PPMT($B$4/12,D45,$B$5*12,$B$3-$B$2)</f>
        <v>2835.0869215778057</v>
      </c>
      <c r="F45" s="7">
        <f>IPMT($B$4/12,D45,$B$5*12,$B$3-$B$2)</f>
        <v>59273.058843345381</v>
      </c>
      <c r="G45" s="7">
        <f>E45+F45</f>
        <v>62108.145764923189</v>
      </c>
      <c r="K45" s="7"/>
      <c r="L45" s="7"/>
      <c r="M45" s="7"/>
    </row>
    <row r="46" spans="4:13" x14ac:dyDescent="0.25">
      <c r="D46">
        <v>45</v>
      </c>
      <c r="E46" s="7">
        <f>PPMT($B$4/12,D46,$B$5*12,$B$3-$B$2)</f>
        <v>2869.3442218802047</v>
      </c>
      <c r="F46" s="7">
        <f>IPMT($B$4/12,D46,$B$5*12,$B$3-$B$2)</f>
        <v>59238.80154304298</v>
      </c>
      <c r="G46" s="7">
        <f>E46+F46</f>
        <v>62108.145764923189</v>
      </c>
      <c r="K46" s="7"/>
      <c r="L46" s="7"/>
      <c r="M46" s="7"/>
    </row>
    <row r="47" spans="4:13" x14ac:dyDescent="0.25">
      <c r="D47">
        <v>46</v>
      </c>
      <c r="E47" s="7">
        <f>PPMT($B$4/12,D47,$B$5*12,$B$3-$B$2)</f>
        <v>2904.0154645612574</v>
      </c>
      <c r="F47" s="7">
        <f>IPMT($B$4/12,D47,$B$5*12,$B$3-$B$2)</f>
        <v>59204.130300361918</v>
      </c>
      <c r="G47" s="7">
        <f>E47+F47</f>
        <v>62108.145764923174</v>
      </c>
      <c r="K47" s="7"/>
      <c r="L47" s="7"/>
      <c r="M47" s="7"/>
    </row>
    <row r="48" spans="4:13" x14ac:dyDescent="0.25">
      <c r="D48">
        <v>47</v>
      </c>
      <c r="E48" s="7">
        <f>PPMT($B$4/12,D48,$B$5*12,$B$3-$B$2)</f>
        <v>2939.1056514247052</v>
      </c>
      <c r="F48" s="7">
        <f>IPMT($B$4/12,D48,$B$5*12,$B$3-$B$2)</f>
        <v>59169.040113498486</v>
      </c>
      <c r="G48" s="7">
        <f>E48+F48</f>
        <v>62108.145764923189</v>
      </c>
      <c r="K48" s="7"/>
      <c r="L48" s="7"/>
      <c r="M48" s="7"/>
    </row>
    <row r="49" spans="4:13" x14ac:dyDescent="0.25">
      <c r="D49">
        <v>48</v>
      </c>
      <c r="E49" s="7">
        <f>PPMT($B$4/12,D49,$B$5*12,$B$3-$B$2)</f>
        <v>2974.6198447127535</v>
      </c>
      <c r="F49" s="7">
        <f>IPMT($B$4/12,D49,$B$5*12,$B$3-$B$2)</f>
        <v>59133.525920210428</v>
      </c>
      <c r="G49" s="7">
        <f>E49+F49</f>
        <v>62108.145764923182</v>
      </c>
      <c r="K49" s="7"/>
      <c r="L49" s="7"/>
      <c r="M49" s="7"/>
    </row>
    <row r="50" spans="4:13" x14ac:dyDescent="0.25">
      <c r="D50">
        <v>49</v>
      </c>
      <c r="E50" s="7">
        <f>PPMT($B$4/12,D50,$B$5*12,$B$3-$B$2)</f>
        <v>3010.5631678363666</v>
      </c>
      <c r="F50" s="7">
        <f>IPMT($B$4/12,D50,$B$5*12,$B$3-$B$2)</f>
        <v>59097.582597086825</v>
      </c>
      <c r="G50" s="7">
        <f>E50+F50</f>
        <v>62108.145764923189</v>
      </c>
      <c r="K50" s="7"/>
      <c r="L50" s="7"/>
      <c r="M50" s="7"/>
    </row>
    <row r="51" spans="4:13" x14ac:dyDescent="0.25">
      <c r="D51">
        <v>50</v>
      </c>
      <c r="E51" s="7">
        <f>PPMT($B$4/12,D51,$B$5*12,$B$3-$B$2)</f>
        <v>3046.9408061143899</v>
      </c>
      <c r="F51" s="7">
        <f>IPMT($B$4/12,D51,$B$5*12,$B$3-$B$2)</f>
        <v>59061.204958808798</v>
      </c>
      <c r="G51" s="7">
        <f>E51+F51</f>
        <v>62108.145764923189</v>
      </c>
      <c r="K51" s="7"/>
      <c r="L51" s="7"/>
      <c r="M51" s="7"/>
    </row>
    <row r="52" spans="4:13" x14ac:dyDescent="0.25">
      <c r="D52">
        <v>51</v>
      </c>
      <c r="E52" s="7">
        <f>PPMT($B$4/12,D52,$B$5*12,$B$3-$B$2)</f>
        <v>3083.7580075216042</v>
      </c>
      <c r="F52" s="7">
        <f>IPMT($B$4/12,D52,$B$5*12,$B$3-$B$2)</f>
        <v>59024.387757401571</v>
      </c>
      <c r="G52" s="7">
        <f>E52+F52</f>
        <v>62108.145764923174</v>
      </c>
      <c r="K52" s="7"/>
      <c r="L52" s="7"/>
      <c r="M52" s="7"/>
    </row>
    <row r="53" spans="4:13" x14ac:dyDescent="0.25">
      <c r="D53">
        <v>52</v>
      </c>
      <c r="E53" s="7">
        <f>PPMT($B$4/12,D53,$B$5*12,$B$3-$B$2)</f>
        <v>3121.0200834458242</v>
      </c>
      <c r="F53" s="7">
        <f>IPMT($B$4/12,D53,$B$5*12,$B$3-$B$2)</f>
        <v>58987.125681477366</v>
      </c>
      <c r="G53" s="7">
        <f>E53+F53</f>
        <v>62108.145764923189</v>
      </c>
      <c r="K53" s="7"/>
      <c r="L53" s="7"/>
      <c r="M53" s="7"/>
    </row>
    <row r="54" spans="4:13" x14ac:dyDescent="0.25">
      <c r="D54">
        <v>53</v>
      </c>
      <c r="E54" s="7">
        <f>PPMT($B$4/12,D54,$B$5*12,$B$3-$B$2)</f>
        <v>3158.7324094541282</v>
      </c>
      <c r="F54" s="7">
        <f>IPMT($B$4/12,D54,$B$5*12,$B$3-$B$2)</f>
        <v>58949.413355469056</v>
      </c>
      <c r="G54" s="7">
        <f>E54+F54</f>
        <v>62108.145764923182</v>
      </c>
      <c r="K54" s="7"/>
      <c r="L54" s="7"/>
      <c r="M54" s="7"/>
    </row>
    <row r="55" spans="4:13" x14ac:dyDescent="0.25">
      <c r="D55">
        <v>54</v>
      </c>
      <c r="E55" s="7">
        <f>PPMT($B$4/12,D55,$B$5*12,$B$3-$B$2)</f>
        <v>3196.900426068366</v>
      </c>
      <c r="F55" s="7">
        <f>IPMT($B$4/12,D55,$B$5*12,$B$3-$B$2)</f>
        <v>58911.245338854824</v>
      </c>
      <c r="G55" s="7">
        <f>E55+F55</f>
        <v>62108.145764923189</v>
      </c>
      <c r="K55" s="7"/>
      <c r="L55" s="7"/>
      <c r="M55" s="7"/>
    </row>
    <row r="56" spans="4:13" x14ac:dyDescent="0.25">
      <c r="D56">
        <v>55</v>
      </c>
      <c r="E56" s="7">
        <f>PPMT($B$4/12,D56,$B$5*12,$B$3-$B$2)</f>
        <v>3235.5296395500245</v>
      </c>
      <c r="F56" s="7">
        <f>IPMT($B$4/12,D56,$B$5*12,$B$3-$B$2)</f>
        <v>58872.616125373163</v>
      </c>
      <c r="G56" s="7">
        <f>E56+F56</f>
        <v>62108.145764923189</v>
      </c>
      <c r="K56" s="7"/>
      <c r="L56" s="7"/>
      <c r="M56" s="7"/>
    </row>
    <row r="57" spans="4:13" x14ac:dyDescent="0.25">
      <c r="D57">
        <v>56</v>
      </c>
      <c r="E57" s="7">
        <f>PPMT($B$4/12,D57,$B$5*12,$B$3-$B$2)</f>
        <v>3274.6256226945879</v>
      </c>
      <c r="F57" s="7">
        <f>IPMT($B$4/12,D57,$B$5*12,$B$3-$B$2)</f>
        <v>58833.520142228597</v>
      </c>
      <c r="G57" s="7">
        <f>E57+F57</f>
        <v>62108.145764923189</v>
      </c>
      <c r="K57" s="7"/>
      <c r="L57" s="7"/>
      <c r="M57" s="7"/>
    </row>
    <row r="58" spans="4:13" x14ac:dyDescent="0.25">
      <c r="D58">
        <v>57</v>
      </c>
      <c r="E58" s="7">
        <f>PPMT($B$4/12,D58,$B$5*12,$B$3-$B$2)</f>
        <v>3314.1940156354813</v>
      </c>
      <c r="F58" s="7">
        <f>IPMT($B$4/12,D58,$B$5*12,$B$3-$B$2)</f>
        <v>58793.951749287706</v>
      </c>
      <c r="G58" s="7">
        <f>E58+F58</f>
        <v>62108.145764923189</v>
      </c>
      <c r="K58" s="7"/>
      <c r="L58" s="7"/>
      <c r="M58" s="7"/>
    </row>
    <row r="59" spans="4:13" x14ac:dyDescent="0.25">
      <c r="D59">
        <v>58</v>
      </c>
      <c r="E59" s="7">
        <f>PPMT($B$4/12,D59,$B$5*12,$B$3-$B$2)</f>
        <v>3354.2405266577416</v>
      </c>
      <c r="F59" s="7">
        <f>IPMT($B$4/12,D59,$B$5*12,$B$3-$B$2)</f>
        <v>58753.905238265448</v>
      </c>
      <c r="G59" s="7">
        <f>E59+F59</f>
        <v>62108.145764923189</v>
      </c>
      <c r="K59" s="7"/>
      <c r="L59" s="7"/>
      <c r="M59" s="7"/>
    </row>
    <row r="60" spans="4:13" x14ac:dyDescent="0.25">
      <c r="D60">
        <v>59</v>
      </c>
      <c r="E60" s="7">
        <f>PPMT($B$4/12,D60,$B$5*12,$B$3-$B$2)</f>
        <v>3394.770933021523</v>
      </c>
      <c r="F60" s="7">
        <f>IPMT($B$4/12,D60,$B$5*12,$B$3-$B$2)</f>
        <v>58713.374831901659</v>
      </c>
      <c r="G60" s="7">
        <f>E60+F60</f>
        <v>62108.145764923182</v>
      </c>
      <c r="K60" s="7"/>
      <c r="L60" s="7"/>
      <c r="M60" s="7"/>
    </row>
    <row r="61" spans="4:13" x14ac:dyDescent="0.25">
      <c r="D61">
        <v>60</v>
      </c>
      <c r="E61" s="7">
        <f>PPMT($B$4/12,D61,$B$5*12,$B$3-$B$2)</f>
        <v>3435.7910817955335</v>
      </c>
      <c r="F61" s="7">
        <f>IPMT($B$4/12,D61,$B$5*12,$B$3-$B$2)</f>
        <v>58672.354683127654</v>
      </c>
      <c r="G61" s="7">
        <f>E61+F61</f>
        <v>62108.145764923189</v>
      </c>
      <c r="K61" s="7"/>
      <c r="L61" s="7"/>
      <c r="M61" s="7"/>
    </row>
    <row r="62" spans="4:13" x14ac:dyDescent="0.25">
      <c r="D62">
        <v>61</v>
      </c>
      <c r="E62" s="7">
        <f>PPMT($B$4/12,D62,$B$5*12,$B$3-$B$2)</f>
        <v>3477.3068907005636</v>
      </c>
      <c r="F62" s="7">
        <f>IPMT($B$4/12,D62,$B$5*12,$B$3-$B$2)</f>
        <v>58630.838874222616</v>
      </c>
      <c r="G62" s="7">
        <f>E62+F62</f>
        <v>62108.145764923182</v>
      </c>
      <c r="K62" s="7"/>
      <c r="L62" s="7"/>
      <c r="M62" s="7"/>
    </row>
    <row r="63" spans="4:13" x14ac:dyDescent="0.25">
      <c r="D63">
        <v>62</v>
      </c>
      <c r="E63" s="7">
        <f>PPMT($B$4/12,D63,$B$5*12,$B$3-$B$2)</f>
        <v>3519.3243489631946</v>
      </c>
      <c r="F63" s="7">
        <f>IPMT($B$4/12,D63,$B$5*12,$B$3-$B$2)</f>
        <v>58588.821415959988</v>
      </c>
      <c r="G63" s="7">
        <f>E63+F63</f>
        <v>62108.145764923182</v>
      </c>
      <c r="K63" s="7"/>
      <c r="L63" s="7"/>
      <c r="M63" s="7"/>
    </row>
    <row r="64" spans="4:13" x14ac:dyDescent="0.25">
      <c r="D64">
        <v>63</v>
      </c>
      <c r="E64" s="7">
        <f>PPMT($B$4/12,D64,$B$5*12,$B$3-$B$2)</f>
        <v>3561.8495181798335</v>
      </c>
      <c r="F64" s="7">
        <f>IPMT($B$4/12,D64,$B$5*12,$B$3-$B$2)</f>
        <v>58546.296246743354</v>
      </c>
      <c r="G64" s="7">
        <f>E64+F64</f>
        <v>62108.145764923189</v>
      </c>
      <c r="K64" s="7"/>
      <c r="L64" s="7"/>
      <c r="M64" s="7"/>
    </row>
    <row r="65" spans="4:13" x14ac:dyDescent="0.25">
      <c r="D65">
        <v>64</v>
      </c>
      <c r="E65" s="7">
        <f>PPMT($B$4/12,D65,$B$5*12,$B$3-$B$2)</f>
        <v>3604.8885331911738</v>
      </c>
      <c r="F65" s="7">
        <f>IPMT($B$4/12,D65,$B$5*12,$B$3-$B$2)</f>
        <v>58503.257231732015</v>
      </c>
      <c r="G65" s="7">
        <f>E65+F65</f>
        <v>62108.145764923189</v>
      </c>
      <c r="K65" s="7"/>
      <c r="L65" s="7"/>
      <c r="M65" s="7"/>
    </row>
    <row r="66" spans="4:13" x14ac:dyDescent="0.25">
      <c r="D66">
        <v>65</v>
      </c>
      <c r="E66" s="7">
        <f>PPMT($B$4/12,D66,$B$5*12,$B$3-$B$2)</f>
        <v>3648.4476029672337</v>
      </c>
      <c r="F66" s="7">
        <f>IPMT($B$4/12,D66,$B$5*12,$B$3-$B$2)</f>
        <v>58459.698161955945</v>
      </c>
      <c r="G66" s="7">
        <f>E66+F66</f>
        <v>62108.145764923182</v>
      </c>
      <c r="K66" s="7"/>
      <c r="L66" s="7"/>
      <c r="M66" s="7"/>
    </row>
    <row r="67" spans="4:13" x14ac:dyDescent="0.25">
      <c r="D67">
        <v>66</v>
      </c>
      <c r="E67" s="7">
        <f>PPMT($B$4/12,D67,$B$5*12,$B$3-$B$2)</f>
        <v>3692.5330115030865</v>
      </c>
      <c r="F67" s="7">
        <f>IPMT($B$4/12,D67,$B$5*12,$B$3-$B$2)</f>
        <v>58415.6127534201</v>
      </c>
      <c r="G67" s="7">
        <f>E67+F67</f>
        <v>62108.145764923189</v>
      </c>
      <c r="K67" s="7"/>
      <c r="L67" s="7"/>
      <c r="M67" s="7"/>
    </row>
    <row r="68" spans="4:13" x14ac:dyDescent="0.25">
      <c r="D68">
        <v>67</v>
      </c>
      <c r="E68" s="7">
        <f>PPMT($B$4/12,D68,$B$5*12,$B$3-$B$2)</f>
        <v>3737.1511187254159</v>
      </c>
      <c r="F68" s="7">
        <f>IPMT($B$4/12,D68,$B$5*12,$B$3-$B$2)</f>
        <v>58370.994646197774</v>
      </c>
      <c r="G68" s="7">
        <f>E68+F68</f>
        <v>62108.145764923189</v>
      </c>
      <c r="K68" s="7"/>
      <c r="L68" s="7"/>
      <c r="M68" s="7"/>
    </row>
    <row r="69" spans="4:13" x14ac:dyDescent="0.25">
      <c r="D69">
        <v>68</v>
      </c>
      <c r="E69" s="7">
        <f>PPMT($B$4/12,D69,$B$5*12,$B$3-$B$2)</f>
        <v>3782.3083614100156</v>
      </c>
      <c r="F69" s="7">
        <f>IPMT($B$4/12,D69,$B$5*12,$B$3-$B$2)</f>
        <v>58325.837403513178</v>
      </c>
      <c r="G69" s="7">
        <f>E69+F69</f>
        <v>62108.145764923196</v>
      </c>
      <c r="K69" s="7"/>
      <c r="L69" s="7"/>
      <c r="M69" s="7"/>
    </row>
    <row r="70" spans="4:13" x14ac:dyDescent="0.25">
      <c r="D70">
        <v>69</v>
      </c>
      <c r="E70" s="7">
        <f>PPMT($B$4/12,D70,$B$5*12,$B$3-$B$2)</f>
        <v>3828.0112541103854</v>
      </c>
      <c r="F70" s="7">
        <f>IPMT($B$4/12,D70,$B$5*12,$B$3-$B$2)</f>
        <v>58280.134510812801</v>
      </c>
      <c r="G70" s="7">
        <f>E70+F70</f>
        <v>62108.145764923189</v>
      </c>
      <c r="K70" s="7"/>
      <c r="L70" s="7"/>
      <c r="M70" s="7"/>
    </row>
    <row r="71" spans="4:13" x14ac:dyDescent="0.25">
      <c r="D71">
        <v>70</v>
      </c>
      <c r="E71" s="7">
        <f>PPMT($B$4/12,D71,$B$5*12,$B$3-$B$2)</f>
        <v>3874.2663900975526</v>
      </c>
      <c r="F71" s="7">
        <f>IPMT($B$4/12,D71,$B$5*12,$B$3-$B$2)</f>
        <v>58233.879374825636</v>
      </c>
      <c r="G71" s="7">
        <f>E71+F71</f>
        <v>62108.145764923189</v>
      </c>
      <c r="K71" s="7"/>
      <c r="L71" s="7"/>
      <c r="M71" s="7"/>
    </row>
    <row r="72" spans="4:13" x14ac:dyDescent="0.25">
      <c r="D72">
        <v>71</v>
      </c>
      <c r="E72" s="7">
        <f>PPMT($B$4/12,D72,$B$5*12,$B$3-$B$2)</f>
        <v>3921.0804423112322</v>
      </c>
      <c r="F72" s="7">
        <f>IPMT($B$4/12,D72,$B$5*12,$B$3-$B$2)</f>
        <v>58187.065322611961</v>
      </c>
      <c r="G72" s="7">
        <f>E72+F72</f>
        <v>62108.145764923196</v>
      </c>
      <c r="K72" s="7"/>
      <c r="L72" s="7"/>
      <c r="M72" s="7"/>
    </row>
    <row r="73" spans="4:13" x14ac:dyDescent="0.25">
      <c r="D73">
        <v>72</v>
      </c>
      <c r="E73" s="7">
        <f>PPMT($B$4/12,D73,$B$5*12,$B$3-$B$2)</f>
        <v>3968.4601643224928</v>
      </c>
      <c r="F73" s="7">
        <f>IPMT($B$4/12,D73,$B$5*12,$B$3-$B$2)</f>
        <v>58139.685600600686</v>
      </c>
      <c r="G73" s="7">
        <f>E73+F73</f>
        <v>62108.145764923182</v>
      </c>
      <c r="K73" s="7"/>
      <c r="L73" s="7"/>
      <c r="M73" s="7"/>
    </row>
    <row r="74" spans="4:13" x14ac:dyDescent="0.25">
      <c r="D74">
        <v>73</v>
      </c>
      <c r="E74" s="7">
        <f>PPMT($B$4/12,D74,$B$5*12,$B$3-$B$2)</f>
        <v>4016.4123913080562</v>
      </c>
      <c r="F74" s="7">
        <f>IPMT($B$4/12,D74,$B$5*12,$B$3-$B$2)</f>
        <v>58091.733373615127</v>
      </c>
      <c r="G74" s="7">
        <f>E74+F74</f>
        <v>62108.145764923182</v>
      </c>
      <c r="K74" s="7"/>
      <c r="L74" s="7"/>
      <c r="M74" s="7"/>
    </row>
    <row r="75" spans="4:13" x14ac:dyDescent="0.25">
      <c r="D75">
        <v>74</v>
      </c>
      <c r="E75" s="7">
        <f>PPMT($B$4/12,D75,$B$5*12,$B$3-$B$2)</f>
        <v>4064.9440410363618</v>
      </c>
      <c r="F75" s="7">
        <f>IPMT($B$4/12,D75,$B$5*12,$B$3-$B$2)</f>
        <v>58043.201723886821</v>
      </c>
      <c r="G75" s="7">
        <f>E75+F75</f>
        <v>62108.145764923182</v>
      </c>
      <c r="K75" s="7"/>
      <c r="L75" s="7"/>
      <c r="M75" s="7"/>
    </row>
    <row r="76" spans="4:13" x14ac:dyDescent="0.25">
      <c r="D76">
        <v>75</v>
      </c>
      <c r="E76" s="7">
        <f>PPMT($B$4/12,D76,$B$5*12,$B$3-$B$2)</f>
        <v>4114.0621148655518</v>
      </c>
      <c r="F76" s="7">
        <f>IPMT($B$4/12,D76,$B$5*12,$B$3-$B$2)</f>
        <v>57994.083650057633</v>
      </c>
      <c r="G76" s="7">
        <f>E76+F76</f>
        <v>62108.145764923189</v>
      </c>
      <c r="K76" s="7"/>
      <c r="L76" s="7"/>
      <c r="M76" s="7"/>
    </row>
    <row r="77" spans="4:13" x14ac:dyDescent="0.25">
      <c r="D77">
        <v>76</v>
      </c>
      <c r="E77" s="7">
        <f>PPMT($B$4/12,D77,$B$5*12,$B$3-$B$2)</f>
        <v>4163.7736987535109</v>
      </c>
      <c r="F77" s="7">
        <f>IPMT($B$4/12,D77,$B$5*12,$B$3-$B$2)</f>
        <v>57944.372066169679</v>
      </c>
      <c r="G77" s="7">
        <f>E77+F77</f>
        <v>62108.145764923189</v>
      </c>
      <c r="K77" s="7"/>
      <c r="L77" s="7"/>
      <c r="M77" s="7"/>
    </row>
    <row r="78" spans="4:13" x14ac:dyDescent="0.25">
      <c r="D78">
        <v>77</v>
      </c>
      <c r="E78" s="7">
        <f>PPMT($B$4/12,D78,$B$5*12,$B$3-$B$2)</f>
        <v>4214.0859642801142</v>
      </c>
      <c r="F78" s="7">
        <f>IPMT($B$4/12,D78,$B$5*12,$B$3-$B$2)</f>
        <v>57894.059800643074</v>
      </c>
      <c r="G78" s="7">
        <f>E78+F78</f>
        <v>62108.145764923189</v>
      </c>
      <c r="K78" s="7"/>
      <c r="L78" s="7"/>
      <c r="M78" s="7"/>
    </row>
    <row r="79" spans="4:13" x14ac:dyDescent="0.25">
      <c r="D79">
        <v>78</v>
      </c>
      <c r="E79" s="7">
        <f>PPMT($B$4/12,D79,$B$5*12,$B$3-$B$2)</f>
        <v>4265.0061696818329</v>
      </c>
      <c r="F79" s="7">
        <f>IPMT($B$4/12,D79,$B$5*12,$B$3-$B$2)</f>
        <v>57843.139595241351</v>
      </c>
      <c r="G79" s="7">
        <f>E79+F79</f>
        <v>62108.145764923182</v>
      </c>
      <c r="K79" s="7"/>
      <c r="L79" s="7"/>
      <c r="M79" s="7"/>
    </row>
    <row r="80" spans="4:13" x14ac:dyDescent="0.25">
      <c r="D80">
        <v>79</v>
      </c>
      <c r="E80" s="7">
        <f>PPMT($B$4/12,D80,$B$5*12,$B$3-$B$2)</f>
        <v>4316.5416608988226</v>
      </c>
      <c r="F80" s="7">
        <f>IPMT($B$4/12,D80,$B$5*12,$B$3-$B$2)</f>
        <v>57791.604104024365</v>
      </c>
      <c r="G80" s="7">
        <f>E80+F80</f>
        <v>62108.145764923189</v>
      </c>
      <c r="K80" s="7"/>
      <c r="L80" s="7"/>
      <c r="M80" s="7"/>
    </row>
    <row r="81" spans="4:13" x14ac:dyDescent="0.25">
      <c r="D81">
        <v>80</v>
      </c>
      <c r="E81" s="7">
        <f>PPMT($B$4/12,D81,$B$5*12,$B$3-$B$2)</f>
        <v>4368.6998726346819</v>
      </c>
      <c r="F81" s="7">
        <f>IPMT($B$4/12,D81,$B$5*12,$B$3-$B$2)</f>
        <v>57739.445892288502</v>
      </c>
      <c r="G81" s="7">
        <f>E81+F81</f>
        <v>62108.145764923182</v>
      </c>
      <c r="K81" s="7"/>
      <c r="L81" s="7"/>
      <c r="M81" s="7"/>
    </row>
    <row r="82" spans="4:13" x14ac:dyDescent="0.25">
      <c r="D82">
        <v>81</v>
      </c>
      <c r="E82" s="7">
        <f>PPMT($B$4/12,D82,$B$5*12,$B$3-$B$2)</f>
        <v>4421.4883294290175</v>
      </c>
      <c r="F82" s="7">
        <f>IPMT($B$4/12,D82,$B$5*12,$B$3-$B$2)</f>
        <v>57686.657435494169</v>
      </c>
      <c r="G82" s="7">
        <f>E82+F82</f>
        <v>62108.145764923189</v>
      </c>
      <c r="K82" s="7"/>
      <c r="L82" s="7"/>
      <c r="M82" s="7"/>
    </row>
    <row r="83" spans="4:13" x14ac:dyDescent="0.25">
      <c r="D83">
        <v>82</v>
      </c>
      <c r="E83" s="7">
        <f>PPMT($B$4/12,D83,$B$5*12,$B$3-$B$2)</f>
        <v>4474.9146467429518</v>
      </c>
      <c r="F83" s="7">
        <f>IPMT($B$4/12,D83,$B$5*12,$B$3-$B$2)</f>
        <v>57633.231118180236</v>
      </c>
      <c r="G83" s="7">
        <f>E83+F83</f>
        <v>62108.145764923189</v>
      </c>
      <c r="K83" s="7"/>
      <c r="L83" s="7"/>
      <c r="M83" s="7"/>
    </row>
    <row r="84" spans="4:13" x14ac:dyDescent="0.25">
      <c r="D84">
        <v>83</v>
      </c>
      <c r="E84" s="7">
        <f>PPMT($B$4/12,D84,$B$5*12,$B$3-$B$2)</f>
        <v>4528.9865320577637</v>
      </c>
      <c r="F84" s="7">
        <f>IPMT($B$4/12,D84,$B$5*12,$B$3-$B$2)</f>
        <v>57579.159232865422</v>
      </c>
      <c r="G84" s="7">
        <f>E84+F84</f>
        <v>62108.145764923189</v>
      </c>
      <c r="K84" s="7"/>
      <c r="L84" s="7"/>
      <c r="M84" s="7"/>
    </row>
    <row r="85" spans="4:13" x14ac:dyDescent="0.25">
      <c r="D85">
        <v>84</v>
      </c>
      <c r="E85" s="7">
        <f>PPMT($B$4/12,D85,$B$5*12,$B$3-$B$2)</f>
        <v>4583.711785986794</v>
      </c>
      <c r="F85" s="7">
        <f>IPMT($B$4/12,D85,$B$5*12,$B$3-$B$2)</f>
        <v>57524.433978936395</v>
      </c>
      <c r="G85" s="7">
        <f>E85+F85</f>
        <v>62108.145764923189</v>
      </c>
      <c r="K85" s="7"/>
      <c r="L85" s="7"/>
      <c r="M85" s="7"/>
    </row>
    <row r="86" spans="4:13" x14ac:dyDescent="0.25">
      <c r="D86">
        <v>85</v>
      </c>
      <c r="E86" s="7">
        <f>PPMT($B$4/12,D86,$B$5*12,$B$3-$B$2)</f>
        <v>4639.0983034008013</v>
      </c>
      <c r="F86" s="7">
        <f>IPMT($B$4/12,D86,$B$5*12,$B$3-$B$2)</f>
        <v>57469.047461522387</v>
      </c>
      <c r="G86" s="7">
        <f>E86+F86</f>
        <v>62108.145764923189</v>
      </c>
      <c r="K86" s="7"/>
      <c r="L86" s="7"/>
      <c r="M86" s="7"/>
    </row>
    <row r="87" spans="4:13" x14ac:dyDescent="0.25">
      <c r="D87">
        <v>86</v>
      </c>
      <c r="E87" s="7">
        <f>PPMT($B$4/12,D87,$B$5*12,$B$3-$B$2)</f>
        <v>4695.1540745668954</v>
      </c>
      <c r="F87" s="7">
        <f>IPMT($B$4/12,D87,$B$5*12,$B$3-$B$2)</f>
        <v>57412.991690356292</v>
      </c>
      <c r="G87" s="7">
        <f>E87+F87</f>
        <v>62108.145764923189</v>
      </c>
      <c r="K87" s="7"/>
      <c r="L87" s="7"/>
      <c r="M87" s="7"/>
    </row>
    <row r="88" spans="4:13" x14ac:dyDescent="0.25">
      <c r="D88">
        <v>87</v>
      </c>
      <c r="E88" s="7">
        <f>PPMT($B$4/12,D88,$B$5*12,$B$3-$B$2)</f>
        <v>4751.8871863012455</v>
      </c>
      <c r="F88" s="7">
        <f>IPMT($B$4/12,D88,$B$5*12,$B$3-$B$2)</f>
        <v>57356.258578621935</v>
      </c>
      <c r="G88" s="7">
        <f>E88+F88</f>
        <v>62108.145764923182</v>
      </c>
      <c r="K88" s="7"/>
      <c r="L88" s="7"/>
      <c r="M88" s="7"/>
    </row>
    <row r="89" spans="4:13" x14ac:dyDescent="0.25">
      <c r="D89">
        <v>88</v>
      </c>
      <c r="E89" s="7">
        <f>PPMT($B$4/12,D89,$B$5*12,$B$3-$B$2)</f>
        <v>4809.3058231357172</v>
      </c>
      <c r="F89" s="7">
        <f>IPMT($B$4/12,D89,$B$5*12,$B$3-$B$2)</f>
        <v>57298.839941787468</v>
      </c>
      <c r="G89" s="7">
        <f>E89+F89</f>
        <v>62108.145764923189</v>
      </c>
      <c r="K89" s="7"/>
      <c r="L89" s="7"/>
      <c r="M89" s="7"/>
    </row>
    <row r="90" spans="4:13" x14ac:dyDescent="0.25">
      <c r="D90">
        <v>89</v>
      </c>
      <c r="E90" s="7">
        <f>PPMT($B$4/12,D90,$B$5*12,$B$3-$B$2)</f>
        <v>4867.4182684986072</v>
      </c>
      <c r="F90" s="7">
        <f>IPMT($B$4/12,D90,$B$5*12,$B$3-$B$2)</f>
        <v>57240.727496424581</v>
      </c>
      <c r="G90" s="7">
        <f>E90+F90</f>
        <v>62108.145764923189</v>
      </c>
      <c r="K90" s="7"/>
      <c r="L90" s="7"/>
      <c r="M90" s="7"/>
    </row>
    <row r="91" spans="4:13" x14ac:dyDescent="0.25">
      <c r="D91">
        <v>90</v>
      </c>
      <c r="E91" s="7">
        <f>PPMT($B$4/12,D91,$B$5*12,$B$3-$B$2)</f>
        <v>4926.2329059096328</v>
      </c>
      <c r="F91" s="7">
        <f>IPMT($B$4/12,D91,$B$5*12,$B$3-$B$2)</f>
        <v>57181.912859013551</v>
      </c>
      <c r="G91" s="7">
        <f>E91+F91</f>
        <v>62108.145764923182</v>
      </c>
      <c r="K91" s="7"/>
      <c r="L91" s="7"/>
      <c r="M91" s="7"/>
    </row>
    <row r="92" spans="4:13" x14ac:dyDescent="0.25">
      <c r="D92">
        <v>91</v>
      </c>
      <c r="E92" s="7">
        <f>PPMT($B$4/12,D92,$B$5*12,$B$3-$B$2)</f>
        <v>4985.7582201893729</v>
      </c>
      <c r="F92" s="7">
        <f>IPMT($B$4/12,D92,$B$5*12,$B$3-$B$2)</f>
        <v>57122.387544733814</v>
      </c>
      <c r="G92" s="7">
        <f>E92+F92</f>
        <v>62108.145764923189</v>
      </c>
      <c r="K92" s="7"/>
      <c r="L92" s="7"/>
      <c r="M92" s="7"/>
    </row>
    <row r="93" spans="4:13" x14ac:dyDescent="0.25">
      <c r="D93">
        <v>92</v>
      </c>
      <c r="E93" s="7">
        <f>PPMT($B$4/12,D93,$B$5*12,$B$3-$B$2)</f>
        <v>5046.0027986833284</v>
      </c>
      <c r="F93" s="7">
        <f>IPMT($B$4/12,D93,$B$5*12,$B$3-$B$2)</f>
        <v>57062.142966239859</v>
      </c>
      <c r="G93" s="7">
        <f>E93+F93</f>
        <v>62108.145764923189</v>
      </c>
      <c r="K93" s="7"/>
      <c r="L93" s="7"/>
      <c r="M93" s="7"/>
    </row>
    <row r="94" spans="4:13" x14ac:dyDescent="0.25">
      <c r="D94">
        <v>93</v>
      </c>
      <c r="E94" s="7">
        <f>PPMT($B$4/12,D94,$B$5*12,$B$3-$B$2)</f>
        <v>5106.9753325007523</v>
      </c>
      <c r="F94" s="7">
        <f>IPMT($B$4/12,D94,$B$5*12,$B$3-$B$2)</f>
        <v>57001.170432422441</v>
      </c>
      <c r="G94" s="7">
        <f>E94+F94</f>
        <v>62108.145764923196</v>
      </c>
      <c r="K94" s="7"/>
      <c r="L94" s="7"/>
      <c r="M94" s="7"/>
    </row>
    <row r="95" spans="4:13" x14ac:dyDescent="0.25">
      <c r="D95">
        <v>94</v>
      </c>
      <c r="E95" s="7">
        <f>PPMT($B$4/12,D95,$B$5*12,$B$3-$B$2)</f>
        <v>5168.6846177684702</v>
      </c>
      <c r="F95" s="7">
        <f>IPMT($B$4/12,D95,$B$5*12,$B$3-$B$2)</f>
        <v>56939.461147154718</v>
      </c>
      <c r="G95" s="7">
        <f>E95+F95</f>
        <v>62108.145764923189</v>
      </c>
      <c r="K95" s="7"/>
      <c r="L95" s="7"/>
      <c r="M95" s="7"/>
    </row>
    <row r="96" spans="4:13" x14ac:dyDescent="0.25">
      <c r="D96">
        <v>95</v>
      </c>
      <c r="E96" s="7">
        <f>PPMT($B$4/12,D96,$B$5*12,$B$3-$B$2)</f>
        <v>5231.1395568998378</v>
      </c>
      <c r="F96" s="7">
        <f>IPMT($B$4/12,D96,$B$5*12,$B$3-$B$2)</f>
        <v>56877.006208023355</v>
      </c>
      <c r="G96" s="7">
        <f>E96+F96</f>
        <v>62108.145764923189</v>
      </c>
      <c r="K96" s="7"/>
      <c r="L96" s="7"/>
      <c r="M96" s="7"/>
    </row>
    <row r="97" spans="4:13" x14ac:dyDescent="0.25">
      <c r="D97">
        <v>96</v>
      </c>
      <c r="E97" s="7">
        <f>PPMT($B$4/12,D97,$B$5*12,$B$3-$B$2)</f>
        <v>5294.3491598790451</v>
      </c>
      <c r="F97" s="7">
        <f>IPMT($B$4/12,D97,$B$5*12,$B$3-$B$2)</f>
        <v>56813.796605044139</v>
      </c>
      <c r="G97" s="7">
        <f>E97+F97</f>
        <v>62108.145764923182</v>
      </c>
      <c r="K97" s="7"/>
      <c r="L97" s="7"/>
      <c r="M97" s="7"/>
    </row>
    <row r="98" spans="4:13" x14ac:dyDescent="0.25">
      <c r="D98">
        <v>97</v>
      </c>
      <c r="E98" s="7">
        <f>PPMT($B$4/12,D98,$B$5*12,$B$3-$B$2)</f>
        <v>5358.3225455609172</v>
      </c>
      <c r="F98" s="7">
        <f>IPMT($B$4/12,D98,$B$5*12,$B$3-$B$2)</f>
        <v>56749.823219362268</v>
      </c>
      <c r="G98" s="7">
        <f>E98+F98</f>
        <v>62108.145764923189</v>
      </c>
      <c r="K98" s="7"/>
      <c r="L98" s="7"/>
      <c r="M98" s="7"/>
    </row>
    <row r="99" spans="4:13" x14ac:dyDescent="0.25">
      <c r="D99">
        <v>98</v>
      </c>
      <c r="E99" s="7">
        <f>PPMT($B$4/12,D99,$B$5*12,$B$3-$B$2)</f>
        <v>5423.068942986446</v>
      </c>
      <c r="F99" s="7">
        <f>IPMT($B$4/12,D99,$B$5*12,$B$3-$B$2)</f>
        <v>56685.076821936738</v>
      </c>
      <c r="G99" s="7">
        <f>E99+F99</f>
        <v>62108.145764923182</v>
      </c>
      <c r="K99" s="7"/>
      <c r="L99" s="7"/>
      <c r="M99" s="7"/>
    </row>
    <row r="100" spans="4:13" x14ac:dyDescent="0.25">
      <c r="D100">
        <v>99</v>
      </c>
      <c r="E100" s="7">
        <f>PPMT($B$4/12,D100,$B$5*12,$B$3-$B$2)</f>
        <v>5488.5976927141965</v>
      </c>
      <c r="F100" s="7">
        <f>IPMT($B$4/12,D100,$B$5*12,$B$3-$B$2)</f>
        <v>56619.548072208985</v>
      </c>
      <c r="G100" s="7">
        <f>E100+F100</f>
        <v>62108.145764923182</v>
      </c>
      <c r="K100" s="7"/>
      <c r="L100" s="7"/>
      <c r="M100" s="7"/>
    </row>
    <row r="101" spans="4:13" x14ac:dyDescent="0.25">
      <c r="D101">
        <v>100</v>
      </c>
      <c r="E101" s="7">
        <f>PPMT($B$4/12,D101,$B$5*12,$B$3-$B$2)</f>
        <v>5554.9182481678272</v>
      </c>
      <c r="F101" s="7">
        <f>IPMT($B$4/12,D101,$B$5*12,$B$3-$B$2)</f>
        <v>56553.22751675536</v>
      </c>
      <c r="G101" s="7">
        <f>E101+F101</f>
        <v>62108.145764923189</v>
      </c>
      <c r="K101" s="7"/>
      <c r="L101" s="7"/>
      <c r="M101" s="7"/>
    </row>
    <row r="102" spans="4:13" x14ac:dyDescent="0.25">
      <c r="D102">
        <v>101</v>
      </c>
      <c r="E102" s="7">
        <f>PPMT($B$4/12,D102,$B$5*12,$B$3-$B$2)</f>
        <v>5622.0401769998562</v>
      </c>
      <c r="F102" s="7">
        <f>IPMT($B$4/12,D102,$B$5*12,$B$3-$B$2)</f>
        <v>56486.105587923324</v>
      </c>
      <c r="G102" s="7">
        <f>E102+F102</f>
        <v>62108.145764923182</v>
      </c>
      <c r="K102" s="7"/>
      <c r="L102" s="7"/>
      <c r="M102" s="7"/>
    </row>
    <row r="103" spans="4:13" x14ac:dyDescent="0.25">
      <c r="D103">
        <v>102</v>
      </c>
      <c r="E103" s="7">
        <f>PPMT($B$4/12,D103,$B$5*12,$B$3-$B$2)</f>
        <v>5689.9731624719352</v>
      </c>
      <c r="F103" s="7">
        <f>IPMT($B$4/12,D103,$B$5*12,$B$3-$B$2)</f>
        <v>56418.172602451246</v>
      </c>
      <c r="G103" s="7">
        <f>E103+F103</f>
        <v>62108.145764923182</v>
      </c>
      <c r="K103" s="7"/>
      <c r="L103" s="7"/>
      <c r="M103" s="7"/>
    </row>
    <row r="104" spans="4:13" x14ac:dyDescent="0.25">
      <c r="D104">
        <v>103</v>
      </c>
      <c r="E104" s="7">
        <f>PPMT($B$4/12,D104,$B$5*12,$B$3-$B$2)</f>
        <v>5758.7270048518058</v>
      </c>
      <c r="F104" s="7">
        <f>IPMT($B$4/12,D104,$B$5*12,$B$3-$B$2)</f>
        <v>56349.418760071385</v>
      </c>
      <c r="G104" s="7">
        <f>E104+F104</f>
        <v>62108.145764923189</v>
      </c>
      <c r="K104" s="7"/>
      <c r="L104" s="7"/>
      <c r="M104" s="7"/>
    </row>
    <row r="105" spans="4:13" x14ac:dyDescent="0.25">
      <c r="D105">
        <v>104</v>
      </c>
      <c r="E105" s="7">
        <f>PPMT($B$4/12,D105,$B$5*12,$B$3-$B$2)</f>
        <v>5828.3116228270992</v>
      </c>
      <c r="F105" s="7">
        <f>IPMT($B$4/12,D105,$B$5*12,$B$3-$B$2)</f>
        <v>56279.834142096086</v>
      </c>
      <c r="G105" s="7">
        <f>E105+F105</f>
        <v>62108.145764923189</v>
      </c>
      <c r="K105" s="7"/>
      <c r="L105" s="7"/>
      <c r="M105" s="7"/>
    </row>
    <row r="106" spans="4:13" x14ac:dyDescent="0.25">
      <c r="D106">
        <v>105</v>
      </c>
      <c r="E106" s="7">
        <f>PPMT($B$4/12,D106,$B$5*12,$B$3-$B$2)</f>
        <v>5898.7370549362613</v>
      </c>
      <c r="F106" s="7">
        <f>IPMT($B$4/12,D106,$B$5*12,$B$3-$B$2)</f>
        <v>56209.408709986921</v>
      </c>
      <c r="G106" s="7">
        <f>E106+F106</f>
        <v>62108.145764923182</v>
      </c>
      <c r="K106" s="7"/>
      <c r="L106" s="7"/>
      <c r="M106" s="7"/>
    </row>
    <row r="107" spans="4:13" x14ac:dyDescent="0.25">
      <c r="D107">
        <v>106</v>
      </c>
      <c r="E107" s="7">
        <f>PPMT($B$4/12,D107,$B$5*12,$B$3-$B$2)</f>
        <v>5970.0134610167388</v>
      </c>
      <c r="F107" s="7">
        <f>IPMT($B$4/12,D107,$B$5*12,$B$3-$B$2)</f>
        <v>56138.132303906452</v>
      </c>
      <c r="G107" s="7">
        <f>E107+F107</f>
        <v>62108.145764923189</v>
      </c>
      <c r="K107" s="7"/>
      <c r="L107" s="7"/>
      <c r="M107" s="7"/>
    </row>
    <row r="108" spans="4:13" x14ac:dyDescent="0.25">
      <c r="D108">
        <v>107</v>
      </c>
      <c r="E108" s="7">
        <f>PPMT($B$4/12,D108,$B$5*12,$B$3-$B$2)</f>
        <v>6042.151123670692</v>
      </c>
      <c r="F108" s="7">
        <f>IPMT($B$4/12,D108,$B$5*12,$B$3-$B$2)</f>
        <v>56065.994641252495</v>
      </c>
      <c r="G108" s="7">
        <f>E108+F108</f>
        <v>62108.145764923189</v>
      </c>
      <c r="K108" s="7"/>
      <c r="L108" s="7"/>
      <c r="M108" s="7"/>
    </row>
    <row r="109" spans="4:13" x14ac:dyDescent="0.25">
      <c r="D109">
        <v>108</v>
      </c>
      <c r="E109" s="7">
        <f>PPMT($B$4/12,D109,$B$5*12,$B$3-$B$2)</f>
        <v>6115.1604497483786</v>
      </c>
      <c r="F109" s="7">
        <f>IPMT($B$4/12,D109,$B$5*12,$B$3-$B$2)</f>
        <v>55992.985315174803</v>
      </c>
      <c r="G109" s="7">
        <f>E109+F109</f>
        <v>62108.145764923182</v>
      </c>
      <c r="K109" s="7"/>
      <c r="L109" s="7"/>
      <c r="M109" s="7"/>
    </row>
    <row r="110" spans="4:13" x14ac:dyDescent="0.25">
      <c r="D110">
        <v>109</v>
      </c>
      <c r="E110" s="7">
        <f>PPMT($B$4/12,D110,$B$5*12,$B$3-$B$2)</f>
        <v>6189.0519718495043</v>
      </c>
      <c r="F110" s="7">
        <f>IPMT($B$4/12,D110,$B$5*12,$B$3-$B$2)</f>
        <v>55919.093793073684</v>
      </c>
      <c r="G110" s="7">
        <f>E110+F110</f>
        <v>62108.145764923189</v>
      </c>
      <c r="K110" s="7"/>
      <c r="L110" s="7"/>
      <c r="M110" s="7"/>
    </row>
    <row r="111" spans="4:13" x14ac:dyDescent="0.25">
      <c r="D111">
        <v>110</v>
      </c>
      <c r="E111" s="7">
        <f>PPMT($B$4/12,D111,$B$5*12,$B$3-$B$2)</f>
        <v>6263.8363498426861</v>
      </c>
      <c r="F111" s="7">
        <f>IPMT($B$4/12,D111,$B$5*12,$B$3-$B$2)</f>
        <v>55844.309415080497</v>
      </c>
      <c r="G111" s="7">
        <f>E111+F111</f>
        <v>62108.145764923182</v>
      </c>
      <c r="K111" s="7"/>
      <c r="L111" s="7"/>
      <c r="M111" s="7"/>
    </row>
    <row r="112" spans="4:13" x14ac:dyDescent="0.25">
      <c r="D112">
        <v>111</v>
      </c>
      <c r="E112" s="7">
        <f>PPMT($B$4/12,D112,$B$5*12,$B$3-$B$2)</f>
        <v>6339.5243724032853</v>
      </c>
      <c r="F112" s="7">
        <f>IPMT($B$4/12,D112,$B$5*12,$B$3-$B$2)</f>
        <v>55768.621392519897</v>
      </c>
      <c r="G112" s="7">
        <f>E112+F112</f>
        <v>62108.145764923182</v>
      </c>
      <c r="K112" s="7"/>
      <c r="L112" s="7"/>
      <c r="M112" s="7"/>
    </row>
    <row r="113" spans="4:13" x14ac:dyDescent="0.25">
      <c r="D113">
        <v>112</v>
      </c>
      <c r="E113" s="7">
        <f>PPMT($B$4/12,D113,$B$5*12,$B$3-$B$2)</f>
        <v>6416.1269585698265</v>
      </c>
      <c r="F113" s="7">
        <f>IPMT($B$4/12,D113,$B$5*12,$B$3-$B$2)</f>
        <v>55692.01880635335</v>
      </c>
      <c r="G113" s="7">
        <f>E113+F113</f>
        <v>62108.145764923174</v>
      </c>
      <c r="K113" s="7"/>
      <c r="L113" s="7"/>
      <c r="M113" s="7"/>
    </row>
    <row r="114" spans="4:13" x14ac:dyDescent="0.25">
      <c r="D114">
        <v>113</v>
      </c>
      <c r="E114" s="7">
        <f>PPMT($B$4/12,D114,$B$5*12,$B$3-$B$2)</f>
        <v>6493.6551593192107</v>
      </c>
      <c r="F114" s="7">
        <f>IPMT($B$4/12,D114,$B$5*12,$B$3-$B$2)</f>
        <v>55614.490605603984</v>
      </c>
      <c r="G114" s="7">
        <f>E114+F114</f>
        <v>62108.145764923196</v>
      </c>
      <c r="K114" s="7"/>
      <c r="L114" s="7"/>
      <c r="M114" s="7"/>
    </row>
    <row r="115" spans="4:13" x14ac:dyDescent="0.25">
      <c r="D115">
        <v>114</v>
      </c>
      <c r="E115" s="7">
        <f>PPMT($B$4/12,D115,$B$5*12,$B$3-$B$2)</f>
        <v>6572.1201591609843</v>
      </c>
      <c r="F115" s="7">
        <f>IPMT($B$4/12,D115,$B$5*12,$B$3-$B$2)</f>
        <v>55536.025605762203</v>
      </c>
      <c r="G115" s="7">
        <f>E115+F115</f>
        <v>62108.145764923189</v>
      </c>
      <c r="K115" s="7"/>
      <c r="L115" s="7"/>
      <c r="M115" s="7"/>
    </row>
    <row r="116" spans="4:13" x14ac:dyDescent="0.25">
      <c r="D116">
        <v>115</v>
      </c>
      <c r="E116" s="7">
        <f>PPMT($B$4/12,D116,$B$5*12,$B$3-$B$2)</f>
        <v>6651.5332777508484</v>
      </c>
      <c r="F116" s="7">
        <f>IPMT($B$4/12,D116,$B$5*12,$B$3-$B$2)</f>
        <v>55456.612487172337</v>
      </c>
      <c r="G116" s="7">
        <f>E116+F116</f>
        <v>62108.145764923189</v>
      </c>
      <c r="K116" s="7"/>
      <c r="L116" s="7"/>
      <c r="M116" s="7"/>
    </row>
    <row r="117" spans="4:13" x14ac:dyDescent="0.25">
      <c r="D117">
        <v>116</v>
      </c>
      <c r="E117" s="7">
        <f>PPMT($B$4/12,D117,$B$5*12,$B$3-$B$2)</f>
        <v>6731.9059715236708</v>
      </c>
      <c r="F117" s="7">
        <f>IPMT($B$4/12,D117,$B$5*12,$B$3-$B$2)</f>
        <v>55376.239793399509</v>
      </c>
      <c r="G117" s="7">
        <f>E117+F117</f>
        <v>62108.145764923182</v>
      </c>
      <c r="K117" s="7"/>
      <c r="L117" s="7"/>
      <c r="M117" s="7"/>
    </row>
    <row r="118" spans="4:13" x14ac:dyDescent="0.25">
      <c r="D118">
        <v>117</v>
      </c>
      <c r="E118" s="7">
        <f>PPMT($B$4/12,D118,$B$5*12,$B$3-$B$2)</f>
        <v>6813.2498353462461</v>
      </c>
      <c r="F118" s="7">
        <f>IPMT($B$4/12,D118,$B$5*12,$B$3-$B$2)</f>
        <v>55294.895929576938</v>
      </c>
      <c r="G118" s="7">
        <f>E118+F118</f>
        <v>62108.145764923182</v>
      </c>
      <c r="K118" s="7"/>
      <c r="L118" s="7"/>
      <c r="M118" s="7"/>
    </row>
    <row r="119" spans="4:13" x14ac:dyDescent="0.25">
      <c r="D119">
        <v>118</v>
      </c>
      <c r="E119" s="7">
        <f>PPMT($B$4/12,D119,$B$5*12,$B$3-$B$2)</f>
        <v>6895.5766041900142</v>
      </c>
      <c r="F119" s="7">
        <f>IPMT($B$4/12,D119,$B$5*12,$B$3-$B$2)</f>
        <v>55212.569160733176</v>
      </c>
      <c r="G119" s="7">
        <f>E119+F119</f>
        <v>62108.145764923189</v>
      </c>
      <c r="K119" s="7"/>
      <c r="L119" s="7"/>
      <c r="M119" s="7"/>
    </row>
    <row r="120" spans="4:13" x14ac:dyDescent="0.25">
      <c r="D120">
        <v>119</v>
      </c>
      <c r="E120" s="7">
        <f>PPMT($B$4/12,D120,$B$5*12,$B$3-$B$2)</f>
        <v>6978.8981548239781</v>
      </c>
      <c r="F120" s="7">
        <f>IPMT($B$4/12,D120,$B$5*12,$B$3-$B$2)</f>
        <v>55129.247610099206</v>
      </c>
      <c r="G120" s="7">
        <f>E120+F120</f>
        <v>62108.145764923182</v>
      </c>
      <c r="K120" s="7"/>
      <c r="L120" s="7"/>
      <c r="M120" s="7"/>
    </row>
    <row r="121" spans="4:13" x14ac:dyDescent="0.25">
      <c r="D121">
        <v>120</v>
      </c>
      <c r="E121" s="7">
        <f>PPMT($B$4/12,D121,$B$5*12,$B$3-$B$2)</f>
        <v>7063.2265075280984</v>
      </c>
      <c r="F121" s="7">
        <f>IPMT($B$4/12,D121,$B$5*12,$B$3-$B$2)</f>
        <v>55044.919257395086</v>
      </c>
      <c r="G121" s="7">
        <f>E121+F121</f>
        <v>62108.145764923182</v>
      </c>
      <c r="K121" s="7"/>
      <c r="L121" s="7"/>
      <c r="M121" s="7"/>
    </row>
    <row r="122" spans="4:13" x14ac:dyDescent="0.25">
      <c r="D122">
        <v>121</v>
      </c>
      <c r="E122" s="7">
        <f>PPMT($B$4/12,D122,$B$5*12,$B$3-$B$2)</f>
        <v>7148.5738278273966</v>
      </c>
      <c r="F122" s="7">
        <f>IPMT($B$4/12,D122,$B$5*12,$B$3-$B$2)</f>
        <v>54959.571937095789</v>
      </c>
      <c r="G122" s="7">
        <f>E122+F122</f>
        <v>62108.145764923189</v>
      </c>
      <c r="K122" s="7"/>
      <c r="L122" s="7"/>
      <c r="M122" s="7"/>
    </row>
    <row r="123" spans="4:13" x14ac:dyDescent="0.25">
      <c r="D123">
        <v>122</v>
      </c>
      <c r="E123" s="7">
        <f>PPMT($B$4/12,D123,$B$5*12,$B$3-$B$2)</f>
        <v>7234.9524282469783</v>
      </c>
      <c r="F123" s="7">
        <f>IPMT($B$4/12,D123,$B$5*12,$B$3-$B$2)</f>
        <v>54873.193336676202</v>
      </c>
      <c r="G123" s="7">
        <f>E123+F123</f>
        <v>62108.145764923182</v>
      </c>
      <c r="K123" s="7"/>
      <c r="L123" s="7"/>
      <c r="M123" s="7"/>
    </row>
    <row r="124" spans="4:13" x14ac:dyDescent="0.25">
      <c r="D124">
        <v>123</v>
      </c>
      <c r="E124" s="7">
        <f>PPMT($B$4/12,D124,$B$5*12,$B$3-$B$2)</f>
        <v>7322.3747700882977</v>
      </c>
      <c r="F124" s="7">
        <f>IPMT($B$4/12,D124,$B$5*12,$B$3-$B$2)</f>
        <v>54785.770994834886</v>
      </c>
      <c r="G124" s="7">
        <f>E124+F124</f>
        <v>62108.145764923182</v>
      </c>
      <c r="K124" s="7"/>
      <c r="L124" s="7"/>
      <c r="M124" s="7"/>
    </row>
    <row r="125" spans="4:13" x14ac:dyDescent="0.25">
      <c r="D125">
        <v>124</v>
      </c>
      <c r="E125" s="7">
        <f>PPMT($B$4/12,D125,$B$5*12,$B$3-$B$2)</f>
        <v>7410.8534652268618</v>
      </c>
      <c r="F125" s="7">
        <f>IPMT($B$4/12,D125,$B$5*12,$B$3-$B$2)</f>
        <v>54697.292299696332</v>
      </c>
      <c r="G125" s="7">
        <f>E125+F125</f>
        <v>62108.145764923196</v>
      </c>
      <c r="K125" s="7"/>
      <c r="L125" s="7"/>
      <c r="M125" s="7"/>
    </row>
    <row r="126" spans="4:13" x14ac:dyDescent="0.25">
      <c r="D126">
        <v>125</v>
      </c>
      <c r="E126" s="7">
        <f>PPMT($B$4/12,D126,$B$5*12,$B$3-$B$2)</f>
        <v>7500.4012779316881</v>
      </c>
      <c r="F126" s="7">
        <f>IPMT($B$4/12,D126,$B$5*12,$B$3-$B$2)</f>
        <v>54607.744486991498</v>
      </c>
      <c r="G126" s="7">
        <f>E126+F126</f>
        <v>62108.145764923189</v>
      </c>
      <c r="K126" s="7"/>
      <c r="L126" s="7"/>
      <c r="M126" s="7"/>
    </row>
    <row r="127" spans="4:13" x14ac:dyDescent="0.25">
      <c r="D127">
        <v>126</v>
      </c>
      <c r="E127" s="7">
        <f>PPMT($B$4/12,D127,$B$5*12,$B$3-$B$2)</f>
        <v>7591.0311267066963</v>
      </c>
      <c r="F127" s="7">
        <f>IPMT($B$4/12,D127,$B$5*12,$B$3-$B$2)</f>
        <v>54517.114638216495</v>
      </c>
      <c r="G127" s="7">
        <f>E127+F127</f>
        <v>62108.145764923189</v>
      </c>
      <c r="K127" s="7"/>
      <c r="L127" s="7"/>
      <c r="M127" s="7"/>
    </row>
    <row r="128" spans="4:13" x14ac:dyDescent="0.25">
      <c r="D128">
        <v>127</v>
      </c>
      <c r="E128" s="7">
        <f>PPMT($B$4/12,D128,$B$5*12,$B$3-$B$2)</f>
        <v>7682.7560861544025</v>
      </c>
      <c r="F128" s="7">
        <f>IPMT($B$4/12,D128,$B$5*12,$B$3-$B$2)</f>
        <v>54425.389678768777</v>
      </c>
      <c r="G128" s="7">
        <f>E128+F128</f>
        <v>62108.145764923182</v>
      </c>
      <c r="K128" s="7"/>
      <c r="L128" s="7"/>
      <c r="M128" s="7"/>
    </row>
    <row r="129" spans="4:13" x14ac:dyDescent="0.25">
      <c r="D129">
        <v>128</v>
      </c>
      <c r="E129" s="7">
        <f>PPMT($B$4/12,D129,$B$5*12,$B$3-$B$2)</f>
        <v>7775.5893888620985</v>
      </c>
      <c r="F129" s="7">
        <f>IPMT($B$4/12,D129,$B$5*12,$B$3-$B$2)</f>
        <v>54332.556376061082</v>
      </c>
      <c r="G129" s="7">
        <f>E129+F129</f>
        <v>62108.145764923182</v>
      </c>
      <c r="K129" s="7"/>
      <c r="L129" s="7"/>
      <c r="M129" s="7"/>
    </row>
    <row r="130" spans="4:13" x14ac:dyDescent="0.25">
      <c r="D130">
        <v>129</v>
      </c>
      <c r="E130" s="7">
        <f>PPMT($B$4/12,D130,$B$5*12,$B$3-$B$2)</f>
        <v>7869.5444273108524</v>
      </c>
      <c r="F130" s="7">
        <f>IPMT($B$4/12,D130,$B$5*12,$B$3-$B$2)</f>
        <v>54238.601337612337</v>
      </c>
      <c r="G130" s="7">
        <f>E130+F130</f>
        <v>62108.145764923189</v>
      </c>
      <c r="K130" s="7"/>
      <c r="L130" s="7"/>
      <c r="M130" s="7"/>
    </row>
    <row r="131" spans="4:13" x14ac:dyDescent="0.25">
      <c r="D131">
        <v>130</v>
      </c>
      <c r="E131" s="7">
        <f>PPMT($B$4/12,D131,$B$5*12,$B$3-$B$2)</f>
        <v>7964.6347558075249</v>
      </c>
      <c r="F131" s="7">
        <f>IPMT($B$4/12,D131,$B$5*12,$B$3-$B$2)</f>
        <v>54143.511009115668</v>
      </c>
      <c r="G131" s="7">
        <f>E131+F131</f>
        <v>62108.145764923189</v>
      </c>
      <c r="K131" s="7"/>
      <c r="L131" s="7"/>
      <c r="M131" s="7"/>
    </row>
    <row r="132" spans="4:13" x14ac:dyDescent="0.25">
      <c r="D132">
        <v>131</v>
      </c>
      <c r="E132" s="7">
        <f>PPMT($B$4/12,D132,$B$5*12,$B$3-$B$2)</f>
        <v>8060.8740924401973</v>
      </c>
      <c r="F132" s="7">
        <f>IPMT($B$4/12,D132,$B$5*12,$B$3-$B$2)</f>
        <v>54047.271672482988</v>
      </c>
      <c r="G132" s="7">
        <f>E132+F132</f>
        <v>62108.145764923189</v>
      </c>
      <c r="K132" s="7"/>
      <c r="L132" s="7"/>
      <c r="M132" s="7"/>
    </row>
    <row r="133" spans="4:13" x14ac:dyDescent="0.25">
      <c r="D133">
        <v>132</v>
      </c>
      <c r="E133" s="7">
        <f>PPMT($B$4/12,D133,$B$5*12,$B$3-$B$2)</f>
        <v>8158.2763210571829</v>
      </c>
      <c r="F133" s="7">
        <f>IPMT($B$4/12,D133,$B$5*12,$B$3-$B$2)</f>
        <v>53949.869443866002</v>
      </c>
      <c r="G133" s="7">
        <f>E133+F133</f>
        <v>62108.145764923189</v>
      </c>
      <c r="K133" s="7"/>
      <c r="L133" s="7"/>
      <c r="M133" s="7"/>
    </row>
    <row r="134" spans="4:13" x14ac:dyDescent="0.25">
      <c r="D134">
        <v>133</v>
      </c>
      <c r="E134" s="7">
        <f>PPMT($B$4/12,D134,$B$5*12,$B$3-$B$2)</f>
        <v>8256.8554932699572</v>
      </c>
      <c r="F134" s="7">
        <f>IPMT($B$4/12,D134,$B$5*12,$B$3-$B$2)</f>
        <v>53851.290271653226</v>
      </c>
      <c r="G134" s="7">
        <f>E134+F134</f>
        <v>62108.145764923182</v>
      </c>
      <c r="K134" s="7"/>
      <c r="L134" s="7"/>
      <c r="M134" s="7"/>
    </row>
    <row r="135" spans="4:13" x14ac:dyDescent="0.25">
      <c r="D135">
        <v>134</v>
      </c>
      <c r="E135" s="7">
        <f>PPMT($B$4/12,D135,$B$5*12,$B$3-$B$2)</f>
        <v>8356.625830480305</v>
      </c>
      <c r="F135" s="7">
        <f>IPMT($B$4/12,D135,$B$5*12,$B$3-$B$2)</f>
        <v>53751.519934442884</v>
      </c>
      <c r="G135" s="7">
        <f>E135+F135</f>
        <v>62108.145764923189</v>
      </c>
      <c r="K135" s="7"/>
      <c r="L135" s="7"/>
      <c r="M135" s="7"/>
    </row>
    <row r="136" spans="4:13" x14ac:dyDescent="0.25">
      <c r="D136">
        <v>135</v>
      </c>
      <c r="E136" s="7">
        <f>PPMT($B$4/12,D136,$B$5*12,$B$3-$B$2)</f>
        <v>8457.6017259319415</v>
      </c>
      <c r="F136" s="7">
        <f>IPMT($B$4/12,D136,$B$5*12,$B$3-$B$2)</f>
        <v>53650.54403899124</v>
      </c>
      <c r="G136" s="7">
        <f>E136+F136</f>
        <v>62108.145764923182</v>
      </c>
      <c r="K136" s="7"/>
      <c r="L136" s="7"/>
      <c r="M136" s="7"/>
    </row>
    <row r="137" spans="4:13" x14ac:dyDescent="0.25">
      <c r="D137">
        <v>136</v>
      </c>
      <c r="E137" s="7">
        <f>PPMT($B$4/12,D137,$B$5*12,$B$3-$B$2)</f>
        <v>8559.7977467869514</v>
      </c>
      <c r="F137" s="7">
        <f>IPMT($B$4/12,D137,$B$5*12,$B$3-$B$2)</f>
        <v>53548.348018136239</v>
      </c>
      <c r="G137" s="7">
        <f>E137+F137</f>
        <v>62108.145764923189</v>
      </c>
      <c r="K137" s="7"/>
      <c r="L137" s="7"/>
      <c r="M137" s="7"/>
    </row>
    <row r="138" spans="4:13" x14ac:dyDescent="0.25">
      <c r="D138">
        <v>137</v>
      </c>
      <c r="E138" s="7">
        <f>PPMT($B$4/12,D138,$B$5*12,$B$3-$B$2)</f>
        <v>8663.2286362272935</v>
      </c>
      <c r="F138" s="7">
        <f>IPMT($B$4/12,D138,$B$5*12,$B$3-$B$2)</f>
        <v>53444.917128695895</v>
      </c>
      <c r="G138" s="7">
        <f>E138+F138</f>
        <v>62108.145764923189</v>
      </c>
      <c r="K138" s="7"/>
      <c r="L138" s="7"/>
      <c r="M138" s="7"/>
    </row>
    <row r="139" spans="4:13" x14ac:dyDescent="0.25">
      <c r="D139">
        <v>138</v>
      </c>
      <c r="E139" s="7">
        <f>PPMT($B$4/12,D139,$B$5*12,$B$3-$B$2)</f>
        <v>8767.9093155817063</v>
      </c>
      <c r="F139" s="7">
        <f>IPMT($B$4/12,D139,$B$5*12,$B$3-$B$2)</f>
        <v>53340.236449341479</v>
      </c>
      <c r="G139" s="7">
        <f>E139+F139</f>
        <v>62108.145764923189</v>
      </c>
      <c r="K139" s="7"/>
      <c r="L139" s="7"/>
      <c r="M139" s="7"/>
    </row>
    <row r="140" spans="4:13" x14ac:dyDescent="0.25">
      <c r="D140">
        <v>139</v>
      </c>
      <c r="E140" s="7">
        <f>PPMT($B$4/12,D140,$B$5*12,$B$3-$B$2)</f>
        <v>8873.8548864783206</v>
      </c>
      <c r="F140" s="7">
        <f>IPMT($B$4/12,D140,$B$5*12,$B$3-$B$2)</f>
        <v>53234.290878444859</v>
      </c>
      <c r="G140" s="7">
        <f>E140+F140</f>
        <v>62108.145764923182</v>
      </c>
      <c r="K140" s="7"/>
      <c r="L140" s="7"/>
      <c r="M140" s="7"/>
    </row>
    <row r="141" spans="4:13" x14ac:dyDescent="0.25">
      <c r="D141">
        <v>140</v>
      </c>
      <c r="E141" s="7">
        <f>PPMT($B$4/12,D141,$B$5*12,$B$3-$B$2)</f>
        <v>8981.0806330232663</v>
      </c>
      <c r="F141" s="7">
        <f>IPMT($B$4/12,D141,$B$5*12,$B$3-$B$2)</f>
        <v>53127.065131899915</v>
      </c>
      <c r="G141" s="7">
        <f>E141+F141</f>
        <v>62108.145764923182</v>
      </c>
      <c r="K141" s="7"/>
      <c r="L141" s="7"/>
      <c r="M141" s="7"/>
    </row>
    <row r="142" spans="4:13" x14ac:dyDescent="0.25">
      <c r="D142">
        <v>141</v>
      </c>
      <c r="E142" s="7">
        <f>PPMT($B$4/12,D142,$B$5*12,$B$3-$B$2)</f>
        <v>9089.6020240056332</v>
      </c>
      <c r="F142" s="7">
        <f>IPMT($B$4/12,D142,$B$5*12,$B$3-$B$2)</f>
        <v>53018.54374091755</v>
      </c>
      <c r="G142" s="7">
        <f>E142+F142</f>
        <v>62108.145764923182</v>
      </c>
      <c r="K142" s="7"/>
      <c r="L142" s="7"/>
      <c r="M142" s="7"/>
    </row>
    <row r="143" spans="4:13" x14ac:dyDescent="0.25">
      <c r="D143">
        <v>142</v>
      </c>
      <c r="E143" s="7">
        <f>PPMT($B$4/12,D143,$B$5*12,$B$3-$B$2)</f>
        <v>9199.4347151290312</v>
      </c>
      <c r="F143" s="7">
        <f>IPMT($B$4/12,D143,$B$5*12,$B$3-$B$2)</f>
        <v>52908.711049794147</v>
      </c>
      <c r="G143" s="7">
        <f>E143+F143</f>
        <v>62108.145764923174</v>
      </c>
      <c r="K143" s="7"/>
      <c r="L143" s="7"/>
      <c r="M143" s="7"/>
    </row>
    <row r="144" spans="4:13" x14ac:dyDescent="0.25">
      <c r="D144">
        <v>143</v>
      </c>
      <c r="E144" s="7">
        <f>PPMT($B$4/12,D144,$B$5*12,$B$3-$B$2)</f>
        <v>9310.5945512701746</v>
      </c>
      <c r="F144" s="7">
        <f>IPMT($B$4/12,D144,$B$5*12,$B$3-$B$2)</f>
        <v>52797.551213653009</v>
      </c>
      <c r="G144" s="7">
        <f>E144+F144</f>
        <v>62108.145764923182</v>
      </c>
      <c r="K144" s="7"/>
      <c r="L144" s="7"/>
      <c r="M144" s="7"/>
    </row>
    <row r="145" spans="4:13" x14ac:dyDescent="0.25">
      <c r="D145">
        <v>144</v>
      </c>
      <c r="E145" s="7">
        <f>PPMT($B$4/12,D145,$B$5*12,$B$3-$B$2)</f>
        <v>9423.0975687646896</v>
      </c>
      <c r="F145" s="7">
        <f>IPMT($B$4/12,D145,$B$5*12,$B$3-$B$2)</f>
        <v>52685.048196158496</v>
      </c>
      <c r="G145" s="7">
        <f>E145+F145</f>
        <v>62108.145764923189</v>
      </c>
      <c r="K145" s="7"/>
      <c r="L145" s="7"/>
      <c r="M145" s="7"/>
    </row>
    <row r="146" spans="4:13" x14ac:dyDescent="0.25">
      <c r="D146">
        <v>145</v>
      </c>
      <c r="E146" s="7">
        <f>PPMT($B$4/12,D146,$B$5*12,$B$3-$B$2)</f>
        <v>9536.9599977205944</v>
      </c>
      <c r="F146" s="7">
        <f>IPMT($B$4/12,D146,$B$5*12,$B$3-$B$2)</f>
        <v>52571.185767202594</v>
      </c>
      <c r="G146" s="7">
        <f>E146+F146</f>
        <v>62108.145764923189</v>
      </c>
      <c r="K146" s="7"/>
      <c r="L146" s="7"/>
      <c r="M146" s="7"/>
    </row>
    <row r="147" spans="4:13" x14ac:dyDescent="0.25">
      <c r="D147">
        <v>146</v>
      </c>
      <c r="E147" s="7">
        <f>PPMT($B$4/12,D147,$B$5*12,$B$3-$B$2)</f>
        <v>9652.1982643597185</v>
      </c>
      <c r="F147" s="7">
        <f>IPMT($B$4/12,D147,$B$5*12,$B$3-$B$2)</f>
        <v>52455.947500563467</v>
      </c>
      <c r="G147" s="7">
        <f>E147+F147</f>
        <v>62108.145764923189</v>
      </c>
      <c r="K147" s="7"/>
      <c r="L147" s="7"/>
      <c r="M147" s="7"/>
    </row>
    <row r="148" spans="4:13" x14ac:dyDescent="0.25">
      <c r="D148">
        <v>147</v>
      </c>
      <c r="E148" s="7">
        <f>PPMT($B$4/12,D148,$B$5*12,$B$3-$B$2)</f>
        <v>9768.8289933874003</v>
      </c>
      <c r="F148" s="7">
        <f>IPMT($B$4/12,D148,$B$5*12,$B$3-$B$2)</f>
        <v>52339.316771535778</v>
      </c>
      <c r="G148" s="7">
        <f>E148+F148</f>
        <v>62108.145764923174</v>
      </c>
      <c r="K148" s="7"/>
      <c r="L148" s="7"/>
      <c r="M148" s="7"/>
    </row>
    <row r="149" spans="4:13" x14ac:dyDescent="0.25">
      <c r="D149">
        <v>148</v>
      </c>
      <c r="E149" s="7">
        <f>PPMT($B$4/12,D149,$B$5*12,$B$3-$B$2)</f>
        <v>9886.8690103908302</v>
      </c>
      <c r="F149" s="7">
        <f>IPMT($B$4/12,D149,$B$5*12,$B$3-$B$2)</f>
        <v>52221.276754532344</v>
      </c>
      <c r="G149" s="7">
        <f>E149+F149</f>
        <v>62108.145764923174</v>
      </c>
      <c r="K149" s="7"/>
      <c r="L149" s="7"/>
      <c r="M149" s="7"/>
    </row>
    <row r="150" spans="4:13" x14ac:dyDescent="0.25">
      <c r="D150">
        <v>149</v>
      </c>
      <c r="E150" s="7">
        <f>PPMT($B$4/12,D150,$B$5*12,$B$3-$B$2)</f>
        <v>10006.335344266387</v>
      </c>
      <c r="F150" s="7">
        <f>IPMT($B$4/12,D150,$B$5*12,$B$3-$B$2)</f>
        <v>52101.810420656802</v>
      </c>
      <c r="G150" s="7">
        <f>E150+F150</f>
        <v>62108.145764923189</v>
      </c>
      <c r="K150" s="7"/>
      <c r="L150" s="7"/>
      <c r="M150" s="7"/>
    </row>
    <row r="151" spans="4:13" x14ac:dyDescent="0.25">
      <c r="D151">
        <v>150</v>
      </c>
      <c r="E151" s="7">
        <f>PPMT($B$4/12,D151,$B$5*12,$B$3-$B$2)</f>
        <v>10127.245229676273</v>
      </c>
      <c r="F151" s="7">
        <f>IPMT($B$4/12,D151,$B$5*12,$B$3-$B$2)</f>
        <v>51980.90053524691</v>
      </c>
      <c r="G151" s="7">
        <f>E151+F151</f>
        <v>62108.145764923182</v>
      </c>
      <c r="K151" s="7"/>
      <c r="L151" s="7"/>
      <c r="M151" s="7"/>
    </row>
    <row r="152" spans="4:13" x14ac:dyDescent="0.25">
      <c r="D152">
        <v>151</v>
      </c>
      <c r="E152" s="7">
        <f>PPMT($B$4/12,D152,$B$5*12,$B$3-$B$2)</f>
        <v>10249.61610953486</v>
      </c>
      <c r="F152" s="7">
        <f>IPMT($B$4/12,D152,$B$5*12,$B$3-$B$2)</f>
        <v>51858.529655388316</v>
      </c>
      <c r="G152" s="7">
        <f>E152+F152</f>
        <v>62108.145764923174</v>
      </c>
      <c r="K152" s="7"/>
      <c r="L152" s="7"/>
      <c r="M152" s="7"/>
    </row>
    <row r="153" spans="4:13" x14ac:dyDescent="0.25">
      <c r="D153">
        <v>152</v>
      </c>
      <c r="E153" s="7">
        <f>PPMT($B$4/12,D153,$B$5*12,$B$3-$B$2)</f>
        <v>10373.465637525072</v>
      </c>
      <c r="F153" s="7">
        <f>IPMT($B$4/12,D153,$B$5*12,$B$3-$B$2)</f>
        <v>51734.680127398118</v>
      </c>
      <c r="G153" s="7">
        <f>E153+F153</f>
        <v>62108.145764923189</v>
      </c>
      <c r="K153" s="7"/>
      <c r="L153" s="7"/>
      <c r="M153" s="7"/>
    </row>
    <row r="154" spans="4:13" x14ac:dyDescent="0.25">
      <c r="D154">
        <v>153</v>
      </c>
      <c r="E154" s="7">
        <f>PPMT($B$4/12,D154,$B$5*12,$B$3-$B$2)</f>
        <v>10498.811680645167</v>
      </c>
      <c r="F154" s="7">
        <f>IPMT($B$4/12,D154,$B$5*12,$B$3-$B$2)</f>
        <v>51609.334084278016</v>
      </c>
      <c r="G154" s="7">
        <f>E154+F154</f>
        <v>62108.145764923182</v>
      </c>
      <c r="K154" s="7"/>
      <c r="L154" s="7"/>
      <c r="M154" s="7"/>
    </row>
    <row r="155" spans="4:13" x14ac:dyDescent="0.25">
      <c r="D155">
        <v>154</v>
      </c>
      <c r="E155" s="7">
        <f>PPMT($B$4/12,D155,$B$5*12,$B$3-$B$2)</f>
        <v>10625.672321786296</v>
      </c>
      <c r="F155" s="7">
        <f>IPMT($B$4/12,D155,$B$5*12,$B$3-$B$2)</f>
        <v>51482.473443136892</v>
      </c>
      <c r="G155" s="7">
        <f>E155+F155</f>
        <v>62108.145764923189</v>
      </c>
      <c r="K155" s="7"/>
      <c r="L155" s="7"/>
      <c r="M155" s="7"/>
    </row>
    <row r="156" spans="4:13" x14ac:dyDescent="0.25">
      <c r="D156">
        <v>155</v>
      </c>
      <c r="E156" s="7">
        <f>PPMT($B$4/12,D156,$B$5*12,$B$3-$B$2)</f>
        <v>10754.065862341215</v>
      </c>
      <c r="F156" s="7">
        <f>IPMT($B$4/12,D156,$B$5*12,$B$3-$B$2)</f>
        <v>51354.079902581972</v>
      </c>
      <c r="G156" s="7">
        <f>E156+F156</f>
        <v>62108.145764923189</v>
      </c>
      <c r="K156" s="7"/>
      <c r="L156" s="7"/>
      <c r="M156" s="7"/>
    </row>
    <row r="157" spans="4:13" x14ac:dyDescent="0.25">
      <c r="D157">
        <v>156</v>
      </c>
      <c r="E157" s="7">
        <f>PPMT($B$4/12,D157,$B$5*12,$B$3-$B$2)</f>
        <v>10884.010824844505</v>
      </c>
      <c r="F157" s="7">
        <f>IPMT($B$4/12,D157,$B$5*12,$B$3-$B$2)</f>
        <v>51224.134940078678</v>
      </c>
      <c r="G157" s="7">
        <f>E157+F157</f>
        <v>62108.145764923182</v>
      </c>
      <c r="K157" s="7"/>
      <c r="L157" s="7"/>
      <c r="M157" s="7"/>
    </row>
    <row r="158" spans="4:13" x14ac:dyDescent="0.25">
      <c r="D158">
        <v>157</v>
      </c>
      <c r="E158" s="7">
        <f>PPMT($B$4/12,D158,$B$5*12,$B$3-$B$2)</f>
        <v>11015.525955644709</v>
      </c>
      <c r="F158" s="7">
        <f>IPMT($B$4/12,D158,$B$5*12,$B$3-$B$2)</f>
        <v>51092.619809278476</v>
      </c>
      <c r="G158" s="7">
        <f>E158+F158</f>
        <v>62108.145764923189</v>
      </c>
      <c r="K158" s="7"/>
      <c r="L158" s="7"/>
      <c r="M158" s="7"/>
    </row>
    <row r="159" spans="4:13" x14ac:dyDescent="0.25">
      <c r="D159">
        <v>158</v>
      </c>
      <c r="E159" s="7">
        <f>PPMT($B$4/12,D159,$B$5*12,$B$3-$B$2)</f>
        <v>11148.630227608748</v>
      </c>
      <c r="F159" s="7">
        <f>IPMT($B$4/12,D159,$B$5*12,$B$3-$B$2)</f>
        <v>50959.515537314437</v>
      </c>
      <c r="G159" s="7">
        <f>E159+F159</f>
        <v>62108.145764923189</v>
      </c>
      <c r="K159" s="7"/>
      <c r="L159" s="7"/>
      <c r="M159" s="7"/>
    </row>
    <row r="160" spans="4:13" x14ac:dyDescent="0.25">
      <c r="D160">
        <v>159</v>
      </c>
      <c r="E160" s="7">
        <f>PPMT($B$4/12,D160,$B$5*12,$B$3-$B$2)</f>
        <v>11283.342842859021</v>
      </c>
      <c r="F160" s="7">
        <f>IPMT($B$4/12,D160,$B$5*12,$B$3-$B$2)</f>
        <v>50824.802922064169</v>
      </c>
      <c r="G160" s="7">
        <f>E160+F160</f>
        <v>62108.145764923189</v>
      </c>
      <c r="K160" s="7"/>
      <c r="L160" s="7"/>
      <c r="M160" s="7"/>
    </row>
    <row r="161" spans="4:13" x14ac:dyDescent="0.25">
      <c r="D161">
        <v>160</v>
      </c>
      <c r="E161" s="7">
        <f>PPMT($B$4/12,D161,$B$5*12,$B$3-$B$2)</f>
        <v>11419.683235543567</v>
      </c>
      <c r="F161" s="7">
        <f>IPMT($B$4/12,D161,$B$5*12,$B$3-$B$2)</f>
        <v>50688.46252937962</v>
      </c>
      <c r="G161" s="7">
        <f>E161+F161</f>
        <v>62108.145764923189</v>
      </c>
      <c r="K161" s="7"/>
      <c r="L161" s="7"/>
      <c r="M161" s="7"/>
    </row>
    <row r="162" spans="4:13" x14ac:dyDescent="0.25">
      <c r="D162">
        <v>161</v>
      </c>
      <c r="E162" s="7">
        <f>PPMT($B$4/12,D162,$B$5*12,$B$3-$B$2)</f>
        <v>11557.67107463972</v>
      </c>
      <c r="F162" s="7">
        <f>IPMT($B$4/12,D162,$B$5*12,$B$3-$B$2)</f>
        <v>50550.474690283467</v>
      </c>
      <c r="G162" s="7">
        <f>E162+F162</f>
        <v>62108.145764923189</v>
      </c>
      <c r="K162" s="7"/>
      <c r="L162" s="7"/>
      <c r="M162" s="7"/>
    </row>
    <row r="163" spans="4:13" x14ac:dyDescent="0.25">
      <c r="D163">
        <v>162</v>
      </c>
      <c r="E163" s="7">
        <f>PPMT($B$4/12,D163,$B$5*12,$B$3-$B$2)</f>
        <v>11697.326266791615</v>
      </c>
      <c r="F163" s="7">
        <f>IPMT($B$4/12,D163,$B$5*12,$B$3-$B$2)</f>
        <v>50410.819498131568</v>
      </c>
      <c r="G163" s="7">
        <f>E163+F163</f>
        <v>62108.145764923182</v>
      </c>
      <c r="K163" s="7"/>
      <c r="L163" s="7"/>
      <c r="M163" s="7"/>
    </row>
    <row r="164" spans="4:13" x14ac:dyDescent="0.25">
      <c r="D164">
        <v>163</v>
      </c>
      <c r="E164" s="7">
        <f>PPMT($B$4/12,D164,$B$5*12,$B$3-$B$2)</f>
        <v>11838.668959182012</v>
      </c>
      <c r="F164" s="7">
        <f>IPMT($B$4/12,D164,$B$5*12,$B$3-$B$2)</f>
        <v>50269.476805741171</v>
      </c>
      <c r="G164" s="7">
        <f>E164+F164</f>
        <v>62108.145764923182</v>
      </c>
      <c r="K164" s="7"/>
      <c r="L164" s="7"/>
      <c r="M164" s="7"/>
    </row>
    <row r="165" spans="4:13" x14ac:dyDescent="0.25">
      <c r="D165">
        <v>164</v>
      </c>
      <c r="E165" s="7">
        <f>PPMT($B$4/12,D165,$B$5*12,$B$3-$B$2)</f>
        <v>11981.719542438797</v>
      </c>
      <c r="F165" s="7">
        <f>IPMT($B$4/12,D165,$B$5*12,$B$3-$B$2)</f>
        <v>50126.426222484384</v>
      </c>
      <c r="G165" s="7">
        <f>E165+F165</f>
        <v>62108.145764923182</v>
      </c>
      <c r="K165" s="7"/>
      <c r="L165" s="7"/>
      <c r="M165" s="7"/>
    </row>
    <row r="166" spans="4:13" x14ac:dyDescent="0.25">
      <c r="D166">
        <v>165</v>
      </c>
      <c r="E166" s="7">
        <f>PPMT($B$4/12,D166,$B$5*12,$B$3-$B$2)</f>
        <v>12126.498653576598</v>
      </c>
      <c r="F166" s="7">
        <f>IPMT($B$4/12,D166,$B$5*12,$B$3-$B$2)</f>
        <v>49981.647111346589</v>
      </c>
      <c r="G166" s="7">
        <f>E166+F166</f>
        <v>62108.145764923189</v>
      </c>
      <c r="K166" s="7"/>
      <c r="L166" s="7"/>
      <c r="M166" s="7"/>
    </row>
    <row r="167" spans="4:13" x14ac:dyDescent="0.25">
      <c r="D167">
        <v>166</v>
      </c>
      <c r="E167" s="7">
        <f>PPMT($B$4/12,D167,$B$5*12,$B$3-$B$2)</f>
        <v>12273.027178973984</v>
      </c>
      <c r="F167" s="7">
        <f>IPMT($B$4/12,D167,$B$5*12,$B$3-$B$2)</f>
        <v>49835.118585949203</v>
      </c>
      <c r="G167" s="7">
        <f>E167+F167</f>
        <v>62108.145764923189</v>
      </c>
      <c r="K167" s="7"/>
      <c r="L167" s="7"/>
      <c r="M167" s="7"/>
    </row>
    <row r="168" spans="4:13" x14ac:dyDescent="0.25">
      <c r="D168">
        <v>167</v>
      </c>
      <c r="E168" s="7">
        <f>PPMT($B$4/12,D168,$B$5*12,$B$3-$B$2)</f>
        <v>12421.326257386585</v>
      </c>
      <c r="F168" s="7">
        <f>IPMT($B$4/12,D168,$B$5*12,$B$3-$B$2)</f>
        <v>49686.819507536602</v>
      </c>
      <c r="G168" s="7">
        <f>E168+F168</f>
        <v>62108.145764923189</v>
      </c>
      <c r="K168" s="7"/>
      <c r="L168" s="7"/>
      <c r="M168" s="7"/>
    </row>
    <row r="169" spans="4:13" x14ac:dyDescent="0.25">
      <c r="D169">
        <v>168</v>
      </c>
      <c r="E169" s="7">
        <f>PPMT($B$4/12,D169,$B$5*12,$B$3-$B$2)</f>
        <v>12571.417282996676</v>
      </c>
      <c r="F169" s="7">
        <f>IPMT($B$4/12,D169,$B$5*12,$B$3-$B$2)</f>
        <v>49536.728481926511</v>
      </c>
      <c r="G169" s="7">
        <f>E169+F169</f>
        <v>62108.145764923189</v>
      </c>
      <c r="K169" s="7"/>
      <c r="L169" s="7"/>
      <c r="M169" s="7"/>
    </row>
    <row r="170" spans="4:13" x14ac:dyDescent="0.25">
      <c r="D170">
        <v>169</v>
      </c>
      <c r="E170" s="7">
        <f>PPMT($B$4/12,D170,$B$5*12,$B$3-$B$2)</f>
        <v>12723.321908499551</v>
      </c>
      <c r="F170" s="7">
        <f>IPMT($B$4/12,D170,$B$5*12,$B$3-$B$2)</f>
        <v>49384.823856423631</v>
      </c>
      <c r="G170" s="7">
        <f>E170+F170</f>
        <v>62108.145764923182</v>
      </c>
      <c r="K170" s="7"/>
      <c r="L170" s="7"/>
      <c r="M170" s="7"/>
    </row>
    <row r="171" spans="4:13" x14ac:dyDescent="0.25">
      <c r="D171">
        <v>170</v>
      </c>
      <c r="E171" s="7">
        <f>PPMT($B$4/12,D171,$B$5*12,$B$3-$B$2)</f>
        <v>12877.062048227253</v>
      </c>
      <c r="F171" s="7">
        <f>IPMT($B$4/12,D171,$B$5*12,$B$3-$B$2)</f>
        <v>49231.083716695932</v>
      </c>
      <c r="G171" s="7">
        <f>E171+F171</f>
        <v>62108.145764923189</v>
      </c>
      <c r="K171" s="7"/>
      <c r="L171" s="7"/>
      <c r="M171" s="7"/>
    </row>
    <row r="172" spans="4:13" x14ac:dyDescent="0.25">
      <c r="D172">
        <v>171</v>
      </c>
      <c r="E172" s="7">
        <f>PPMT($B$4/12,D172,$B$5*12,$B$3-$B$2)</f>
        <v>13032.659881309997</v>
      </c>
      <c r="F172" s="7">
        <f>IPMT($B$4/12,D172,$B$5*12,$B$3-$B$2)</f>
        <v>49075.48588361319</v>
      </c>
      <c r="G172" s="7">
        <f>E172+F172</f>
        <v>62108.145764923189</v>
      </c>
      <c r="K172" s="7"/>
      <c r="L172" s="7"/>
      <c r="M172" s="7"/>
    </row>
    <row r="173" spans="4:13" x14ac:dyDescent="0.25">
      <c r="D173">
        <v>172</v>
      </c>
      <c r="E173" s="7">
        <f>PPMT($B$4/12,D173,$B$5*12,$B$3-$B$2)</f>
        <v>13190.137854875829</v>
      </c>
      <c r="F173" s="7">
        <f>IPMT($B$4/12,D173,$B$5*12,$B$3-$B$2)</f>
        <v>48918.007910047359</v>
      </c>
      <c r="G173" s="7">
        <f>E173+F173</f>
        <v>62108.145764923189</v>
      </c>
      <c r="K173" s="7"/>
      <c r="L173" s="7"/>
      <c r="M173" s="7"/>
    </row>
    <row r="174" spans="4:13" x14ac:dyDescent="0.25">
      <c r="D174">
        <v>173</v>
      </c>
      <c r="E174" s="7">
        <f>PPMT($B$4/12,D174,$B$5*12,$B$3-$B$2)</f>
        <v>13349.518687288912</v>
      </c>
      <c r="F174" s="7">
        <f>IPMT($B$4/12,D174,$B$5*12,$B$3-$B$2)</f>
        <v>48758.627077634272</v>
      </c>
      <c r="G174" s="7">
        <f>E174+F174</f>
        <v>62108.145764923182</v>
      </c>
      <c r="K174" s="7"/>
      <c r="L174" s="7"/>
      <c r="M174" s="7"/>
    </row>
    <row r="175" spans="4:13" x14ac:dyDescent="0.25">
      <c r="D175">
        <v>174</v>
      </c>
      <c r="E175" s="7">
        <f>PPMT($B$4/12,D175,$B$5*12,$B$3-$B$2)</f>
        <v>13510.825371426985</v>
      </c>
      <c r="F175" s="7">
        <f>IPMT($B$4/12,D175,$B$5*12,$B$3-$B$2)</f>
        <v>48597.3203934962</v>
      </c>
      <c r="G175" s="7">
        <f>E175+F175</f>
        <v>62108.145764923189</v>
      </c>
      <c r="K175" s="7"/>
      <c r="L175" s="7"/>
      <c r="M175" s="7"/>
    </row>
    <row r="176" spans="4:13" x14ac:dyDescent="0.25">
      <c r="D176">
        <v>175</v>
      </c>
      <c r="E176" s="7">
        <f>PPMT($B$4/12,D176,$B$5*12,$B$3-$B$2)</f>
        <v>13674.081177998394</v>
      </c>
      <c r="F176" s="7">
        <f>IPMT($B$4/12,D176,$B$5*12,$B$3-$B$2)</f>
        <v>48434.064586924789</v>
      </c>
      <c r="G176" s="7">
        <f>E176+F176</f>
        <v>62108.145764923182</v>
      </c>
      <c r="K176" s="7"/>
      <c r="L176" s="7"/>
      <c r="M176" s="7"/>
    </row>
    <row r="177" spans="4:13" x14ac:dyDescent="0.25">
      <c r="D177">
        <v>176</v>
      </c>
      <c r="E177" s="7">
        <f>PPMT($B$4/12,D177,$B$5*12,$B$3-$B$2)</f>
        <v>13839.309658899207</v>
      </c>
      <c r="F177" s="7">
        <f>IPMT($B$4/12,D177,$B$5*12,$B$3-$B$2)</f>
        <v>48268.836106023984</v>
      </c>
      <c r="G177" s="7">
        <f>E177+F177</f>
        <v>62108.145764923189</v>
      </c>
      <c r="K177" s="7"/>
      <c r="L177" s="7"/>
      <c r="M177" s="7"/>
    </row>
    <row r="178" spans="4:13" x14ac:dyDescent="0.25">
      <c r="D178">
        <v>177</v>
      </c>
      <c r="E178" s="7">
        <f>PPMT($B$4/12,D178,$B$5*12,$B$3-$B$2)</f>
        <v>14006.534650610905</v>
      </c>
      <c r="F178" s="7">
        <f>IPMT($B$4/12,D178,$B$5*12,$B$3-$B$2)</f>
        <v>48101.611114312283</v>
      </c>
      <c r="G178" s="7">
        <f>E178+F178</f>
        <v>62108.145764923189</v>
      </c>
      <c r="K178" s="7"/>
      <c r="L178" s="7"/>
      <c r="M178" s="7"/>
    </row>
    <row r="179" spans="4:13" x14ac:dyDescent="0.25">
      <c r="D179">
        <v>178</v>
      </c>
      <c r="E179" s="7">
        <f>PPMT($B$4/12,D179,$B$5*12,$B$3-$B$2)</f>
        <v>14175.780277639122</v>
      </c>
      <c r="F179" s="7">
        <f>IPMT($B$4/12,D179,$B$5*12,$B$3-$B$2)</f>
        <v>47932.365487284063</v>
      </c>
      <c r="G179" s="7">
        <f>E179+F179</f>
        <v>62108.145764923189</v>
      </c>
      <c r="K179" s="7"/>
      <c r="L179" s="7"/>
      <c r="M179" s="7"/>
    </row>
    <row r="180" spans="4:13" x14ac:dyDescent="0.25">
      <c r="D180">
        <v>179</v>
      </c>
      <c r="E180" s="7">
        <f>PPMT($B$4/12,D180,$B$5*12,$B$3-$B$2)</f>
        <v>14347.07095599393</v>
      </c>
      <c r="F180" s="7">
        <f>IPMT($B$4/12,D180,$B$5*12,$B$3-$B$2)</f>
        <v>47761.074808929254</v>
      </c>
      <c r="G180" s="7">
        <f>E180+F180</f>
        <v>62108.145764923182</v>
      </c>
      <c r="K180" s="7"/>
      <c r="L180" s="7"/>
      <c r="M180" s="7"/>
    </row>
    <row r="181" spans="4:13" x14ac:dyDescent="0.25">
      <c r="D181">
        <v>180</v>
      </c>
      <c r="E181" s="7">
        <f>PPMT($B$4/12,D181,$B$5*12,$B$3-$B$2)</f>
        <v>14520.431396712187</v>
      </c>
      <c r="F181" s="7">
        <f>IPMT($B$4/12,D181,$B$5*12,$B$3-$B$2)</f>
        <v>47587.714368210996</v>
      </c>
      <c r="G181" s="7">
        <f>E181+F181</f>
        <v>62108.145764923182</v>
      </c>
      <c r="K181" s="7"/>
      <c r="L181" s="7"/>
      <c r="M181" s="7"/>
    </row>
    <row r="182" spans="4:13" x14ac:dyDescent="0.25">
      <c r="D182">
        <v>181</v>
      </c>
      <c r="E182" s="7">
        <f>PPMT($B$4/12,D182,$B$5*12,$B$3-$B$2)</f>
        <v>14695.886609422461</v>
      </c>
      <c r="F182" s="7">
        <f>IPMT($B$4/12,D182,$B$5*12,$B$3-$B$2)</f>
        <v>47412.259155500724</v>
      </c>
      <c r="G182" s="7">
        <f>E182+F182</f>
        <v>62108.145764923189</v>
      </c>
      <c r="K182" s="7"/>
      <c r="L182" s="7"/>
      <c r="M182" s="7"/>
    </row>
    <row r="183" spans="4:13" x14ac:dyDescent="0.25">
      <c r="D183">
        <v>182</v>
      </c>
      <c r="E183" s="7">
        <f>PPMT($B$4/12,D183,$B$5*12,$B$3-$B$2)</f>
        <v>14873.461905952981</v>
      </c>
      <c r="F183" s="7">
        <f>IPMT($B$4/12,D183,$B$5*12,$B$3-$B$2)</f>
        <v>47234.683858970202</v>
      </c>
      <c r="G183" s="7">
        <f>E183+F183</f>
        <v>62108.145764923182</v>
      </c>
      <c r="K183" s="7"/>
      <c r="L183" s="7"/>
      <c r="M183" s="7"/>
    </row>
    <row r="184" spans="4:13" x14ac:dyDescent="0.25">
      <c r="D184">
        <v>183</v>
      </c>
      <c r="E184" s="7">
        <f>PPMT($B$4/12,D184,$B$5*12,$B$3-$B$2)</f>
        <v>15053.182903983248</v>
      </c>
      <c r="F184" s="7">
        <f>IPMT($B$4/12,D184,$B$5*12,$B$3-$B$2)</f>
        <v>47054.962860939937</v>
      </c>
      <c r="G184" s="7">
        <f>E184+F184</f>
        <v>62108.145764923189</v>
      </c>
      <c r="K184" s="7"/>
      <c r="L184" s="7"/>
      <c r="M184" s="7"/>
    </row>
    <row r="185" spans="4:13" x14ac:dyDescent="0.25">
      <c r="D185">
        <v>184</v>
      </c>
      <c r="E185" s="7">
        <f>PPMT($B$4/12,D185,$B$5*12,$B$3-$B$2)</f>
        <v>15235.075530739712</v>
      </c>
      <c r="F185" s="7">
        <f>IPMT($B$4/12,D185,$B$5*12,$B$3-$B$2)</f>
        <v>46873.070234183469</v>
      </c>
      <c r="G185" s="7">
        <f>E185+F185</f>
        <v>62108.145764923182</v>
      </c>
      <c r="K185" s="7"/>
      <c r="L185" s="7"/>
      <c r="M185" s="7"/>
    </row>
    <row r="186" spans="4:13" x14ac:dyDescent="0.25">
      <c r="D186">
        <v>185</v>
      </c>
      <c r="E186" s="7">
        <f>PPMT($B$4/12,D186,$B$5*12,$B$3-$B$2)</f>
        <v>15419.166026736148</v>
      </c>
      <c r="F186" s="7">
        <f>IPMT($B$4/12,D186,$B$5*12,$B$3-$B$2)</f>
        <v>46688.979738187038</v>
      </c>
      <c r="G186" s="7">
        <f>E186+F186</f>
        <v>62108.145764923189</v>
      </c>
      <c r="K186" s="7"/>
      <c r="L186" s="7"/>
      <c r="M186" s="7"/>
    </row>
    <row r="187" spans="4:13" x14ac:dyDescent="0.25">
      <c r="D187">
        <v>186</v>
      </c>
      <c r="E187" s="7">
        <f>PPMT($B$4/12,D187,$B$5*12,$B$3-$B$2)</f>
        <v>15605.480949559213</v>
      </c>
      <c r="F187" s="7">
        <f>IPMT($B$4/12,D187,$B$5*12,$B$3-$B$2)</f>
        <v>46502.664815363969</v>
      </c>
      <c r="G187" s="7">
        <f>E187+F187</f>
        <v>62108.145764923182</v>
      </c>
      <c r="K187" s="7"/>
      <c r="L187" s="7"/>
      <c r="M187" s="7"/>
    </row>
    <row r="188" spans="4:13" x14ac:dyDescent="0.25">
      <c r="D188">
        <v>187</v>
      </c>
      <c r="E188" s="7">
        <f>PPMT($B$4/12,D188,$B$5*12,$B$3-$B$2)</f>
        <v>15794.047177699716</v>
      </c>
      <c r="F188" s="7">
        <f>IPMT($B$4/12,D188,$B$5*12,$B$3-$B$2)</f>
        <v>46314.098587223467</v>
      </c>
      <c r="G188" s="7">
        <f>E188+F188</f>
        <v>62108.145764923182</v>
      </c>
      <c r="K188" s="7"/>
      <c r="L188" s="7"/>
      <c r="M188" s="7"/>
    </row>
    <row r="189" spans="4:13" x14ac:dyDescent="0.25">
      <c r="D189">
        <v>188</v>
      </c>
      <c r="E189" s="7">
        <f>PPMT($B$4/12,D189,$B$5*12,$B$3-$B$2)</f>
        <v>15984.891914430258</v>
      </c>
      <c r="F189" s="7">
        <f>IPMT($B$4/12,D189,$B$5*12,$B$3-$B$2)</f>
        <v>46123.253850492925</v>
      </c>
      <c r="G189" s="7">
        <f>E189+F189</f>
        <v>62108.145764923182</v>
      </c>
      <c r="K189" s="7"/>
      <c r="L189" s="7"/>
      <c r="M189" s="7"/>
    </row>
    <row r="190" spans="4:13" x14ac:dyDescent="0.25">
      <c r="D190">
        <v>189</v>
      </c>
      <c r="E190" s="7">
        <f>PPMT($B$4/12,D190,$B$5*12,$B$3-$B$2)</f>
        <v>16178.042691729623</v>
      </c>
      <c r="F190" s="7">
        <f>IPMT($B$4/12,D190,$B$5*12,$B$3-$B$2)</f>
        <v>45930.103073193561</v>
      </c>
      <c r="G190" s="7">
        <f>E190+F190</f>
        <v>62108.145764923182</v>
      </c>
      <c r="K190" s="7"/>
      <c r="L190" s="7"/>
      <c r="M190" s="7"/>
    </row>
    <row r="191" spans="4:13" x14ac:dyDescent="0.25">
      <c r="D191">
        <v>190</v>
      </c>
      <c r="E191" s="7">
        <f>PPMT($B$4/12,D191,$B$5*12,$B$3-$B$2)</f>
        <v>16373.527374254689</v>
      </c>
      <c r="F191" s="7">
        <f>IPMT($B$4/12,D191,$B$5*12,$B$3-$B$2)</f>
        <v>45734.618390668496</v>
      </c>
      <c r="G191" s="7">
        <f>E191+F191</f>
        <v>62108.145764923189</v>
      </c>
      <c r="K191" s="7"/>
      <c r="L191" s="7"/>
      <c r="M191" s="7"/>
    </row>
    <row r="192" spans="4:13" x14ac:dyDescent="0.25">
      <c r="D192">
        <v>191</v>
      </c>
      <c r="E192" s="7">
        <f>PPMT($B$4/12,D192,$B$5*12,$B$3-$B$2)</f>
        <v>16571.374163360262</v>
      </c>
      <c r="F192" s="7">
        <f>IPMT($B$4/12,D192,$B$5*12,$B$3-$B$2)</f>
        <v>45536.771601562919</v>
      </c>
      <c r="G192" s="7">
        <f>E192+F192</f>
        <v>62108.145764923182</v>
      </c>
      <c r="K192" s="7"/>
      <c r="L192" s="7"/>
      <c r="M192" s="7"/>
    </row>
    <row r="193" spans="4:13" x14ac:dyDescent="0.25">
      <c r="D193">
        <v>192</v>
      </c>
      <c r="E193" s="7">
        <f>PPMT($B$4/12,D193,$B$5*12,$B$3-$B$2)</f>
        <v>16771.611601167537</v>
      </c>
      <c r="F193" s="7">
        <f>IPMT($B$4/12,D193,$B$5*12,$B$3-$B$2)</f>
        <v>45336.534163755648</v>
      </c>
      <c r="G193" s="7">
        <f>E193+F193</f>
        <v>62108.145764923189</v>
      </c>
      <c r="K193" s="7"/>
      <c r="L193" s="7"/>
      <c r="M193" s="7"/>
    </row>
    <row r="194" spans="4:13" x14ac:dyDescent="0.25">
      <c r="D194">
        <v>193</v>
      </c>
      <c r="E194" s="7">
        <f>PPMT($B$4/12,D194,$B$5*12,$B$3-$B$2)</f>
        <v>16974.268574681642</v>
      </c>
      <c r="F194" s="7">
        <f>IPMT($B$4/12,D194,$B$5*12,$B$3-$B$2)</f>
        <v>45133.877190241539</v>
      </c>
      <c r="G194" s="7">
        <f>E194+F194</f>
        <v>62108.145764923182</v>
      </c>
      <c r="K194" s="7"/>
      <c r="L194" s="7"/>
      <c r="M194" s="7"/>
    </row>
    <row r="195" spans="4:13" x14ac:dyDescent="0.25">
      <c r="D195">
        <v>194</v>
      </c>
      <c r="E195" s="7">
        <f>PPMT($B$4/12,D195,$B$5*12,$B$3-$B$2)</f>
        <v>17179.37431995905</v>
      </c>
      <c r="F195" s="7">
        <f>IPMT($B$4/12,D195,$B$5*12,$B$3-$B$2)</f>
        <v>44928.771444964135</v>
      </c>
      <c r="G195" s="7">
        <f>E195+F195</f>
        <v>62108.145764923189</v>
      </c>
      <c r="K195" s="7"/>
      <c r="L195" s="7"/>
      <c r="M195" s="7"/>
    </row>
    <row r="196" spans="4:13" x14ac:dyDescent="0.25">
      <c r="D196">
        <v>195</v>
      </c>
      <c r="E196" s="7">
        <f>PPMT($B$4/12,D196,$B$5*12,$B$3-$B$2)</f>
        <v>17386.958426325218</v>
      </c>
      <c r="F196" s="7">
        <f>IPMT($B$4/12,D196,$B$5*12,$B$3-$B$2)</f>
        <v>44721.187338597971</v>
      </c>
      <c r="G196" s="7">
        <f>E196+F196</f>
        <v>62108.145764923189</v>
      </c>
      <c r="K196" s="7"/>
      <c r="L196" s="7"/>
      <c r="M196" s="7"/>
    </row>
    <row r="197" spans="4:13" x14ac:dyDescent="0.25">
      <c r="D197">
        <v>196</v>
      </c>
      <c r="E197" s="7">
        <f>PPMT($B$4/12,D197,$B$5*12,$B$3-$B$2)</f>
        <v>17597.050840643315</v>
      </c>
      <c r="F197" s="7">
        <f>IPMT($B$4/12,D197,$B$5*12,$B$3-$B$2)</f>
        <v>44511.094924279867</v>
      </c>
      <c r="G197" s="7">
        <f>E197+F197</f>
        <v>62108.145764923182</v>
      </c>
      <c r="K197" s="7"/>
      <c r="L197" s="7"/>
      <c r="M197" s="7"/>
    </row>
    <row r="198" spans="4:13" x14ac:dyDescent="0.25">
      <c r="D198">
        <v>197</v>
      </c>
      <c r="E198" s="7">
        <f>PPMT($B$4/12,D198,$B$5*12,$B$3-$B$2)</f>
        <v>17809.681871634424</v>
      </c>
      <c r="F198" s="7">
        <f>IPMT($B$4/12,D198,$B$5*12,$B$3-$B$2)</f>
        <v>44298.463893288754</v>
      </c>
      <c r="G198" s="7">
        <f>E198+F198</f>
        <v>62108.145764923174</v>
      </c>
      <c r="K198" s="7"/>
      <c r="L198" s="7"/>
      <c r="M198" s="7"/>
    </row>
    <row r="199" spans="4:13" x14ac:dyDescent="0.25">
      <c r="D199">
        <v>198</v>
      </c>
      <c r="E199" s="7">
        <f>PPMT($B$4/12,D199,$B$5*12,$B$3-$B$2)</f>
        <v>18024.882194250004</v>
      </c>
      <c r="F199" s="7">
        <f>IPMT($B$4/12,D199,$B$5*12,$B$3-$B$2)</f>
        <v>44083.263570673182</v>
      </c>
      <c r="G199" s="7">
        <f>E199+F199</f>
        <v>62108.145764923189</v>
      </c>
      <c r="K199" s="7"/>
      <c r="L199" s="7"/>
      <c r="M199" s="7"/>
    </row>
    <row r="200" spans="4:13" x14ac:dyDescent="0.25">
      <c r="D200">
        <v>199</v>
      </c>
      <c r="E200" s="7">
        <f>PPMT($B$4/12,D200,$B$5*12,$B$3-$B$2)</f>
        <v>18242.682854097191</v>
      </c>
      <c r="F200" s="7">
        <f>IPMT($B$4/12,D200,$B$5*12,$B$3-$B$2)</f>
        <v>43865.462910825991</v>
      </c>
      <c r="G200" s="7">
        <f>E200+F200</f>
        <v>62108.145764923182</v>
      </c>
      <c r="K200" s="7"/>
      <c r="L200" s="7"/>
      <c r="M200" s="7"/>
    </row>
    <row r="201" spans="4:13" x14ac:dyDescent="0.25">
      <c r="D201">
        <v>200</v>
      </c>
      <c r="E201" s="7">
        <f>PPMT($B$4/12,D201,$B$5*12,$B$3-$B$2)</f>
        <v>18463.115271917533</v>
      </c>
      <c r="F201" s="7">
        <f>IPMT($B$4/12,D201,$B$5*12,$B$3-$B$2)</f>
        <v>43645.030493005659</v>
      </c>
      <c r="G201" s="7">
        <f>E201+F201</f>
        <v>62108.145764923189</v>
      </c>
      <c r="K201" s="7"/>
      <c r="L201" s="7"/>
      <c r="M201" s="7"/>
    </row>
    <row r="202" spans="4:13" x14ac:dyDescent="0.25">
      <c r="D202">
        <v>201</v>
      </c>
      <c r="E202" s="7">
        <f>PPMT($B$4/12,D202,$B$5*12,$B$3-$B$2)</f>
        <v>18686.211248119867</v>
      </c>
      <c r="F202" s="7">
        <f>IPMT($B$4/12,D202,$B$5*12,$B$3-$B$2)</f>
        <v>43421.934516803311</v>
      </c>
      <c r="G202" s="7">
        <f>E202+F202</f>
        <v>62108.145764923174</v>
      </c>
      <c r="K202" s="7"/>
      <c r="L202" s="7"/>
      <c r="M202" s="7"/>
    </row>
    <row r="203" spans="4:13" x14ac:dyDescent="0.25">
      <c r="D203">
        <v>202</v>
      </c>
      <c r="E203" s="7">
        <f>PPMT($B$4/12,D203,$B$5*12,$B$3-$B$2)</f>
        <v>18912.002967367982</v>
      </c>
      <c r="F203" s="7">
        <f>IPMT($B$4/12,D203,$B$5*12,$B$3-$B$2)</f>
        <v>43196.142797555207</v>
      </c>
      <c r="G203" s="7">
        <f>E203+F203</f>
        <v>62108.145764923189</v>
      </c>
      <c r="K203" s="7"/>
      <c r="L203" s="7"/>
      <c r="M203" s="7"/>
    </row>
    <row r="204" spans="4:13" x14ac:dyDescent="0.25">
      <c r="D204">
        <v>203</v>
      </c>
      <c r="E204" s="7">
        <f>PPMT($B$4/12,D204,$B$5*12,$B$3-$B$2)</f>
        <v>19140.523003223683</v>
      </c>
      <c r="F204" s="7">
        <f>IPMT($B$4/12,D204,$B$5*12,$B$3-$B$2)</f>
        <v>42967.622761699495</v>
      </c>
      <c r="G204" s="7">
        <f>E204+F204</f>
        <v>62108.145764923174</v>
      </c>
      <c r="K204" s="7"/>
      <c r="L204" s="7"/>
      <c r="M204" s="7"/>
    </row>
    <row r="205" spans="4:13" x14ac:dyDescent="0.25">
      <c r="D205">
        <v>204</v>
      </c>
      <c r="E205" s="7">
        <f>PPMT($B$4/12,D205,$B$5*12,$B$3-$B$2)</f>
        <v>19371.804322845968</v>
      </c>
      <c r="F205" s="7">
        <f>IPMT($B$4/12,D205,$B$5*12,$B$3-$B$2)</f>
        <v>42736.341442077217</v>
      </c>
      <c r="G205" s="7">
        <f>E205+F205</f>
        <v>62108.145764923189</v>
      </c>
      <c r="K205" s="7"/>
      <c r="L205" s="7"/>
      <c r="M205" s="7"/>
    </row>
    <row r="206" spans="4:13" x14ac:dyDescent="0.25">
      <c r="D206">
        <v>205</v>
      </c>
      <c r="E206" s="7">
        <f>PPMT($B$4/12,D206,$B$5*12,$B$3-$B$2)</f>
        <v>19605.880291747024</v>
      </c>
      <c r="F206" s="7">
        <f>IPMT($B$4/12,D206,$B$5*12,$B$3-$B$2)</f>
        <v>42502.265473176165</v>
      </c>
      <c r="G206" s="7">
        <f>E206+F206</f>
        <v>62108.145764923189</v>
      </c>
      <c r="K206" s="7"/>
      <c r="L206" s="7"/>
      <c r="M206" s="7"/>
    </row>
    <row r="207" spans="4:13" x14ac:dyDescent="0.25">
      <c r="D207">
        <v>206</v>
      </c>
      <c r="E207" s="7">
        <f>PPMT($B$4/12,D207,$B$5*12,$B$3-$B$2)</f>
        <v>19842.784678605633</v>
      </c>
      <c r="F207" s="7">
        <f>IPMT($B$4/12,D207,$B$5*12,$B$3-$B$2)</f>
        <v>42265.361086317549</v>
      </c>
      <c r="G207" s="7">
        <f>E207+F207</f>
        <v>62108.145764923182</v>
      </c>
      <c r="K207" s="7"/>
      <c r="L207" s="7"/>
      <c r="M207" s="7"/>
    </row>
    <row r="208" spans="4:13" x14ac:dyDescent="0.25">
      <c r="D208">
        <v>207</v>
      </c>
      <c r="E208" s="7">
        <f>PPMT($B$4/12,D208,$B$5*12,$B$3-$B$2)</f>
        <v>20082.551660138783</v>
      </c>
      <c r="F208" s="7">
        <f>IPMT($B$4/12,D208,$B$5*12,$B$3-$B$2)</f>
        <v>42025.594104784403</v>
      </c>
      <c r="G208" s="7">
        <f>E208+F208</f>
        <v>62108.145764923189</v>
      </c>
      <c r="K208" s="7"/>
      <c r="L208" s="7"/>
      <c r="M208" s="7"/>
    </row>
    <row r="209" spans="4:13" x14ac:dyDescent="0.25">
      <c r="D209">
        <v>208</v>
      </c>
      <c r="E209" s="7">
        <f>PPMT($B$4/12,D209,$B$5*12,$B$3-$B$2)</f>
        <v>20325.215826032127</v>
      </c>
      <c r="F209" s="7">
        <f>IPMT($B$4/12,D209,$B$5*12,$B$3-$B$2)</f>
        <v>41782.929938891051</v>
      </c>
      <c r="G209" s="7">
        <f>E209+F209</f>
        <v>62108.145764923174</v>
      </c>
      <c r="K209" s="7"/>
      <c r="L209" s="7"/>
      <c r="M209" s="7"/>
    </row>
    <row r="210" spans="4:13" x14ac:dyDescent="0.25">
      <c r="D210">
        <v>209</v>
      </c>
      <c r="E210" s="7">
        <f>PPMT($B$4/12,D210,$B$5*12,$B$3-$B$2)</f>
        <v>20570.812183930015</v>
      </c>
      <c r="F210" s="7">
        <f>IPMT($B$4/12,D210,$B$5*12,$B$3-$B$2)</f>
        <v>41537.333580993167</v>
      </c>
      <c r="G210" s="7">
        <f>E210+F210</f>
        <v>62108.145764923182</v>
      </c>
      <c r="K210" s="7"/>
      <c r="L210" s="7"/>
      <c r="M210" s="7"/>
    </row>
    <row r="211" spans="4:13" x14ac:dyDescent="0.25">
      <c r="D211">
        <v>210</v>
      </c>
      <c r="E211" s="7">
        <f>PPMT($B$4/12,D211,$B$5*12,$B$3-$B$2)</f>
        <v>20819.376164485839</v>
      </c>
      <c r="F211" s="7">
        <f>IPMT($B$4/12,D211,$B$5*12,$B$3-$B$2)</f>
        <v>41288.769600437343</v>
      </c>
      <c r="G211" s="7">
        <f>E211+F211</f>
        <v>62108.145764923182</v>
      </c>
      <c r="K211" s="7"/>
      <c r="L211" s="7"/>
      <c r="M211" s="7"/>
    </row>
    <row r="212" spans="4:13" x14ac:dyDescent="0.25">
      <c r="D212">
        <v>211</v>
      </c>
      <c r="E212" s="7">
        <f>PPMT($B$4/12,D212,$B$5*12,$B$3-$B$2)</f>
        <v>21070.943626473374</v>
      </c>
      <c r="F212" s="7">
        <f>IPMT($B$4/12,D212,$B$5*12,$B$3-$B$2)</f>
        <v>41037.202138449808</v>
      </c>
      <c r="G212" s="7">
        <f>E212+F212</f>
        <v>62108.145764923182</v>
      </c>
      <c r="K212" s="7"/>
      <c r="L212" s="7"/>
      <c r="M212" s="7"/>
    </row>
    <row r="213" spans="4:13" x14ac:dyDescent="0.25">
      <c r="D213">
        <v>212</v>
      </c>
      <c r="E213" s="7">
        <f>PPMT($B$4/12,D213,$B$5*12,$B$3-$B$2)</f>
        <v>21325.550861959928</v>
      </c>
      <c r="F213" s="7">
        <f>IPMT($B$4/12,D213,$B$5*12,$B$3-$B$2)</f>
        <v>40782.594902963261</v>
      </c>
      <c r="G213" s="7">
        <f>E213+F213</f>
        <v>62108.145764923189</v>
      </c>
      <c r="K213" s="7"/>
      <c r="L213" s="7"/>
      <c r="M213" s="7"/>
    </row>
    <row r="214" spans="4:13" x14ac:dyDescent="0.25">
      <c r="D214">
        <v>213</v>
      </c>
      <c r="E214" s="7">
        <f>PPMT($B$4/12,D214,$B$5*12,$B$3-$B$2)</f>
        <v>21583.234601541946</v>
      </c>
      <c r="F214" s="7">
        <f>IPMT($B$4/12,D214,$B$5*12,$B$3-$B$2)</f>
        <v>40524.911163381235</v>
      </c>
      <c r="G214" s="7">
        <f>E214+F214</f>
        <v>62108.145764923182</v>
      </c>
      <c r="K214" s="7"/>
      <c r="L214" s="7"/>
      <c r="M214" s="7"/>
    </row>
    <row r="215" spans="4:13" x14ac:dyDescent="0.25">
      <c r="D215">
        <v>214</v>
      </c>
      <c r="E215" s="7">
        <f>PPMT($B$4/12,D215,$B$5*12,$B$3-$B$2)</f>
        <v>21844.032019643913</v>
      </c>
      <c r="F215" s="7">
        <f>IPMT($B$4/12,D215,$B$5*12,$B$3-$B$2)</f>
        <v>40264.113745279268</v>
      </c>
      <c r="G215" s="7">
        <f>E215+F215</f>
        <v>62108.145764923182</v>
      </c>
      <c r="K215" s="7"/>
      <c r="L215" s="7"/>
      <c r="M215" s="7"/>
    </row>
    <row r="216" spans="4:13" x14ac:dyDescent="0.25">
      <c r="D216">
        <v>215</v>
      </c>
      <c r="E216" s="7">
        <f>PPMT($B$4/12,D216,$B$5*12,$B$3-$B$2)</f>
        <v>22107.980739881274</v>
      </c>
      <c r="F216" s="7">
        <f>IPMT($B$4/12,D216,$B$5*12,$B$3-$B$2)</f>
        <v>40000.165025041912</v>
      </c>
      <c r="G216" s="7">
        <f>E216+F216</f>
        <v>62108.145764923189</v>
      </c>
      <c r="K216" s="7"/>
      <c r="L216" s="7"/>
      <c r="M216" s="7"/>
    </row>
    <row r="217" spans="4:13" x14ac:dyDescent="0.25">
      <c r="D217">
        <v>216</v>
      </c>
      <c r="E217" s="7">
        <f>PPMT($B$4/12,D217,$B$5*12,$B$3-$B$2)</f>
        <v>22375.118840488169</v>
      </c>
      <c r="F217" s="7">
        <f>IPMT($B$4/12,D217,$B$5*12,$B$3-$B$2)</f>
        <v>39733.02692443502</v>
      </c>
      <c r="G217" s="7">
        <f>E217+F217</f>
        <v>62108.145764923189</v>
      </c>
      <c r="K217" s="7"/>
      <c r="L217" s="7"/>
      <c r="M217" s="7"/>
    </row>
    <row r="218" spans="4:13" x14ac:dyDescent="0.25">
      <c r="D218">
        <v>217</v>
      </c>
      <c r="E218" s="7">
        <f>PPMT($B$4/12,D218,$B$5*12,$B$3-$B$2)</f>
        <v>22645.484859810735</v>
      </c>
      <c r="F218" s="7">
        <f>IPMT($B$4/12,D218,$B$5*12,$B$3-$B$2)</f>
        <v>39462.660905112447</v>
      </c>
      <c r="G218" s="7">
        <f>E218+F218</f>
        <v>62108.145764923182</v>
      </c>
      <c r="K218" s="7"/>
      <c r="L218" s="7"/>
      <c r="M218" s="7"/>
    </row>
    <row r="219" spans="4:13" x14ac:dyDescent="0.25">
      <c r="D219">
        <v>218</v>
      </c>
      <c r="E219" s="7">
        <f>PPMT($B$4/12,D219,$B$5*12,$B$3-$B$2)</f>
        <v>22919.117801866782</v>
      </c>
      <c r="F219" s="7">
        <f>IPMT($B$4/12,D219,$B$5*12,$B$3-$B$2)</f>
        <v>39189.027963056404</v>
      </c>
      <c r="G219" s="7">
        <f>E219+F219</f>
        <v>62108.145764923189</v>
      </c>
      <c r="K219" s="7"/>
      <c r="L219" s="7"/>
      <c r="M219" s="7"/>
    </row>
    <row r="220" spans="4:13" x14ac:dyDescent="0.25">
      <c r="D220">
        <v>219</v>
      </c>
      <c r="E220" s="7">
        <f>PPMT($B$4/12,D220,$B$5*12,$B$3-$B$2)</f>
        <v>23196.057141972673</v>
      </c>
      <c r="F220" s="7">
        <f>IPMT($B$4/12,D220,$B$5*12,$B$3-$B$2)</f>
        <v>38912.088622950512</v>
      </c>
      <c r="G220" s="7">
        <f>E220+F220</f>
        <v>62108.145764923189</v>
      </c>
      <c r="K220" s="7"/>
      <c r="L220" s="7"/>
      <c r="M220" s="7"/>
    </row>
    <row r="221" spans="4:13" x14ac:dyDescent="0.25">
      <c r="D221">
        <v>220</v>
      </c>
      <c r="E221" s="7">
        <f>PPMT($B$4/12,D221,$B$5*12,$B$3-$B$2)</f>
        <v>23476.342832438178</v>
      </c>
      <c r="F221" s="7">
        <f>IPMT($B$4/12,D221,$B$5*12,$B$3-$B$2)</f>
        <v>38631.802932485007</v>
      </c>
      <c r="G221" s="7">
        <f>E221+F221</f>
        <v>62108.145764923189</v>
      </c>
      <c r="K221" s="7"/>
      <c r="L221" s="7"/>
      <c r="M221" s="7"/>
    </row>
    <row r="222" spans="4:13" x14ac:dyDescent="0.25">
      <c r="D222">
        <v>221</v>
      </c>
      <c r="E222" s="7">
        <f>PPMT($B$4/12,D222,$B$5*12,$B$3-$B$2)</f>
        <v>23760.015308330137</v>
      </c>
      <c r="F222" s="7">
        <f>IPMT($B$4/12,D222,$B$5*12,$B$3-$B$2)</f>
        <v>38348.13045659304</v>
      </c>
      <c r="G222" s="7">
        <f>E222+F222</f>
        <v>62108.145764923174</v>
      </c>
      <c r="K222" s="7"/>
      <c r="L222" s="7"/>
      <c r="M222" s="7"/>
    </row>
    <row r="223" spans="4:13" x14ac:dyDescent="0.25">
      <c r="D223">
        <v>222</v>
      </c>
      <c r="E223" s="7">
        <f>PPMT($B$4/12,D223,$B$5*12,$B$3-$B$2)</f>
        <v>24047.115493305795</v>
      </c>
      <c r="F223" s="7">
        <f>IPMT($B$4/12,D223,$B$5*12,$B$3-$B$2)</f>
        <v>38061.03027161739</v>
      </c>
      <c r="G223" s="7">
        <f>E223+F223</f>
        <v>62108.145764923189</v>
      </c>
      <c r="K223" s="7"/>
      <c r="L223" s="7"/>
      <c r="M223" s="7"/>
    </row>
    <row r="224" spans="4:13" x14ac:dyDescent="0.25">
      <c r="D224">
        <v>223</v>
      </c>
      <c r="E224" s="7">
        <f>PPMT($B$4/12,D224,$B$5*12,$B$3-$B$2)</f>
        <v>24337.684805516572</v>
      </c>
      <c r="F224" s="7">
        <f>IPMT($B$4/12,D224,$B$5*12,$B$3-$B$2)</f>
        <v>37770.460959406613</v>
      </c>
      <c r="G224" s="7">
        <f>E224+F224</f>
        <v>62108.145764923189</v>
      </c>
      <c r="K224" s="7"/>
      <c r="L224" s="7"/>
      <c r="M224" s="7"/>
    </row>
    <row r="225" spans="4:13" x14ac:dyDescent="0.25">
      <c r="D225">
        <v>224</v>
      </c>
      <c r="E225" s="7">
        <f>PPMT($B$4/12,D225,$B$5*12,$B$3-$B$2)</f>
        <v>24631.76516358323</v>
      </c>
      <c r="F225" s="7">
        <f>IPMT($B$4/12,D225,$B$5*12,$B$3-$B$2)</f>
        <v>37476.380601339959</v>
      </c>
      <c r="G225" s="7">
        <f>E225+F225</f>
        <v>62108.145764923189</v>
      </c>
      <c r="K225" s="7"/>
      <c r="L225" s="7"/>
      <c r="M225" s="7"/>
    </row>
    <row r="226" spans="4:13" x14ac:dyDescent="0.25">
      <c r="D226">
        <v>225</v>
      </c>
      <c r="E226" s="7">
        <f>PPMT($B$4/12,D226,$B$5*12,$B$3-$B$2)</f>
        <v>24929.398992643193</v>
      </c>
      <c r="F226" s="7">
        <f>IPMT($B$4/12,D226,$B$5*12,$B$3-$B$2)</f>
        <v>37178.746772279985</v>
      </c>
      <c r="G226" s="7">
        <f>E226+F226</f>
        <v>62108.145764923174</v>
      </c>
      <c r="K226" s="7"/>
      <c r="L226" s="7"/>
      <c r="M226" s="7"/>
    </row>
    <row r="227" spans="4:13" x14ac:dyDescent="0.25">
      <c r="D227">
        <v>226</v>
      </c>
      <c r="E227" s="7">
        <f>PPMT($B$4/12,D227,$B$5*12,$B$3-$B$2)</f>
        <v>25230.629230470968</v>
      </c>
      <c r="F227" s="7">
        <f>IPMT($B$4/12,D227,$B$5*12,$B$3-$B$2)</f>
        <v>36877.516534452217</v>
      </c>
      <c r="G227" s="7">
        <f>E227+F227</f>
        <v>62108.145764923189</v>
      </c>
      <c r="K227" s="7"/>
      <c r="L227" s="7"/>
      <c r="M227" s="7"/>
    </row>
    <row r="228" spans="4:13" x14ac:dyDescent="0.25">
      <c r="D228">
        <v>227</v>
      </c>
      <c r="E228" s="7">
        <f>PPMT($B$4/12,D228,$B$5*12,$B$3-$B$2)</f>
        <v>25535.499333672491</v>
      </c>
      <c r="F228" s="7">
        <f>IPMT($B$4/12,D228,$B$5*12,$B$3-$B$2)</f>
        <v>36572.646431250701</v>
      </c>
      <c r="G228" s="7">
        <f>E228+F228</f>
        <v>62108.145764923189</v>
      </c>
      <c r="K228" s="7"/>
      <c r="L228" s="7"/>
      <c r="M228" s="7"/>
    </row>
    <row r="229" spans="4:13" x14ac:dyDescent="0.25">
      <c r="D229">
        <v>228</v>
      </c>
      <c r="E229" s="7">
        <f>PPMT($B$4/12,D229,$B$5*12,$B$3-$B$2)</f>
        <v>25844.053283954367</v>
      </c>
      <c r="F229" s="7">
        <f>IPMT($B$4/12,D229,$B$5*12,$B$3-$B$2)</f>
        <v>36264.092480968822</v>
      </c>
      <c r="G229" s="7">
        <f>E229+F229</f>
        <v>62108.145764923189</v>
      </c>
      <c r="K229" s="7"/>
      <c r="L229" s="7"/>
      <c r="M229" s="7"/>
    </row>
    <row r="230" spans="4:13" x14ac:dyDescent="0.25">
      <c r="D230">
        <v>229</v>
      </c>
      <c r="E230" s="7">
        <f>PPMT($B$4/12,D230,$B$5*12,$B$3-$B$2)</f>
        <v>26156.335594468816</v>
      </c>
      <c r="F230" s="7">
        <f>IPMT($B$4/12,D230,$B$5*12,$B$3-$B$2)</f>
        <v>35951.810170454373</v>
      </c>
      <c r="G230" s="7">
        <f>E230+F230</f>
        <v>62108.145764923189</v>
      </c>
      <c r="K230" s="7"/>
      <c r="L230" s="7"/>
      <c r="M230" s="7"/>
    </row>
    <row r="231" spans="4:13" x14ac:dyDescent="0.25">
      <c r="D231">
        <v>230</v>
      </c>
      <c r="E231" s="7">
        <f>PPMT($B$4/12,D231,$B$5*12,$B$3-$B$2)</f>
        <v>26472.391316235313</v>
      </c>
      <c r="F231" s="7">
        <f>IPMT($B$4/12,D231,$B$5*12,$B$3-$B$2)</f>
        <v>35635.754448687869</v>
      </c>
      <c r="G231" s="7">
        <f>E231+F231</f>
        <v>62108.145764923182</v>
      </c>
      <c r="K231" s="7"/>
      <c r="L231" s="7"/>
      <c r="M231" s="7"/>
    </row>
    <row r="232" spans="4:13" x14ac:dyDescent="0.25">
      <c r="D232">
        <v>231</v>
      </c>
      <c r="E232" s="7">
        <f>PPMT($B$4/12,D232,$B$5*12,$B$3-$B$2)</f>
        <v>26792.266044639826</v>
      </c>
      <c r="F232" s="7">
        <f>IPMT($B$4/12,D232,$B$5*12,$B$3-$B$2)</f>
        <v>35315.879720283359</v>
      </c>
      <c r="G232" s="7">
        <f>E232+F232</f>
        <v>62108.145764923189</v>
      </c>
      <c r="K232" s="7"/>
      <c r="L232" s="7"/>
      <c r="M232" s="7"/>
    </row>
    <row r="233" spans="4:13" x14ac:dyDescent="0.25">
      <c r="D233">
        <v>232</v>
      </c>
      <c r="E233" s="7">
        <f>PPMT($B$4/12,D233,$B$5*12,$B$3-$B$2)</f>
        <v>27116.005926012553</v>
      </c>
      <c r="F233" s="7">
        <f>IPMT($B$4/12,D233,$B$5*12,$B$3-$B$2)</f>
        <v>34992.139838910633</v>
      </c>
      <c r="G233" s="7">
        <f>E233+F233</f>
        <v>62108.145764923189</v>
      </c>
      <c r="K233" s="7"/>
      <c r="L233" s="7"/>
      <c r="M233" s="7"/>
    </row>
    <row r="234" spans="4:13" x14ac:dyDescent="0.25">
      <c r="D234">
        <v>233</v>
      </c>
      <c r="E234" s="7">
        <f>PPMT($B$4/12,D234,$B$5*12,$B$3-$B$2)</f>
        <v>27443.657664285205</v>
      </c>
      <c r="F234" s="7">
        <f>IPMT($B$4/12,D234,$B$5*12,$B$3-$B$2)</f>
        <v>34664.488100637973</v>
      </c>
      <c r="G234" s="7">
        <f>E234+F234</f>
        <v>62108.145764923174</v>
      </c>
      <c r="K234" s="7"/>
      <c r="L234" s="7"/>
      <c r="M234" s="7"/>
    </row>
    <row r="235" spans="4:13" x14ac:dyDescent="0.25">
      <c r="D235">
        <v>234</v>
      </c>
      <c r="E235" s="7">
        <f>PPMT($B$4/12,D235,$B$5*12,$B$3-$B$2)</f>
        <v>27775.268527728647</v>
      </c>
      <c r="F235" s="7">
        <f>IPMT($B$4/12,D235,$B$5*12,$B$3-$B$2)</f>
        <v>34332.877237194538</v>
      </c>
      <c r="G235" s="7">
        <f>E235+F235</f>
        <v>62108.145764923189</v>
      </c>
      <c r="K235" s="7"/>
      <c r="L235" s="7"/>
      <c r="M235" s="7"/>
    </row>
    <row r="236" spans="4:13" x14ac:dyDescent="0.25">
      <c r="D236">
        <v>235</v>
      </c>
      <c r="E236" s="7">
        <f>PPMT($B$4/12,D236,$B$5*12,$B$3-$B$2)</f>
        <v>28110.88635577204</v>
      </c>
      <c r="F236" s="7">
        <f>IPMT($B$4/12,D236,$B$5*12,$B$3-$B$2)</f>
        <v>33997.259409151142</v>
      </c>
      <c r="G236" s="7">
        <f>E236+F236</f>
        <v>62108.145764923182</v>
      </c>
      <c r="K236" s="7"/>
      <c r="L236" s="7"/>
      <c r="M236" s="7"/>
    </row>
    <row r="237" spans="4:13" x14ac:dyDescent="0.25">
      <c r="D237">
        <v>236</v>
      </c>
      <c r="E237" s="7">
        <f>PPMT($B$4/12,D237,$B$5*12,$B$3-$B$2)</f>
        <v>28450.559565904288</v>
      </c>
      <c r="F237" s="7">
        <f>IPMT($B$4/12,D237,$B$5*12,$B$3-$B$2)</f>
        <v>33657.586199018901</v>
      </c>
      <c r="G237" s="7">
        <f>E237+F237</f>
        <v>62108.145764923189</v>
      </c>
      <c r="K237" s="7"/>
      <c r="L237" s="7"/>
      <c r="M237" s="7"/>
    </row>
    <row r="238" spans="4:13" x14ac:dyDescent="0.25">
      <c r="D238">
        <v>237</v>
      </c>
      <c r="E238" s="7">
        <f>PPMT($B$4/12,D238,$B$5*12,$B$3-$B$2)</f>
        <v>28794.337160658968</v>
      </c>
      <c r="F238" s="7">
        <f>IPMT($B$4/12,D238,$B$5*12,$B$3-$B$2)</f>
        <v>33313.808604264217</v>
      </c>
      <c r="G238" s="7">
        <f>E238+F238</f>
        <v>62108.145764923189</v>
      </c>
      <c r="K238" s="7"/>
      <c r="L238" s="7"/>
      <c r="M238" s="7"/>
    </row>
    <row r="239" spans="4:13" x14ac:dyDescent="0.25">
      <c r="D239">
        <v>238</v>
      </c>
      <c r="E239" s="7">
        <f>PPMT($B$4/12,D239,$B$5*12,$B$3-$B$2)</f>
        <v>29142.268734683592</v>
      </c>
      <c r="F239" s="7">
        <f>IPMT($B$4/12,D239,$B$5*12,$B$3-$B$2)</f>
        <v>32965.877030239601</v>
      </c>
      <c r="G239" s="7">
        <f>E239+F239</f>
        <v>62108.145764923189</v>
      </c>
      <c r="K239" s="7"/>
      <c r="L239" s="7"/>
      <c r="M239" s="7"/>
    </row>
    <row r="240" spans="4:13" x14ac:dyDescent="0.25">
      <c r="D240">
        <v>239</v>
      </c>
      <c r="E240" s="7">
        <f>PPMT($B$4/12,D240,$B$5*12,$B$3-$B$2)</f>
        <v>29494.404481894355</v>
      </c>
      <c r="F240" s="7">
        <f>IPMT($B$4/12,D240,$B$5*12,$B$3-$B$2)</f>
        <v>32613.74128302883</v>
      </c>
      <c r="G240" s="7">
        <f>E240+F240</f>
        <v>62108.145764923189</v>
      </c>
      <c r="K240" s="7"/>
      <c r="L240" s="7"/>
      <c r="M240" s="7"/>
    </row>
    <row r="241" spans="4:13" x14ac:dyDescent="0.25">
      <c r="D241">
        <v>240</v>
      </c>
      <c r="E241" s="7">
        <f>PPMT($B$4/12,D241,$B$5*12,$B$3-$B$2)</f>
        <v>29850.795202717243</v>
      </c>
      <c r="F241" s="7">
        <f>IPMT($B$4/12,D241,$B$5*12,$B$3-$B$2)</f>
        <v>32257.350562205935</v>
      </c>
      <c r="G241" s="7">
        <f>E241+F241</f>
        <v>62108.145764923174</v>
      </c>
      <c r="K241" s="7"/>
      <c r="L241" s="7"/>
      <c r="M241" s="7"/>
    </row>
    <row r="242" spans="4:13" x14ac:dyDescent="0.25">
      <c r="D242">
        <v>241</v>
      </c>
      <c r="E242" s="7">
        <f>PPMT($B$4/12,D242,$B$5*12,$B$3-$B$2)</f>
        <v>30211.492311416743</v>
      </c>
      <c r="F242" s="7">
        <f>IPMT($B$4/12,D242,$B$5*12,$B$3-$B$2)</f>
        <v>31896.653453506442</v>
      </c>
      <c r="G242" s="7">
        <f>E242+F242</f>
        <v>62108.145764923189</v>
      </c>
      <c r="K242" s="7"/>
      <c r="L242" s="7"/>
      <c r="M242" s="7"/>
    </row>
    <row r="243" spans="4:13" x14ac:dyDescent="0.25">
      <c r="D243">
        <v>242</v>
      </c>
      <c r="E243" s="7">
        <f>PPMT($B$4/12,D243,$B$5*12,$B$3-$B$2)</f>
        <v>30576.547843513028</v>
      </c>
      <c r="F243" s="7">
        <f>IPMT($B$4/12,D243,$B$5*12,$B$3-$B$2)</f>
        <v>31531.597921410157</v>
      </c>
      <c r="G243" s="7">
        <f>E243+F243</f>
        <v>62108.145764923189</v>
      </c>
      <c r="K243" s="7"/>
      <c r="L243" s="7"/>
      <c r="M243" s="7"/>
    </row>
    <row r="244" spans="4:13" x14ac:dyDescent="0.25">
      <c r="D244">
        <v>243</v>
      </c>
      <c r="E244" s="7">
        <f>PPMT($B$4/12,D244,$B$5*12,$B$3-$B$2)</f>
        <v>30946.014463288811</v>
      </c>
      <c r="F244" s="7">
        <f>IPMT($B$4/12,D244,$B$5*12,$B$3-$B$2)</f>
        <v>31162.131301634374</v>
      </c>
      <c r="G244" s="7">
        <f>E244+F244</f>
        <v>62108.145764923189</v>
      </c>
      <c r="K244" s="7"/>
      <c r="L244" s="7"/>
      <c r="M244" s="7"/>
    </row>
    <row r="245" spans="4:13" x14ac:dyDescent="0.25">
      <c r="D245">
        <v>244</v>
      </c>
      <c r="E245" s="7">
        <f>PPMT($B$4/12,D245,$B$5*12,$B$3-$B$2)</f>
        <v>31319.945471386884</v>
      </c>
      <c r="F245" s="7">
        <f>IPMT($B$4/12,D245,$B$5*12,$B$3-$B$2)</f>
        <v>30788.200293536302</v>
      </c>
      <c r="G245" s="7">
        <f>E245+F245</f>
        <v>62108.145764923189</v>
      </c>
      <c r="K245" s="7"/>
      <c r="L245" s="7"/>
      <c r="M245" s="7"/>
    </row>
    <row r="246" spans="4:13" x14ac:dyDescent="0.25">
      <c r="D246">
        <v>245</v>
      </c>
      <c r="E246" s="7">
        <f>PPMT($B$4/12,D246,$B$5*12,$B$3-$B$2)</f>
        <v>31698.394812499475</v>
      </c>
      <c r="F246" s="7">
        <f>IPMT($B$4/12,D246,$B$5*12,$B$3-$B$2)</f>
        <v>30409.75095242371</v>
      </c>
      <c r="G246" s="7">
        <f>E246+F246</f>
        <v>62108.145764923189</v>
      </c>
      <c r="K246" s="7"/>
      <c r="L246" s="7"/>
      <c r="M246" s="7"/>
    </row>
    <row r="247" spans="4:13" x14ac:dyDescent="0.25">
      <c r="D247">
        <v>246</v>
      </c>
      <c r="E247" s="7">
        <f>PPMT($B$4/12,D247,$B$5*12,$B$3-$B$2)</f>
        <v>32081.417083150511</v>
      </c>
      <c r="F247" s="7">
        <f>IPMT($B$4/12,D247,$B$5*12,$B$3-$B$2)</f>
        <v>30026.728681772674</v>
      </c>
      <c r="G247" s="7">
        <f>E247+F247</f>
        <v>62108.145764923189</v>
      </c>
      <c r="K247" s="7"/>
      <c r="L247" s="7"/>
      <c r="M247" s="7"/>
    </row>
    <row r="248" spans="4:13" x14ac:dyDescent="0.25">
      <c r="D248">
        <v>247</v>
      </c>
      <c r="E248" s="7">
        <f>PPMT($B$4/12,D248,$B$5*12,$B$3-$B$2)</f>
        <v>32469.067539571908</v>
      </c>
      <c r="F248" s="7">
        <f>IPMT($B$4/12,D248,$B$5*12,$B$3-$B$2)</f>
        <v>29639.078225351277</v>
      </c>
      <c r="G248" s="7">
        <f>E248+F248</f>
        <v>62108.145764923189</v>
      </c>
      <c r="K248" s="7"/>
      <c r="L248" s="7"/>
      <c r="M248" s="7"/>
    </row>
    <row r="249" spans="4:13" x14ac:dyDescent="0.25">
      <c r="D249">
        <v>248</v>
      </c>
      <c r="E249" s="7">
        <f>PPMT($B$4/12,D249,$B$5*12,$B$3-$B$2)</f>
        <v>32861.402105675072</v>
      </c>
      <c r="F249" s="7">
        <f>IPMT($B$4/12,D249,$B$5*12,$B$3-$B$2)</f>
        <v>29246.743659248106</v>
      </c>
      <c r="G249" s="7">
        <f>E249+F249</f>
        <v>62108.145764923174</v>
      </c>
      <c r="K249" s="7"/>
      <c r="L249" s="7"/>
      <c r="M249" s="7"/>
    </row>
    <row r="250" spans="4:13" x14ac:dyDescent="0.25">
      <c r="D250">
        <v>249</v>
      </c>
      <c r="E250" s="7">
        <f>PPMT($B$4/12,D250,$B$5*12,$B$3-$B$2)</f>
        <v>33258.477381118646</v>
      </c>
      <c r="F250" s="7">
        <f>IPMT($B$4/12,D250,$B$5*12,$B$3-$B$2)</f>
        <v>28849.668383804536</v>
      </c>
      <c r="G250" s="7">
        <f>E250+F250</f>
        <v>62108.145764923182</v>
      </c>
      <c r="K250" s="7"/>
      <c r="L250" s="7"/>
      <c r="M250" s="7"/>
    </row>
    <row r="251" spans="4:13" x14ac:dyDescent="0.25">
      <c r="D251">
        <v>250</v>
      </c>
      <c r="E251" s="7">
        <f>PPMT($B$4/12,D251,$B$5*12,$B$3-$B$2)</f>
        <v>33660.350649473839</v>
      </c>
      <c r="F251" s="7">
        <f>IPMT($B$4/12,D251,$B$5*12,$B$3-$B$2)</f>
        <v>28447.795115449353</v>
      </c>
      <c r="G251" s="7">
        <f>E251+F251</f>
        <v>62108.145764923189</v>
      </c>
      <c r="K251" s="7"/>
      <c r="L251" s="7"/>
      <c r="M251" s="7"/>
    </row>
    <row r="252" spans="4:13" x14ac:dyDescent="0.25">
      <c r="D252">
        <v>251</v>
      </c>
      <c r="E252" s="7">
        <f>PPMT($B$4/12,D252,$B$5*12,$B$3-$B$2)</f>
        <v>34067.079886488304</v>
      </c>
      <c r="F252" s="7">
        <f>IPMT($B$4/12,D252,$B$5*12,$B$3-$B$2)</f>
        <v>28041.065878434885</v>
      </c>
      <c r="G252" s="7">
        <f>E252+F252</f>
        <v>62108.145764923189</v>
      </c>
      <c r="K252" s="7"/>
      <c r="L252" s="7"/>
      <c r="M252" s="7"/>
    </row>
    <row r="253" spans="4:13" x14ac:dyDescent="0.25">
      <c r="D253">
        <v>252</v>
      </c>
      <c r="E253" s="7">
        <f>PPMT($B$4/12,D253,$B$5*12,$B$3-$B$2)</f>
        <v>34478.723768450043</v>
      </c>
      <c r="F253" s="7">
        <f>IPMT($B$4/12,D253,$B$5*12,$B$3-$B$2)</f>
        <v>27629.421996473142</v>
      </c>
      <c r="G253" s="7">
        <f>E253+F253</f>
        <v>62108.145764923189</v>
      </c>
      <c r="K253" s="7"/>
      <c r="L253" s="7"/>
      <c r="M253" s="7"/>
    </row>
    <row r="254" spans="4:13" x14ac:dyDescent="0.25">
      <c r="D254">
        <v>253</v>
      </c>
      <c r="E254" s="7">
        <f>PPMT($B$4/12,D254,$B$5*12,$B$3-$B$2)</f>
        <v>34895.341680652142</v>
      </c>
      <c r="F254" s="7">
        <f>IPMT($B$4/12,D254,$B$5*12,$B$3-$B$2)</f>
        <v>27212.80408427104</v>
      </c>
      <c r="G254" s="7">
        <f>E254+F254</f>
        <v>62108.145764923182</v>
      </c>
      <c r="K254" s="7"/>
      <c r="L254" s="7"/>
      <c r="M254" s="7"/>
    </row>
    <row r="255" spans="4:13" x14ac:dyDescent="0.25">
      <c r="D255">
        <v>254</v>
      </c>
      <c r="E255" s="7">
        <f>PPMT($B$4/12,D255,$B$5*12,$B$3-$B$2)</f>
        <v>35316.993725960026</v>
      </c>
      <c r="F255" s="7">
        <f>IPMT($B$4/12,D255,$B$5*12,$B$3-$B$2)</f>
        <v>26791.152038963162</v>
      </c>
      <c r="G255" s="7">
        <f>E255+F255</f>
        <v>62108.145764923189</v>
      </c>
      <c r="K255" s="7"/>
      <c r="L255" s="7"/>
      <c r="M255" s="7"/>
    </row>
    <row r="256" spans="4:13" x14ac:dyDescent="0.25">
      <c r="D256">
        <v>255</v>
      </c>
      <c r="E256" s="7">
        <f>PPMT($B$4/12,D256,$B$5*12,$B$3-$B$2)</f>
        <v>35743.740733482038</v>
      </c>
      <c r="F256" s="7">
        <f>IPMT($B$4/12,D256,$B$5*12,$B$3-$B$2)</f>
        <v>26364.405031441151</v>
      </c>
      <c r="G256" s="7">
        <f>E256+F256</f>
        <v>62108.145764923189</v>
      </c>
      <c r="K256" s="7"/>
      <c r="L256" s="7"/>
      <c r="M256" s="7"/>
    </row>
    <row r="257" spans="4:13" x14ac:dyDescent="0.25">
      <c r="D257">
        <v>256</v>
      </c>
      <c r="E257" s="7">
        <f>PPMT($B$4/12,D257,$B$5*12,$B$3-$B$2)</f>
        <v>36175.644267344949</v>
      </c>
      <c r="F257" s="7">
        <f>IPMT($B$4/12,D257,$B$5*12,$B$3-$B$2)</f>
        <v>25932.501497578236</v>
      </c>
      <c r="G257" s="7">
        <f>E257+F257</f>
        <v>62108.145764923189</v>
      </c>
      <c r="K257" s="7"/>
      <c r="L257" s="7"/>
      <c r="M257" s="7"/>
    </row>
    <row r="258" spans="4:13" x14ac:dyDescent="0.25">
      <c r="D258">
        <v>257</v>
      </c>
      <c r="E258" s="7">
        <f>PPMT($B$4/12,D258,$B$5*12,$B$3-$B$2)</f>
        <v>36612.766635575368</v>
      </c>
      <c r="F258" s="7">
        <f>IPMT($B$4/12,D258,$B$5*12,$B$3-$B$2)</f>
        <v>25495.379129347821</v>
      </c>
      <c r="G258" s="7">
        <f>E258+F258</f>
        <v>62108.145764923189</v>
      </c>
      <c r="K258" s="7"/>
      <c r="L258" s="7"/>
      <c r="M258" s="7"/>
    </row>
    <row r="259" spans="4:13" x14ac:dyDescent="0.25">
      <c r="D259">
        <v>258</v>
      </c>
      <c r="E259" s="7">
        <f>PPMT($B$4/12,D259,$B$5*12,$B$3-$B$2)</f>
        <v>37055.170899088567</v>
      </c>
      <c r="F259" s="7">
        <f>IPMT($B$4/12,D259,$B$5*12,$B$3-$B$2)</f>
        <v>25052.974865834611</v>
      </c>
      <c r="G259" s="7">
        <f>E259+F259</f>
        <v>62108.145764923174</v>
      </c>
      <c r="K259" s="7"/>
      <c r="L259" s="7"/>
      <c r="M259" s="7"/>
    </row>
    <row r="260" spans="4:13" x14ac:dyDescent="0.25">
      <c r="D260">
        <v>259</v>
      </c>
      <c r="E260" s="7">
        <f>PPMT($B$4/12,D260,$B$5*12,$B$3-$B$2)</f>
        <v>37502.920880785889</v>
      </c>
      <c r="F260" s="7">
        <f>IPMT($B$4/12,D260,$B$5*12,$B$3-$B$2)</f>
        <v>24605.2248841373</v>
      </c>
      <c r="G260" s="7">
        <f>E260+F260</f>
        <v>62108.145764923189</v>
      </c>
      <c r="K260" s="7"/>
      <c r="L260" s="7"/>
      <c r="M260" s="7"/>
    </row>
    <row r="261" spans="4:13" x14ac:dyDescent="0.25">
      <c r="D261">
        <v>260</v>
      </c>
      <c r="E261" s="7">
        <f>PPMT($B$4/12,D261,$B$5*12,$B$3-$B$2)</f>
        <v>37956.081174762061</v>
      </c>
      <c r="F261" s="7">
        <f>IPMT($B$4/12,D261,$B$5*12,$B$3-$B$2)</f>
        <v>24152.064590161131</v>
      </c>
      <c r="G261" s="7">
        <f>E261+F261</f>
        <v>62108.145764923189</v>
      </c>
      <c r="K261" s="7"/>
      <c r="L261" s="7"/>
      <c r="M261" s="7"/>
    </row>
    <row r="262" spans="4:13" x14ac:dyDescent="0.25">
      <c r="D262">
        <v>261</v>
      </c>
      <c r="E262" s="7">
        <f>PPMT($B$4/12,D262,$B$5*12,$B$3-$B$2)</f>
        <v>38414.717155623766</v>
      </c>
      <c r="F262" s="7">
        <f>IPMT($B$4/12,D262,$B$5*12,$B$3-$B$2)</f>
        <v>23693.428609299426</v>
      </c>
      <c r="G262" s="7">
        <f>E262+F262</f>
        <v>62108.145764923189</v>
      </c>
      <c r="K262" s="7"/>
      <c r="L262" s="7"/>
      <c r="M262" s="7"/>
    </row>
    <row r="263" spans="4:13" x14ac:dyDescent="0.25">
      <c r="D263">
        <v>262</v>
      </c>
      <c r="E263" s="7">
        <f>PPMT($B$4/12,D263,$B$5*12,$B$3-$B$2)</f>
        <v>38878.894987920889</v>
      </c>
      <c r="F263" s="7">
        <f>IPMT($B$4/12,D263,$B$5*12,$B$3-$B$2)</f>
        <v>23229.250777002304</v>
      </c>
      <c r="G263" s="7">
        <f>E263+F263</f>
        <v>62108.145764923189</v>
      </c>
      <c r="K263" s="7"/>
      <c r="L263" s="7"/>
      <c r="M263" s="7"/>
    </row>
    <row r="264" spans="4:13" x14ac:dyDescent="0.25">
      <c r="D264">
        <v>263</v>
      </c>
      <c r="E264" s="7">
        <f>PPMT($B$4/12,D264,$B$5*12,$B$3-$B$2)</f>
        <v>39348.681635691595</v>
      </c>
      <c r="F264" s="7">
        <f>IPMT($B$4/12,D264,$B$5*12,$B$3-$B$2)</f>
        <v>22759.464129231594</v>
      </c>
      <c r="G264" s="7">
        <f>E264+F264</f>
        <v>62108.145764923189</v>
      </c>
      <c r="K264" s="7"/>
      <c r="L264" s="7"/>
      <c r="M264" s="7"/>
    </row>
    <row r="265" spans="4:13" x14ac:dyDescent="0.25">
      <c r="D265">
        <v>264</v>
      </c>
      <c r="E265" s="7">
        <f>PPMT($B$4/12,D265,$B$5*12,$B$3-$B$2)</f>
        <v>39824.144872122866</v>
      </c>
      <c r="F265" s="7">
        <f>IPMT($B$4/12,D265,$B$5*12,$B$3-$B$2)</f>
        <v>22284.000892800319</v>
      </c>
      <c r="G265" s="7">
        <f>E265+F265</f>
        <v>62108.145764923189</v>
      </c>
      <c r="K265" s="7"/>
      <c r="L265" s="7"/>
      <c r="M265" s="7"/>
    </row>
    <row r="266" spans="4:13" x14ac:dyDescent="0.25">
      <c r="D266">
        <v>265</v>
      </c>
      <c r="E266" s="7">
        <f>PPMT($B$4/12,D266,$B$5*12,$B$3-$B$2)</f>
        <v>40305.353289327686</v>
      </c>
      <c r="F266" s="7">
        <f>IPMT($B$4/12,D266,$B$5*12,$B$3-$B$2)</f>
        <v>21802.792475595503</v>
      </c>
      <c r="G266" s="7">
        <f>E266+F266</f>
        <v>62108.145764923189</v>
      </c>
      <c r="K266" s="7"/>
      <c r="L266" s="7"/>
      <c r="M266" s="7"/>
    </row>
    <row r="267" spans="4:13" x14ac:dyDescent="0.25">
      <c r="D267">
        <v>266</v>
      </c>
      <c r="E267" s="7">
        <f>PPMT($B$4/12,D267,$B$5*12,$B$3-$B$2)</f>
        <v>40792.376308240389</v>
      </c>
      <c r="F267" s="7">
        <f>IPMT($B$4/12,D267,$B$5*12,$B$3-$B$2)</f>
        <v>21315.769456682792</v>
      </c>
      <c r="G267" s="7">
        <f>E267+F267</f>
        <v>62108.145764923182</v>
      </c>
      <c r="K267" s="7"/>
      <c r="L267" s="7"/>
      <c r="M267" s="7"/>
    </row>
    <row r="268" spans="4:13" x14ac:dyDescent="0.25">
      <c r="D268">
        <v>267</v>
      </c>
      <c r="E268" s="7">
        <f>PPMT($B$4/12,D268,$B$5*12,$B$3-$B$2)</f>
        <v>41285.284188631631</v>
      </c>
      <c r="F268" s="7">
        <f>IPMT($B$4/12,D268,$B$5*12,$B$3-$B$2)</f>
        <v>20822.861576291554</v>
      </c>
      <c r="G268" s="7">
        <f>E268+F268</f>
        <v>62108.145764923189</v>
      </c>
      <c r="K268" s="7"/>
      <c r="L268" s="7"/>
      <c r="M268" s="7"/>
    </row>
    <row r="269" spans="4:13" x14ac:dyDescent="0.25">
      <c r="D269">
        <v>268</v>
      </c>
      <c r="E269" s="7">
        <f>PPMT($B$4/12,D269,$B$5*12,$B$3-$B$2)</f>
        <v>41784.148039244261</v>
      </c>
      <c r="F269" s="7">
        <f>IPMT($B$4/12,D269,$B$5*12,$B$3-$B$2)</f>
        <v>20323.997725678921</v>
      </c>
      <c r="G269" s="7">
        <f>E269+F269</f>
        <v>62108.145764923182</v>
      </c>
      <c r="K269" s="7"/>
      <c r="L269" s="7"/>
      <c r="M269" s="7"/>
    </row>
    <row r="270" spans="4:13" x14ac:dyDescent="0.25">
      <c r="D270">
        <v>269</v>
      </c>
      <c r="E270" s="7">
        <f>PPMT($B$4/12,D270,$B$5*12,$B$3-$B$2)</f>
        <v>42289.039828051798</v>
      </c>
      <c r="F270" s="7">
        <f>IPMT($B$4/12,D270,$B$5*12,$B$3-$B$2)</f>
        <v>19819.105936871387</v>
      </c>
      <c r="G270" s="7">
        <f>E270+F270</f>
        <v>62108.145764923189</v>
      </c>
      <c r="K270" s="7"/>
      <c r="L270" s="7"/>
      <c r="M270" s="7"/>
    </row>
    <row r="271" spans="4:13" x14ac:dyDescent="0.25">
      <c r="D271">
        <v>270</v>
      </c>
      <c r="E271" s="7">
        <f>PPMT($B$4/12,D271,$B$5*12,$B$3-$B$2)</f>
        <v>42800.032392640758</v>
      </c>
      <c r="F271" s="7">
        <f>IPMT($B$4/12,D271,$B$5*12,$B$3-$B$2)</f>
        <v>19308.113372282427</v>
      </c>
      <c r="G271" s="7">
        <f>E271+F271</f>
        <v>62108.145764923189</v>
      </c>
      <c r="K271" s="7"/>
      <c r="L271" s="7"/>
      <c r="M271" s="7"/>
    </row>
    <row r="272" spans="4:13" x14ac:dyDescent="0.25">
      <c r="D272">
        <v>271</v>
      </c>
      <c r="E272" s="7">
        <f>PPMT($B$4/12,D272,$B$5*12,$B$3-$B$2)</f>
        <v>43317.199450718501</v>
      </c>
      <c r="F272" s="7">
        <f>IPMT($B$4/12,D272,$B$5*12,$B$3-$B$2)</f>
        <v>18790.946314204684</v>
      </c>
      <c r="G272" s="7">
        <f>E272+F272</f>
        <v>62108.145764923189</v>
      </c>
      <c r="K272" s="7"/>
      <c r="L272" s="7"/>
      <c r="M272" s="7"/>
    </row>
    <row r="273" spans="4:13" x14ac:dyDescent="0.25">
      <c r="D273">
        <v>272</v>
      </c>
      <c r="E273" s="7">
        <f>PPMT($B$4/12,D273,$B$5*12,$B$3-$B$2)</f>
        <v>43840.615610748013</v>
      </c>
      <c r="F273" s="7">
        <f>IPMT($B$4/12,D273,$B$5*12,$B$3-$B$2)</f>
        <v>18267.530154175169</v>
      </c>
      <c r="G273" s="7">
        <f>E273+F273</f>
        <v>62108.145764923182</v>
      </c>
      <c r="K273" s="7"/>
      <c r="L273" s="7"/>
      <c r="M273" s="7"/>
    </row>
    <row r="274" spans="4:13" x14ac:dyDescent="0.25">
      <c r="D274">
        <v>273</v>
      </c>
      <c r="E274" s="7">
        <f>PPMT($B$4/12,D274,$B$5*12,$B$3-$B$2)</f>
        <v>44370.356382711216</v>
      </c>
      <c r="F274" s="7">
        <f>IPMT($B$4/12,D274,$B$5*12,$B$3-$B$2)</f>
        <v>17737.789382211966</v>
      </c>
      <c r="G274" s="7">
        <f>E274+F274</f>
        <v>62108.145764923182</v>
      </c>
      <c r="K274" s="7"/>
      <c r="L274" s="7"/>
      <c r="M274" s="7"/>
    </row>
    <row r="275" spans="4:13" x14ac:dyDescent="0.25">
      <c r="D275">
        <v>274</v>
      </c>
      <c r="E275" s="7">
        <f>PPMT($B$4/12,D275,$B$5*12,$B$3-$B$2)</f>
        <v>44906.498189002319</v>
      </c>
      <c r="F275" s="7">
        <f>IPMT($B$4/12,D275,$B$5*12,$B$3-$B$2)</f>
        <v>17201.647575920873</v>
      </c>
      <c r="G275" s="7">
        <f>E275+F275</f>
        <v>62108.145764923189</v>
      </c>
      <c r="K275" s="7"/>
      <c r="L275" s="7"/>
      <c r="M275" s="7"/>
    </row>
    <row r="276" spans="4:13" x14ac:dyDescent="0.25">
      <c r="D276">
        <v>275</v>
      </c>
      <c r="E276" s="7">
        <f>PPMT($B$4/12,D276,$B$5*12,$B$3-$B$2)</f>
        <v>45449.118375452759</v>
      </c>
      <c r="F276" s="7">
        <f>IPMT($B$4/12,D276,$B$5*12,$B$3-$B$2)</f>
        <v>16659.027389470426</v>
      </c>
      <c r="G276" s="7">
        <f>E276+F276</f>
        <v>62108.145764923189</v>
      </c>
      <c r="K276" s="7"/>
      <c r="L276" s="7"/>
      <c r="M276" s="7"/>
    </row>
    <row r="277" spans="4:13" x14ac:dyDescent="0.25">
      <c r="D277">
        <v>276</v>
      </c>
      <c r="E277" s="7">
        <f>PPMT($B$4/12,D277,$B$5*12,$B$3-$B$2)</f>
        <v>45998.295222489483</v>
      </c>
      <c r="F277" s="7">
        <f>IPMT($B$4/12,D277,$B$5*12,$B$3-$B$2)</f>
        <v>16109.850542433705</v>
      </c>
      <c r="G277" s="7">
        <f>E277+F277</f>
        <v>62108.145764923189</v>
      </c>
      <c r="K277" s="7"/>
      <c r="L277" s="7"/>
      <c r="M277" s="7"/>
    </row>
    <row r="278" spans="4:13" x14ac:dyDescent="0.25">
      <c r="D278">
        <v>277</v>
      </c>
      <c r="E278" s="7">
        <f>PPMT($B$4/12,D278,$B$5*12,$B$3-$B$2)</f>
        <v>46554.107956427892</v>
      </c>
      <c r="F278" s="7">
        <f>IPMT($B$4/12,D278,$B$5*12,$B$3-$B$2)</f>
        <v>15554.037808495292</v>
      </c>
      <c r="G278" s="7">
        <f>E278+F278</f>
        <v>62108.145764923182</v>
      </c>
      <c r="K278" s="7"/>
      <c r="L278" s="7"/>
      <c r="M278" s="7"/>
    </row>
    <row r="279" spans="4:13" x14ac:dyDescent="0.25">
      <c r="D279">
        <v>278</v>
      </c>
      <c r="E279" s="7">
        <f>PPMT($B$4/12,D279,$B$5*12,$B$3-$B$2)</f>
        <v>47116.636760901398</v>
      </c>
      <c r="F279" s="7">
        <f>IPMT($B$4/12,D279,$B$5*12,$B$3-$B$2)</f>
        <v>14991.509004021789</v>
      </c>
      <c r="G279" s="7">
        <f>E279+F279</f>
        <v>62108.145764923189</v>
      </c>
      <c r="K279" s="7"/>
      <c r="L279" s="7"/>
      <c r="M279" s="7"/>
    </row>
    <row r="280" spans="4:13" x14ac:dyDescent="0.25">
      <c r="D280">
        <v>279</v>
      </c>
      <c r="E280" s="7">
        <f>PPMT($B$4/12,D280,$B$5*12,$B$3-$B$2)</f>
        <v>47685.962788428958</v>
      </c>
      <c r="F280" s="7">
        <f>IPMT($B$4/12,D280,$B$5*12,$B$3-$B$2)</f>
        <v>14422.182976494227</v>
      </c>
      <c r="G280" s="7">
        <f>E280+F280</f>
        <v>62108.145764923189</v>
      </c>
      <c r="K280" s="7"/>
      <c r="L280" s="7"/>
      <c r="M280" s="7"/>
    </row>
    <row r="281" spans="4:13" x14ac:dyDescent="0.25">
      <c r="D281">
        <v>280</v>
      </c>
      <c r="E281" s="7">
        <f>PPMT($B$4/12,D281,$B$5*12,$B$3-$B$2)</f>
        <v>48262.168172122481</v>
      </c>
      <c r="F281" s="7">
        <f>IPMT($B$4/12,D281,$B$5*12,$B$3-$B$2)</f>
        <v>13845.977592800709</v>
      </c>
      <c r="G281" s="7">
        <f>E281+F281</f>
        <v>62108.145764923189</v>
      </c>
      <c r="K281" s="7"/>
      <c r="L281" s="7"/>
      <c r="M281" s="7"/>
    </row>
    <row r="282" spans="4:13" x14ac:dyDescent="0.25">
      <c r="D282">
        <v>281</v>
      </c>
      <c r="E282" s="7">
        <f>PPMT($B$4/12,D282,$B$5*12,$B$3-$B$2)</f>
        <v>48845.336037535628</v>
      </c>
      <c r="F282" s="7">
        <f>IPMT($B$4/12,D282,$B$5*12,$B$3-$B$2)</f>
        <v>13262.809727387566</v>
      </c>
      <c r="G282" s="7">
        <f>E282+F282</f>
        <v>62108.145764923196</v>
      </c>
      <c r="K282" s="7"/>
      <c r="L282" s="7"/>
      <c r="M282" s="7"/>
    </row>
    <row r="283" spans="4:13" x14ac:dyDescent="0.25">
      <c r="D283">
        <v>282</v>
      </c>
      <c r="E283" s="7">
        <f>PPMT($B$4/12,D283,$B$5*12,$B$3-$B$2)</f>
        <v>49435.550514655843</v>
      </c>
      <c r="F283" s="7">
        <f>IPMT($B$4/12,D283,$B$5*12,$B$3-$B$2)</f>
        <v>12672.595250267343</v>
      </c>
      <c r="G283" s="7">
        <f>E283+F283</f>
        <v>62108.145764923189</v>
      </c>
      <c r="K283" s="7"/>
      <c r="L283" s="7"/>
      <c r="M283" s="7"/>
    </row>
    <row r="284" spans="4:13" x14ac:dyDescent="0.25">
      <c r="D284">
        <v>283</v>
      </c>
      <c r="E284" s="7">
        <f>PPMT($B$4/12,D284,$B$5*12,$B$3-$B$2)</f>
        <v>50032.896750041262</v>
      </c>
      <c r="F284" s="7">
        <f>IPMT($B$4/12,D284,$B$5*12,$B$3-$B$2)</f>
        <v>12075.249014881918</v>
      </c>
      <c r="G284" s="7">
        <f>E284+F284</f>
        <v>62108.145764923182</v>
      </c>
      <c r="K284" s="7"/>
      <c r="L284" s="7"/>
      <c r="M284" s="7"/>
    </row>
    <row r="285" spans="4:13" x14ac:dyDescent="0.25">
      <c r="D285">
        <v>284</v>
      </c>
      <c r="E285" s="7">
        <f>PPMT($B$4/12,D285,$B$5*12,$B$3-$B$2)</f>
        <v>50637.460919104262</v>
      </c>
      <c r="F285" s="7">
        <f>IPMT($B$4/12,D285,$B$5*12,$B$3-$B$2)</f>
        <v>11470.68484581892</v>
      </c>
      <c r="G285" s="7">
        <f>E285+F285</f>
        <v>62108.145764923182</v>
      </c>
      <c r="K285" s="7"/>
      <c r="L285" s="7"/>
      <c r="M285" s="7"/>
    </row>
    <row r="286" spans="4:13" x14ac:dyDescent="0.25">
      <c r="D286">
        <v>285</v>
      </c>
      <c r="E286" s="7">
        <f>PPMT($B$4/12,D286,$B$5*12,$B$3-$B$2)</f>
        <v>51249.330238543444</v>
      </c>
      <c r="F286" s="7">
        <f>IPMT($B$4/12,D286,$B$5*12,$B$3-$B$2)</f>
        <v>10858.815526379745</v>
      </c>
      <c r="G286" s="7">
        <f>E286+F286</f>
        <v>62108.145764923189</v>
      </c>
      <c r="K286" s="7"/>
      <c r="L286" s="7"/>
      <c r="M286" s="7"/>
    </row>
    <row r="287" spans="4:13" x14ac:dyDescent="0.25">
      <c r="D287">
        <v>286</v>
      </c>
      <c r="E287" s="7">
        <f>PPMT($B$4/12,D287,$B$5*12,$B$3-$B$2)</f>
        <v>51868.592978925844</v>
      </c>
      <c r="F287" s="7">
        <f>IPMT($B$4/12,D287,$B$5*12,$B$3-$B$2)</f>
        <v>10239.552785997343</v>
      </c>
      <c r="G287" s="7">
        <f>E287+F287</f>
        <v>62108.145764923189</v>
      </c>
      <c r="K287" s="7"/>
      <c r="L287" s="7"/>
      <c r="M287" s="7"/>
    </row>
    <row r="288" spans="4:13" x14ac:dyDescent="0.25">
      <c r="D288">
        <v>287</v>
      </c>
      <c r="E288" s="7">
        <f>PPMT($B$4/12,D288,$B$5*12,$B$3-$B$2)</f>
        <v>52495.338477421195</v>
      </c>
      <c r="F288" s="7">
        <f>IPMT($B$4/12,D288,$B$5*12,$B$3-$B$2)</f>
        <v>9612.8072875019898</v>
      </c>
      <c r="G288" s="7">
        <f>E288+F288</f>
        <v>62108.145764923189</v>
      </c>
      <c r="K288" s="7"/>
      <c r="L288" s="7"/>
      <c r="M288" s="7"/>
    </row>
    <row r="289" spans="4:13" x14ac:dyDescent="0.25">
      <c r="D289">
        <v>288</v>
      </c>
      <c r="E289" s="7">
        <f>PPMT($B$4/12,D289,$B$5*12,$B$3-$B$2)</f>
        <v>53129.657150690036</v>
      </c>
      <c r="F289" s="7">
        <f>IPMT($B$4/12,D289,$B$5*12,$B$3-$B$2)</f>
        <v>8978.4886142331488</v>
      </c>
      <c r="G289" s="7">
        <f>E289+F289</f>
        <v>62108.145764923189</v>
      </c>
      <c r="K289" s="7"/>
      <c r="L289" s="7"/>
      <c r="M289" s="7"/>
    </row>
    <row r="290" spans="4:13" x14ac:dyDescent="0.25">
      <c r="D290">
        <v>289</v>
      </c>
      <c r="E290" s="7">
        <f>PPMT($B$4/12,D290,$B$5*12,$B$3-$B$2)</f>
        <v>53771.640507927536</v>
      </c>
      <c r="F290" s="7">
        <f>IPMT($B$4/12,D290,$B$5*12,$B$3-$B$2)</f>
        <v>8336.5052569956461</v>
      </c>
      <c r="G290" s="7">
        <f>E290+F290</f>
        <v>62108.145764923182</v>
      </c>
      <c r="K290" s="7"/>
      <c r="L290" s="7"/>
      <c r="M290" s="7"/>
    </row>
    <row r="291" spans="4:13" x14ac:dyDescent="0.25">
      <c r="D291">
        <v>290</v>
      </c>
      <c r="E291" s="7">
        <f>PPMT($B$4/12,D291,$B$5*12,$B$3-$B$2)</f>
        <v>54421.381164065002</v>
      </c>
      <c r="F291" s="7">
        <f>IPMT($B$4/12,D291,$B$5*12,$B$3-$B$2)</f>
        <v>7686.7646008581869</v>
      </c>
      <c r="G291" s="7">
        <f>E291+F291</f>
        <v>62108.145764923189</v>
      </c>
      <c r="K291" s="7"/>
      <c r="L291" s="7"/>
      <c r="M291" s="7"/>
    </row>
    <row r="292" spans="4:13" x14ac:dyDescent="0.25">
      <c r="D292">
        <v>291</v>
      </c>
      <c r="E292" s="7">
        <f>PPMT($B$4/12,D292,$B$5*12,$B$3-$B$2)</f>
        <v>55078.972853130777</v>
      </c>
      <c r="F292" s="7">
        <f>IPMT($B$4/12,D292,$B$5*12,$B$3-$B$2)</f>
        <v>7029.1729117924015</v>
      </c>
      <c r="G292" s="7">
        <f>E292+F292</f>
        <v>62108.145764923182</v>
      </c>
      <c r="K292" s="7"/>
      <c r="L292" s="7"/>
      <c r="M292" s="7"/>
    </row>
    <row r="293" spans="4:13" x14ac:dyDescent="0.25">
      <c r="D293">
        <v>292</v>
      </c>
      <c r="E293" s="7">
        <f>PPMT($B$4/12,D293,$B$5*12,$B$3-$B$2)</f>
        <v>55744.510441772785</v>
      </c>
      <c r="F293" s="7">
        <f>IPMT($B$4/12,D293,$B$5*12,$B$3-$B$2)</f>
        <v>6363.6353231504045</v>
      </c>
      <c r="G293" s="7">
        <f>E293+F293</f>
        <v>62108.145764923189</v>
      </c>
      <c r="K293" s="7"/>
      <c r="L293" s="7"/>
      <c r="M293" s="7"/>
    </row>
    <row r="294" spans="4:13" x14ac:dyDescent="0.25">
      <c r="D294">
        <v>293</v>
      </c>
      <c r="E294" s="7">
        <f>PPMT($B$4/12,D294,$B$5*12,$B$3-$B$2)</f>
        <v>56418.089942944192</v>
      </c>
      <c r="F294" s="7">
        <f>IPMT($B$4/12,D294,$B$5*12,$B$3-$B$2)</f>
        <v>5690.0558219789846</v>
      </c>
      <c r="G294" s="7">
        <f>E294+F294</f>
        <v>62108.145764923174</v>
      </c>
      <c r="K294" s="7"/>
      <c r="L294" s="7"/>
      <c r="M294" s="7"/>
    </row>
    <row r="295" spans="4:13" x14ac:dyDescent="0.25">
      <c r="D295">
        <v>294</v>
      </c>
      <c r="E295" s="7">
        <f>PPMT($B$4/12,D295,$B$5*12,$B$3-$B$2)</f>
        <v>57099.808529754773</v>
      </c>
      <c r="F295" s="7">
        <f>IPMT($B$4/12,D295,$B$5*12,$B$3-$B$2)</f>
        <v>5008.3372351684084</v>
      </c>
      <c r="G295" s="7">
        <f>E295+F295</f>
        <v>62108.145764923182</v>
      </c>
      <c r="K295" s="7"/>
      <c r="L295" s="7"/>
      <c r="M295" s="7"/>
    </row>
    <row r="296" spans="4:13" x14ac:dyDescent="0.25">
      <c r="D296">
        <v>295</v>
      </c>
      <c r="E296" s="7">
        <f>PPMT($B$4/12,D296,$B$5*12,$B$3-$B$2)</f>
        <v>57789.764549489308</v>
      </c>
      <c r="F296" s="7">
        <f>IPMT($B$4/12,D296,$B$5*12,$B$3-$B$2)</f>
        <v>4318.3812154338711</v>
      </c>
      <c r="G296" s="7">
        <f>E296+F296</f>
        <v>62108.145764923182</v>
      </c>
      <c r="K296" s="7"/>
      <c r="L296" s="7"/>
      <c r="M296" s="7"/>
    </row>
    <row r="297" spans="4:13" x14ac:dyDescent="0.25">
      <c r="D297">
        <v>296</v>
      </c>
      <c r="E297" s="7">
        <f>PPMT($B$4/12,D297,$B$5*12,$B$3-$B$2)</f>
        <v>58488.057537795641</v>
      </c>
      <c r="F297" s="7">
        <f>IPMT($B$4/12,D297,$B$5*12,$B$3-$B$2)</f>
        <v>3620.0882271275418</v>
      </c>
      <c r="G297" s="7">
        <f>E297+F297</f>
        <v>62108.145764923182</v>
      </c>
      <c r="K297" s="7"/>
      <c r="L297" s="7"/>
      <c r="M297" s="7"/>
    </row>
    <row r="298" spans="4:13" x14ac:dyDescent="0.25">
      <c r="D298">
        <v>297</v>
      </c>
      <c r="E298" s="7">
        <f>PPMT($B$4/12,D298,$B$5*12,$B$3-$B$2)</f>
        <v>59194.788233044004</v>
      </c>
      <c r="F298" s="7">
        <f>IPMT($B$4/12,D298,$B$5*12,$B$3-$B$2)</f>
        <v>2913.3575318791782</v>
      </c>
      <c r="G298" s="7">
        <f>E298+F298</f>
        <v>62108.145764923182</v>
      </c>
      <c r="K298" s="7"/>
      <c r="L298" s="7"/>
      <c r="M298" s="7"/>
    </row>
    <row r="299" spans="4:13" x14ac:dyDescent="0.25">
      <c r="D299">
        <v>298</v>
      </c>
      <c r="E299" s="7">
        <f>PPMT($B$4/12,D299,$B$5*12,$B$3-$B$2)</f>
        <v>59910.058590859953</v>
      </c>
      <c r="F299" s="7">
        <f>IPMT($B$4/12,D299,$B$5*12,$B$3-$B$2)</f>
        <v>2198.0871740632301</v>
      </c>
      <c r="G299" s="7">
        <f>E299+F299</f>
        <v>62108.145764923182</v>
      </c>
      <c r="K299" s="7"/>
      <c r="L299" s="7"/>
      <c r="M299" s="7"/>
    </row>
    <row r="300" spans="4:13" x14ac:dyDescent="0.25">
      <c r="D300">
        <v>299</v>
      </c>
      <c r="E300" s="7">
        <f>PPMT($B$4/12,D300,$B$5*12,$B$3-$B$2)</f>
        <v>60633.971798832841</v>
      </c>
      <c r="F300" s="7">
        <f>IPMT($B$4/12,D300,$B$5*12,$B$3-$B$2)</f>
        <v>1474.1739660903386</v>
      </c>
      <c r="G300" s="7">
        <f>E300+F300</f>
        <v>62108.145764923182</v>
      </c>
      <c r="K300" s="7"/>
      <c r="L300" s="7"/>
      <c r="M300" s="7"/>
    </row>
    <row r="301" spans="4:13" x14ac:dyDescent="0.25">
      <c r="D301">
        <v>300</v>
      </c>
      <c r="E301" s="7">
        <f>PPMT($B$4/12,D301,$B$5*12,$B$3-$B$2)</f>
        <v>61366.632291402078</v>
      </c>
      <c r="F301" s="7">
        <f>IPMT($B$4/12,D301,$B$5*12,$B$3-$B$2)</f>
        <v>741.51347352110838</v>
      </c>
      <c r="G301" s="7">
        <f>E301+F301</f>
        <v>62108.145764923189</v>
      </c>
      <c r="K301" s="7"/>
      <c r="L301" s="7"/>
      <c r="M301" s="7"/>
    </row>
    <row r="302" spans="4:13" x14ac:dyDescent="0.25">
      <c r="D302" t="s">
        <v>0</v>
      </c>
      <c r="E302" s="7">
        <f>SUM(E2:E301)</f>
        <v>4999999.9999999972</v>
      </c>
      <c r="F302" s="7">
        <f>SUM(F2:F301)</f>
        <v>13632443.729476962</v>
      </c>
      <c r="G302" s="7">
        <f>E302+F302</f>
        <v>18632443.729476959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9A97-8EA0-460A-9391-E94A588CB477}">
  <dimension ref="A1:M26"/>
  <sheetViews>
    <sheetView topLeftCell="A5" workbookViewId="0">
      <selection activeCell="I27" sqref="I27"/>
    </sheetView>
  </sheetViews>
  <sheetFormatPr defaultRowHeight="12.5" x14ac:dyDescent="0.25"/>
  <cols>
    <col min="2" max="2" width="9.453125" bestFit="1" customWidth="1"/>
    <col min="5" max="5" width="10.453125" bestFit="1" customWidth="1"/>
    <col min="8" max="8" width="10.453125" bestFit="1" customWidth="1"/>
    <col min="11" max="11" width="10.453125" bestFit="1" customWidth="1"/>
    <col min="12" max="12" width="9.453125" bestFit="1" customWidth="1"/>
    <col min="13" max="13" width="10.453125" bestFit="1" customWidth="1"/>
  </cols>
  <sheetData>
    <row r="1" spans="1:13" x14ac:dyDescent="0.25">
      <c r="A1" s="6" t="s">
        <v>18</v>
      </c>
      <c r="B1" s="6"/>
      <c r="C1" s="6"/>
      <c r="D1" s="6"/>
      <c r="E1" s="6"/>
      <c r="F1" s="6"/>
      <c r="G1" s="6"/>
      <c r="H1" s="6"/>
      <c r="J1" s="2" t="s">
        <v>17</v>
      </c>
      <c r="K1" s="2" t="s">
        <v>16</v>
      </c>
      <c r="L1" s="2" t="s">
        <v>15</v>
      </c>
      <c r="M1" s="2" t="s">
        <v>1</v>
      </c>
    </row>
    <row r="2" spans="1:13" x14ac:dyDescent="0.25">
      <c r="A2" s="3" t="s">
        <v>11</v>
      </c>
      <c r="B2" s="3"/>
      <c r="D2" s="3" t="s">
        <v>10</v>
      </c>
      <c r="E2" s="3"/>
      <c r="G2" s="3" t="s">
        <v>9</v>
      </c>
      <c r="H2" s="3"/>
      <c r="J2" s="3">
        <v>1</v>
      </c>
      <c r="K2" s="1">
        <f>PPMT($B$5/12,J2,B$6*12,$B$4-$B$3)</f>
        <v>1588.1889226960711</v>
      </c>
      <c r="L2" s="1">
        <f>IPMT($B$5/12,J2,$B$6*12,$B$4-$B$3)</f>
        <v>166.66666666666666</v>
      </c>
      <c r="M2" s="1">
        <f>K2+L2</f>
        <v>1754.8555893627379</v>
      </c>
    </row>
    <row r="3" spans="1:13" x14ac:dyDescent="0.25">
      <c r="A3" s="3" t="s">
        <v>8</v>
      </c>
      <c r="B3" s="3">
        <v>50000</v>
      </c>
      <c r="D3" s="3" t="s">
        <v>8</v>
      </c>
      <c r="E3" s="3">
        <v>350000</v>
      </c>
      <c r="G3" s="3" t="s">
        <v>7</v>
      </c>
      <c r="H3" s="3">
        <v>500000</v>
      </c>
      <c r="J3" s="3">
        <v>2</v>
      </c>
      <c r="K3" s="1">
        <f>PPMT($B$5/12,J3,B$6*12,$B$4-$B$3)</f>
        <v>1594.806376540638</v>
      </c>
      <c r="L3" s="1">
        <f>IPMT($B$5/12,J3,$B$6*12,$B$4-$B$3)</f>
        <v>160.04921282209972</v>
      </c>
      <c r="M3" s="1">
        <f>K3+L3</f>
        <v>1754.8555893627376</v>
      </c>
    </row>
    <row r="4" spans="1:13" x14ac:dyDescent="0.25">
      <c r="A4" s="3" t="s">
        <v>6</v>
      </c>
      <c r="B4" s="3">
        <v>10000</v>
      </c>
      <c r="D4" s="3" t="s">
        <v>6</v>
      </c>
      <c r="E4" s="3">
        <v>40000</v>
      </c>
      <c r="G4" s="3" t="s">
        <v>5</v>
      </c>
      <c r="H4" s="3">
        <v>0</v>
      </c>
      <c r="J4" s="3">
        <v>3</v>
      </c>
      <c r="K4" s="1">
        <f>PPMT($B$5/12,J4,B$6*12,$B$4-$B$3)</f>
        <v>1601.4514031095575</v>
      </c>
      <c r="L4" s="1">
        <f>IPMT($B$5/12,J4,$B$6*12,$B$4-$B$3)</f>
        <v>153.40418625318037</v>
      </c>
      <c r="M4" s="1">
        <f>K4+L4</f>
        <v>1754.8555893627379</v>
      </c>
    </row>
    <row r="5" spans="1:13" x14ac:dyDescent="0.25">
      <c r="A5" s="3" t="s">
        <v>4</v>
      </c>
      <c r="B5" s="5">
        <v>0.05</v>
      </c>
      <c r="D5" s="3" t="s">
        <v>4</v>
      </c>
      <c r="E5" s="4">
        <v>7.4999999999999997E-2</v>
      </c>
      <c r="G5" s="3" t="s">
        <v>3</v>
      </c>
      <c r="H5" s="4">
        <v>0.125</v>
      </c>
      <c r="J5" s="3">
        <v>4</v>
      </c>
      <c r="K5" s="1">
        <f>PPMT($B$5/12,J5,B$6*12,$B$4-$B$3)</f>
        <v>1608.1241172891805</v>
      </c>
      <c r="L5" s="1">
        <f>IPMT($B$5/12,J5,$B$6*12,$B$4-$B$3)</f>
        <v>146.73147207355723</v>
      </c>
      <c r="M5" s="1">
        <f>K5+L5</f>
        <v>1754.8555893627376</v>
      </c>
    </row>
    <row r="6" spans="1:13" x14ac:dyDescent="0.25">
      <c r="A6" s="3" t="s">
        <v>14</v>
      </c>
      <c r="B6" s="3">
        <v>2</v>
      </c>
      <c r="D6" s="3" t="s">
        <v>14</v>
      </c>
      <c r="E6" s="3">
        <v>3</v>
      </c>
      <c r="G6" s="3" t="s">
        <v>13</v>
      </c>
      <c r="H6" s="3">
        <v>5</v>
      </c>
      <c r="J6" s="3">
        <v>5</v>
      </c>
      <c r="K6" s="1">
        <f>PPMT($B$5/12,J6,B$6*12,$B$4-$B$3)</f>
        <v>1614.8246344445522</v>
      </c>
      <c r="L6" s="1">
        <f>IPMT($B$5/12,J6,$B$6*12,$B$4-$B$3)</f>
        <v>140.03095491818564</v>
      </c>
      <c r="M6" s="1">
        <f>K6+L6</f>
        <v>1754.8555893627379</v>
      </c>
    </row>
    <row r="7" spans="1:13" x14ac:dyDescent="0.25">
      <c r="A7" s="3" t="s">
        <v>1</v>
      </c>
      <c r="B7" s="1">
        <f>PMT(B5/12,B6*12,B4-B3)</f>
        <v>1754.8555893627379</v>
      </c>
      <c r="D7" s="3" t="s">
        <v>1</v>
      </c>
      <c r="E7" s="1">
        <f>PMT(E5/12,E6*12,E4-E3)</f>
        <v>9642.9276298034947</v>
      </c>
      <c r="G7" s="3" t="s">
        <v>1</v>
      </c>
      <c r="H7" s="1">
        <f>PMT(H5/12,H6*12,H4-H3)</f>
        <v>11248.96911270792</v>
      </c>
      <c r="J7" s="3">
        <v>6</v>
      </c>
      <c r="K7" s="1">
        <f>PPMT($B$5/12,J7,B$6*12,$B$4-$B$3)</f>
        <v>1621.5530704214045</v>
      </c>
      <c r="L7" s="1">
        <f>IPMT($B$5/12,J7,$B$6*12,$B$4-$B$3)</f>
        <v>133.30251894133335</v>
      </c>
      <c r="M7" s="1">
        <f>K7+L7</f>
        <v>1754.8555893627379</v>
      </c>
    </row>
    <row r="8" spans="1:13" x14ac:dyDescent="0.25">
      <c r="J8" s="3">
        <v>7</v>
      </c>
      <c r="K8" s="1">
        <f>PPMT($B$5/12,J8,B$6*12,$B$4-$B$3)</f>
        <v>1628.3095415481603</v>
      </c>
      <c r="L8" s="1">
        <f>IPMT($B$5/12,J8,$B$6*12,$B$4-$B$3)</f>
        <v>126.54604781457748</v>
      </c>
      <c r="M8" s="1">
        <f>K8+L8</f>
        <v>1754.8555893627376</v>
      </c>
    </row>
    <row r="9" spans="1:13" x14ac:dyDescent="0.25">
      <c r="A9" s="6" t="s">
        <v>12</v>
      </c>
      <c r="B9" s="6"/>
      <c r="C9" s="6"/>
      <c r="D9" s="6"/>
      <c r="E9" s="6"/>
      <c r="F9" s="6"/>
      <c r="G9" s="6"/>
      <c r="H9" s="6"/>
      <c r="J9" s="3">
        <v>8</v>
      </c>
      <c r="K9" s="1">
        <f>PPMT($B$5/12,J9,B$6*12,$B$4-$B$3)</f>
        <v>1635.0941646379445</v>
      </c>
      <c r="L9" s="1">
        <f>IPMT($B$5/12,J9,$B$6*12,$B$4-$B$3)</f>
        <v>119.7614247247935</v>
      </c>
      <c r="M9" s="1">
        <f>K9+L9</f>
        <v>1754.8555893627379</v>
      </c>
    </row>
    <row r="10" spans="1:13" x14ac:dyDescent="0.25">
      <c r="A10" s="3" t="s">
        <v>11</v>
      </c>
      <c r="B10" s="3"/>
      <c r="D10" s="3" t="s">
        <v>10</v>
      </c>
      <c r="E10" s="3"/>
      <c r="G10" s="3" t="s">
        <v>9</v>
      </c>
      <c r="H10" s="3"/>
      <c r="J10" s="3">
        <v>9</v>
      </c>
      <c r="K10" s="1">
        <f>PPMT($B$5/12,J10,B$6*12,$B$4-$B$3)</f>
        <v>1641.9070569906025</v>
      </c>
      <c r="L10" s="1">
        <f>IPMT($B$5/12,J10,$B$6*12,$B$4-$B$3)</f>
        <v>112.94853237213539</v>
      </c>
      <c r="M10" s="1">
        <f>K10+L10</f>
        <v>1754.8555893627379</v>
      </c>
    </row>
    <row r="11" spans="1:13" x14ac:dyDescent="0.25">
      <c r="A11" s="3" t="s">
        <v>8</v>
      </c>
      <c r="B11" s="3">
        <v>50000</v>
      </c>
      <c r="D11" s="3" t="s">
        <v>8</v>
      </c>
      <c r="E11" s="3">
        <v>350000</v>
      </c>
      <c r="G11" s="3" t="s">
        <v>7</v>
      </c>
      <c r="H11" s="3">
        <v>500000</v>
      </c>
      <c r="J11" s="3">
        <v>10</v>
      </c>
      <c r="K11" s="1">
        <f>PPMT($B$5/12,J11,B$6*12,$B$4-$B$3)</f>
        <v>1648.7483363947299</v>
      </c>
      <c r="L11" s="1">
        <f>IPMT($B$5/12,J11,$B$6*12,$B$4-$B$3)</f>
        <v>106.10725296800787</v>
      </c>
      <c r="M11" s="1">
        <f>K11+L11</f>
        <v>1754.8555893627379</v>
      </c>
    </row>
    <row r="12" spans="1:13" x14ac:dyDescent="0.25">
      <c r="A12" s="3" t="s">
        <v>6</v>
      </c>
      <c r="B12" s="3">
        <v>10000</v>
      </c>
      <c r="D12" s="3" t="s">
        <v>6</v>
      </c>
      <c r="E12" s="3">
        <v>40000</v>
      </c>
      <c r="G12" s="3" t="s">
        <v>5</v>
      </c>
      <c r="H12" s="3">
        <v>0</v>
      </c>
      <c r="J12" s="3">
        <v>11</v>
      </c>
      <c r="K12" s="1">
        <f>PPMT($B$5/12,J12,B$6*12,$B$4-$B$3)</f>
        <v>1655.618121129708</v>
      </c>
      <c r="L12" s="1">
        <f>IPMT($B$5/12,J12,$B$6*12,$B$4-$B$3)</f>
        <v>99.237468233029844</v>
      </c>
      <c r="M12" s="1">
        <f>K12+L12</f>
        <v>1754.8555893627379</v>
      </c>
    </row>
    <row r="13" spans="1:13" x14ac:dyDescent="0.25">
      <c r="A13" s="3" t="s">
        <v>4</v>
      </c>
      <c r="B13" s="5">
        <v>0.05</v>
      </c>
      <c r="D13" s="3" t="s">
        <v>4</v>
      </c>
      <c r="E13" s="4">
        <v>7.4999999999999997E-2</v>
      </c>
      <c r="G13" s="3" t="s">
        <v>3</v>
      </c>
      <c r="H13" s="4">
        <v>0.125</v>
      </c>
      <c r="J13" s="3">
        <v>12</v>
      </c>
      <c r="K13" s="1">
        <f>PPMT($B$5/12,J13,B$6*12,$B$4-$B$3)</f>
        <v>1662.5165299677485</v>
      </c>
      <c r="L13" s="1">
        <f>IPMT($B$5/12,J13,$B$6*12,$B$4-$B$3)</f>
        <v>92.339059394989391</v>
      </c>
      <c r="M13" s="1">
        <f>K13+L13</f>
        <v>1754.8555893627379</v>
      </c>
    </row>
    <row r="14" spans="1:13" x14ac:dyDescent="0.25">
      <c r="A14" s="3" t="s">
        <v>2</v>
      </c>
      <c r="B14" s="3">
        <v>24</v>
      </c>
      <c r="D14" s="3" t="s">
        <v>2</v>
      </c>
      <c r="E14" s="3">
        <v>7</v>
      </c>
      <c r="G14" s="3" t="s">
        <v>2</v>
      </c>
      <c r="H14" s="3">
        <v>10</v>
      </c>
      <c r="J14" s="3">
        <v>13</v>
      </c>
      <c r="K14" s="1">
        <f>PPMT($B$5/12,J14,B$6*12,$B$4-$B$3)</f>
        <v>1669.4436821759475</v>
      </c>
      <c r="L14" s="1">
        <f>IPMT($B$5/12,J14,$B$6*12,$B$4-$B$3)</f>
        <v>85.411907186790444</v>
      </c>
      <c r="M14" s="1">
        <f>K14+L14</f>
        <v>1754.8555893627379</v>
      </c>
    </row>
    <row r="15" spans="1:13" x14ac:dyDescent="0.25">
      <c r="A15" s="3" t="s">
        <v>1</v>
      </c>
      <c r="B15" s="1">
        <f>PMT(B13/12,B14,B12-B11)</f>
        <v>1754.8555893627379</v>
      </c>
      <c r="D15" s="3" t="s">
        <v>1</v>
      </c>
      <c r="E15" s="1">
        <f>PMT(E13/12,E14,E12-E11)</f>
        <v>45399.75502836737</v>
      </c>
      <c r="G15" s="3" t="s">
        <v>1</v>
      </c>
      <c r="H15" s="1">
        <f>PMT(H13/12,H14,H12-H11)</f>
        <v>52909.102886737281</v>
      </c>
      <c r="J15" s="3">
        <v>14</v>
      </c>
      <c r="K15" s="1">
        <f>PPMT($B$5/12,J15,B$6*12,$B$4-$B$3)</f>
        <v>1676.3996975183472</v>
      </c>
      <c r="L15" s="1">
        <f>IPMT($B$5/12,J15,$B$6*12,$B$4-$B$3)</f>
        <v>78.455891844390663</v>
      </c>
      <c r="M15" s="1">
        <f>K15+L15</f>
        <v>1754.8555893627379</v>
      </c>
    </row>
    <row r="16" spans="1:13" x14ac:dyDescent="0.25">
      <c r="J16" s="3">
        <v>15</v>
      </c>
      <c r="K16" s="1">
        <f>PPMT($B$5/12,J16,B$6*12,$B$4-$B$3)</f>
        <v>1683.3846962580069</v>
      </c>
      <c r="L16" s="1">
        <f>IPMT($B$5/12,J16,$B$6*12,$B$4-$B$3)</f>
        <v>71.470893104730891</v>
      </c>
      <c r="M16" s="1">
        <f>K16+L16</f>
        <v>1754.8555893627379</v>
      </c>
    </row>
    <row r="17" spans="10:13" x14ac:dyDescent="0.25">
      <c r="J17" s="3">
        <v>16</v>
      </c>
      <c r="K17" s="1">
        <f>PPMT($B$5/12,J17,B$6*12,$B$4-$B$3)</f>
        <v>1690.3987991590818</v>
      </c>
      <c r="L17" s="1">
        <f>IPMT($B$5/12,J17,$B$6*12,$B$4-$B$3)</f>
        <v>64.456790203655856</v>
      </c>
      <c r="M17" s="1">
        <f>K17+L17</f>
        <v>1754.8555893627376</v>
      </c>
    </row>
    <row r="18" spans="10:13" x14ac:dyDescent="0.25">
      <c r="J18" s="3">
        <v>17</v>
      </c>
      <c r="K18" s="1">
        <f>PPMT($B$5/12,J18,B$6*12,$B$4-$B$3)</f>
        <v>1697.4421274889114</v>
      </c>
      <c r="L18" s="1">
        <f>IPMT($B$5/12,J18,$B$6*12,$B$4-$B$3)</f>
        <v>57.41346187382635</v>
      </c>
      <c r="M18" s="1">
        <f>K18+L18</f>
        <v>1754.8555893627376</v>
      </c>
    </row>
    <row r="19" spans="10:13" x14ac:dyDescent="0.25">
      <c r="J19" s="3">
        <v>18</v>
      </c>
      <c r="K19" s="1">
        <f>PPMT($B$5/12,J19,B$6*12,$B$4-$B$3)</f>
        <v>1704.5148030201156</v>
      </c>
      <c r="L19" s="1">
        <f>IPMT($B$5/12,J19,$B$6*12,$B$4-$B$3)</f>
        <v>50.340786342622557</v>
      </c>
      <c r="M19" s="1">
        <f>K19+L19</f>
        <v>1754.8555893627381</v>
      </c>
    </row>
    <row r="20" spans="10:13" x14ac:dyDescent="0.25">
      <c r="J20" s="3">
        <v>19</v>
      </c>
      <c r="K20" s="1">
        <f>PPMT($B$5/12,J20,B$6*12,$B$4-$B$3)</f>
        <v>1711.6169480326992</v>
      </c>
      <c r="L20" s="1">
        <f>IPMT($B$5/12,J20,$B$6*12,$B$4-$B$3)</f>
        <v>43.238641330038739</v>
      </c>
      <c r="M20" s="1">
        <f>K20+L20</f>
        <v>1754.8555893627379</v>
      </c>
    </row>
    <row r="21" spans="10:13" x14ac:dyDescent="0.25">
      <c r="J21" s="3">
        <v>20</v>
      </c>
      <c r="K21" s="1">
        <f>PPMT($B$5/12,J21,B$6*12,$B$4-$B$3)</f>
        <v>1718.7486853161688</v>
      </c>
      <c r="L21" s="1">
        <f>IPMT($B$5/12,J21,$B$6*12,$B$4-$B$3)</f>
        <v>36.106904046569163</v>
      </c>
      <c r="M21" s="1">
        <f>K21+L21</f>
        <v>1754.8555893627379</v>
      </c>
    </row>
    <row r="22" spans="10:13" x14ac:dyDescent="0.25">
      <c r="J22" s="3">
        <v>21</v>
      </c>
      <c r="K22" s="1">
        <f>PPMT($B$5/12,J22,B$6*12,$B$4-$B$3)</f>
        <v>1725.9101381716528</v>
      </c>
      <c r="L22" s="1">
        <f>IPMT($B$5/12,J22,$B$6*12,$B$4-$B$3)</f>
        <v>28.945451191085123</v>
      </c>
      <c r="M22" s="1">
        <f>K22+L22</f>
        <v>1754.8555893627379</v>
      </c>
    </row>
    <row r="23" spans="10:13" x14ac:dyDescent="0.25">
      <c r="J23" s="3">
        <v>22</v>
      </c>
      <c r="K23" s="1">
        <f>PPMT($B$5/12,J23,B$6*12,$B$4-$B$3)</f>
        <v>1733.1014304140344</v>
      </c>
      <c r="L23" s="1">
        <f>IPMT($B$5/12,J23,$B$6*12,$B$4-$B$3)</f>
        <v>21.754158948703243</v>
      </c>
      <c r="M23" s="1">
        <f>K23+L23</f>
        <v>1754.8555893627376</v>
      </c>
    </row>
    <row r="24" spans="10:13" x14ac:dyDescent="0.25">
      <c r="J24" s="3">
        <v>23</v>
      </c>
      <c r="K24" s="1">
        <f>PPMT($B$5/12,J24,B$6*12,$B$4-$B$3)</f>
        <v>1740.3226863740931</v>
      </c>
      <c r="L24" s="1">
        <f>IPMT($B$5/12,J24,$B$6*12,$B$4-$B$3)</f>
        <v>14.532902988644768</v>
      </c>
      <c r="M24" s="1">
        <f>K24+L24</f>
        <v>1754.8555893627379</v>
      </c>
    </row>
    <row r="25" spans="10:13" x14ac:dyDescent="0.25">
      <c r="J25" s="3">
        <v>24</v>
      </c>
      <c r="K25" s="1">
        <f>PPMT($B$5/12,J25,B$6*12,$B$4-$B$3)</f>
        <v>1747.5740309006517</v>
      </c>
      <c r="L25" s="1">
        <f>IPMT($B$5/12,J25,$B$6*12,$B$4-$B$3)</f>
        <v>7.2815584620860472</v>
      </c>
      <c r="M25" s="1">
        <f>K25+L25</f>
        <v>1754.8555893627376</v>
      </c>
    </row>
    <row r="26" spans="10:13" x14ac:dyDescent="0.25">
      <c r="J26" s="2" t="s">
        <v>0</v>
      </c>
      <c r="K26" s="1">
        <f>SUM(K2:K25)</f>
        <v>40000.000000000015</v>
      </c>
      <c r="L26" s="1">
        <f>SUM(L2:L25)</f>
        <v>2116.5341447057003</v>
      </c>
      <c r="M26" s="1">
        <f>SUM(M2:M25)</f>
        <v>42116.534144705693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Loan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Sharma</dc:creator>
  <cp:lastModifiedBy>Vishwas Sharma</cp:lastModifiedBy>
  <dcterms:created xsi:type="dcterms:W3CDTF">2026-09-11T17:00:05Z</dcterms:created>
  <dcterms:modified xsi:type="dcterms:W3CDTF">2026-09-11T17:05:03Z</dcterms:modified>
</cp:coreProperties>
</file>