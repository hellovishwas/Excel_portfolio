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A09651503E071A/Documents/"/>
    </mc:Choice>
  </mc:AlternateContent>
  <xr:revisionPtr revIDLastSave="0" documentId="8_{DBC79185-0886-4DC9-89CB-182B5DC9A758}" xr6:coauthVersionLast="47" xr6:coauthVersionMax="47" xr10:uidLastSave="{00000000-0000-0000-0000-000000000000}"/>
  <bookViews>
    <workbookView xWindow="-110" yWindow="-110" windowWidth="19420" windowHeight="10300" xr2:uid="{6D97ABEB-D251-4F67-B75A-142D0ADA90C6}"/>
  </bookViews>
  <sheets>
    <sheet name="Q1" sheetId="1" r:id="rId1"/>
    <sheet name="Q2" sheetId="2" r:id="rId2"/>
    <sheet name="Q3" sheetId="3" r:id="rId3"/>
    <sheet name="sum" sheetId="4" r:id="rId4"/>
    <sheet name="max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B2" i="5"/>
  <c r="C2" i="5"/>
  <c r="D2" i="5"/>
  <c r="E2" i="5"/>
  <c r="B3" i="5"/>
  <c r="C3" i="5"/>
  <c r="D3" i="5"/>
  <c r="D5" i="5" s="1"/>
  <c r="E3" i="5"/>
  <c r="B4" i="5"/>
  <c r="C4" i="5"/>
  <c r="D4" i="5"/>
  <c r="E4" i="5"/>
  <c r="B5" i="5"/>
  <c r="C5" i="5"/>
  <c r="B6" i="5"/>
  <c r="B9" i="5" s="1"/>
  <c r="C6" i="5"/>
  <c r="C9" i="5" s="1"/>
  <c r="D6" i="5"/>
  <c r="E6" i="5"/>
  <c r="B7" i="5"/>
  <c r="C7" i="5"/>
  <c r="D7" i="5"/>
  <c r="E7" i="5"/>
  <c r="B8" i="5"/>
  <c r="C8" i="5"/>
  <c r="D8" i="5"/>
  <c r="E8" i="5"/>
  <c r="D9" i="5"/>
  <c r="E9" i="5"/>
  <c r="B10" i="5"/>
  <c r="B13" i="5" s="1"/>
  <c r="C10" i="5"/>
  <c r="C13" i="5" s="1"/>
  <c r="D10" i="5"/>
  <c r="D13" i="5" s="1"/>
  <c r="E10" i="5"/>
  <c r="B11" i="5"/>
  <c r="C11" i="5"/>
  <c r="D11" i="5"/>
  <c r="E11" i="5"/>
  <c r="B12" i="5"/>
  <c r="C12" i="5"/>
  <c r="D12" i="5"/>
  <c r="E12" i="5"/>
  <c r="E13" i="5"/>
  <c r="B14" i="5"/>
  <c r="B17" i="5" s="1"/>
  <c r="C14" i="5"/>
  <c r="C17" i="5" s="1"/>
  <c r="D14" i="5"/>
  <c r="E14" i="5"/>
  <c r="E17" i="5" s="1"/>
  <c r="B15" i="5"/>
  <c r="C15" i="5"/>
  <c r="D15" i="5"/>
  <c r="E15" i="5"/>
  <c r="B16" i="5"/>
  <c r="C16" i="5"/>
  <c r="D16" i="5"/>
  <c r="E16" i="5"/>
  <c r="D17" i="5"/>
  <c r="B18" i="5"/>
  <c r="B21" i="5" s="1"/>
  <c r="C18" i="5"/>
  <c r="C21" i="5" s="1"/>
  <c r="D18" i="5"/>
  <c r="E18" i="5"/>
  <c r="B19" i="5"/>
  <c r="C19" i="5"/>
  <c r="D19" i="5"/>
  <c r="E19" i="5"/>
  <c r="B20" i="5"/>
  <c r="C20" i="5"/>
  <c r="D20" i="5"/>
  <c r="E20" i="5"/>
  <c r="D21" i="5"/>
  <c r="E21" i="5"/>
  <c r="B22" i="5"/>
  <c r="B25" i="5" s="1"/>
  <c r="C22" i="5"/>
  <c r="C25" i="5" s="1"/>
  <c r="D22" i="5"/>
  <c r="E22" i="5"/>
  <c r="B23" i="5"/>
  <c r="C23" i="5"/>
  <c r="D23" i="5"/>
  <c r="E23" i="5"/>
  <c r="E25" i="5" s="1"/>
  <c r="B24" i="5"/>
  <c r="C24" i="5"/>
  <c r="D24" i="5"/>
  <c r="E24" i="5"/>
  <c r="D25" i="5"/>
  <c r="B26" i="5"/>
  <c r="B29" i="5" s="1"/>
  <c r="C26" i="5"/>
  <c r="D26" i="5"/>
  <c r="D29" i="5" s="1"/>
  <c r="E26" i="5"/>
  <c r="B27" i="5"/>
  <c r="C27" i="5"/>
  <c r="D27" i="5"/>
  <c r="E27" i="5"/>
  <c r="B28" i="5"/>
  <c r="C28" i="5"/>
  <c r="D28" i="5"/>
  <c r="E28" i="5"/>
  <c r="B30" i="5"/>
  <c r="C30" i="5"/>
  <c r="C33" i="5" s="1"/>
  <c r="D30" i="5"/>
  <c r="D33" i="5" s="1"/>
  <c r="E30" i="5"/>
  <c r="E33" i="5" s="1"/>
  <c r="B31" i="5"/>
  <c r="C31" i="5"/>
  <c r="D31" i="5"/>
  <c r="E31" i="5"/>
  <c r="B32" i="5"/>
  <c r="C32" i="5"/>
  <c r="D32" i="5"/>
  <c r="E32" i="5"/>
  <c r="B34" i="5"/>
  <c r="C34" i="5"/>
  <c r="C37" i="5" s="1"/>
  <c r="D34" i="5"/>
  <c r="D37" i="5" s="1"/>
  <c r="E34" i="5"/>
  <c r="E37" i="5" s="1"/>
  <c r="B35" i="5"/>
  <c r="C35" i="5"/>
  <c r="D35" i="5"/>
  <c r="E35" i="5"/>
  <c r="B36" i="5"/>
  <c r="C36" i="5"/>
  <c r="D36" i="5"/>
  <c r="E36" i="5"/>
  <c r="B38" i="5"/>
  <c r="C38" i="5"/>
  <c r="D38" i="5"/>
  <c r="D41" i="5" s="1"/>
  <c r="E38" i="5"/>
  <c r="E41" i="5" s="1"/>
  <c r="B39" i="5"/>
  <c r="C39" i="5"/>
  <c r="D39" i="5"/>
  <c r="E39" i="5"/>
  <c r="B40" i="5"/>
  <c r="C40" i="5"/>
  <c r="D40" i="5"/>
  <c r="E40" i="5"/>
  <c r="B41" i="5"/>
  <c r="C41" i="5"/>
  <c r="B2" i="4"/>
  <c r="C2" i="4"/>
  <c r="D2" i="4"/>
  <c r="E2" i="4"/>
  <c r="B3" i="4"/>
  <c r="C3" i="4"/>
  <c r="C5" i="4" s="1"/>
  <c r="D3" i="4"/>
  <c r="D5" i="4" s="1"/>
  <c r="E3" i="4"/>
  <c r="E5" i="4" s="1"/>
  <c r="B4" i="4"/>
  <c r="C4" i="4"/>
  <c r="D4" i="4"/>
  <c r="E4" i="4"/>
  <c r="B6" i="4"/>
  <c r="B9" i="4" s="1"/>
  <c r="C6" i="4"/>
  <c r="C9" i="4" s="1"/>
  <c r="D6" i="4"/>
  <c r="E6" i="4"/>
  <c r="E9" i="4" s="1"/>
  <c r="B7" i="4"/>
  <c r="C7" i="4"/>
  <c r="D7" i="4"/>
  <c r="E7" i="4"/>
  <c r="B8" i="4"/>
  <c r="C8" i="4"/>
  <c r="D8" i="4"/>
  <c r="E8" i="4"/>
  <c r="D9" i="4"/>
  <c r="B10" i="4"/>
  <c r="C10" i="4"/>
  <c r="D10" i="4"/>
  <c r="E10" i="4"/>
  <c r="B11" i="4"/>
  <c r="C11" i="4"/>
  <c r="D11" i="4"/>
  <c r="D13" i="4" s="1"/>
  <c r="E11" i="4"/>
  <c r="B12" i="4"/>
  <c r="C12" i="4"/>
  <c r="D12" i="4"/>
  <c r="E12" i="4"/>
  <c r="B14" i="4"/>
  <c r="C14" i="4"/>
  <c r="C17" i="4" s="1"/>
  <c r="D14" i="4"/>
  <c r="D17" i="4" s="1"/>
  <c r="E14" i="4"/>
  <c r="E17" i="4" s="1"/>
  <c r="B15" i="4"/>
  <c r="C15" i="4"/>
  <c r="D15" i="4"/>
  <c r="E15" i="4"/>
  <c r="B16" i="4"/>
  <c r="C16" i="4"/>
  <c r="D16" i="4"/>
  <c r="E16" i="4"/>
  <c r="B18" i="4"/>
  <c r="C18" i="4"/>
  <c r="C21" i="4" s="1"/>
  <c r="D18" i="4"/>
  <c r="D21" i="4" s="1"/>
  <c r="E18" i="4"/>
  <c r="E21" i="4" s="1"/>
  <c r="B19" i="4"/>
  <c r="C19" i="4"/>
  <c r="D19" i="4"/>
  <c r="E19" i="4"/>
  <c r="B20" i="4"/>
  <c r="C20" i="4"/>
  <c r="D20" i="4"/>
  <c r="E20" i="4"/>
  <c r="B21" i="4"/>
  <c r="B22" i="4"/>
  <c r="B25" i="4" s="1"/>
  <c r="C22" i="4"/>
  <c r="C25" i="4" s="1"/>
  <c r="D22" i="4"/>
  <c r="D25" i="4" s="1"/>
  <c r="E22" i="4"/>
  <c r="E25" i="4" s="1"/>
  <c r="B23" i="4"/>
  <c r="C23" i="4"/>
  <c r="D23" i="4"/>
  <c r="E23" i="4"/>
  <c r="B24" i="4"/>
  <c r="C24" i="4"/>
  <c r="D24" i="4"/>
  <c r="E24" i="4"/>
  <c r="B26" i="4"/>
  <c r="C26" i="4"/>
  <c r="C29" i="4" s="1"/>
  <c r="D26" i="4"/>
  <c r="D29" i="4" s="1"/>
  <c r="E26" i="4"/>
  <c r="E29" i="4" s="1"/>
  <c r="B27" i="4"/>
  <c r="C27" i="4"/>
  <c r="D27" i="4"/>
  <c r="E27" i="4"/>
  <c r="B28" i="4"/>
  <c r="C28" i="4"/>
  <c r="D28" i="4"/>
  <c r="E28" i="4"/>
  <c r="B29" i="4"/>
  <c r="B30" i="4"/>
  <c r="C30" i="4"/>
  <c r="C33" i="4" s="1"/>
  <c r="D30" i="4"/>
  <c r="D33" i="4" s="1"/>
  <c r="E30" i="4"/>
  <c r="B31" i="4"/>
  <c r="C31" i="4"/>
  <c r="D31" i="4"/>
  <c r="E31" i="4"/>
  <c r="B32" i="4"/>
  <c r="C32" i="4"/>
  <c r="D32" i="4"/>
  <c r="E32" i="4"/>
  <c r="B33" i="4"/>
  <c r="B34" i="4"/>
  <c r="B37" i="4" s="1"/>
  <c r="C34" i="4"/>
  <c r="C37" i="4" s="1"/>
  <c r="D34" i="4"/>
  <c r="D37" i="4" s="1"/>
  <c r="E34" i="4"/>
  <c r="E37" i="4" s="1"/>
  <c r="B35" i="4"/>
  <c r="C35" i="4"/>
  <c r="D35" i="4"/>
  <c r="E35" i="4"/>
  <c r="B36" i="4"/>
  <c r="C36" i="4"/>
  <c r="D36" i="4"/>
  <c r="E36" i="4"/>
  <c r="B38" i="4"/>
  <c r="C38" i="4"/>
  <c r="D38" i="4"/>
  <c r="D41" i="4" s="1"/>
  <c r="E38" i="4"/>
  <c r="E41" i="4" s="1"/>
  <c r="B39" i="4"/>
  <c r="C39" i="4"/>
  <c r="D39" i="4"/>
  <c r="E39" i="4"/>
  <c r="B40" i="4"/>
  <c r="C40" i="4"/>
  <c r="D40" i="4"/>
  <c r="E40" i="4"/>
  <c r="B41" i="4"/>
  <c r="D11" i="3"/>
  <c r="C11" i="3"/>
  <c r="B11" i="3"/>
  <c r="E3" i="3"/>
  <c r="E4" i="3"/>
  <c r="E5" i="3"/>
  <c r="E6" i="3"/>
  <c r="E7" i="3"/>
  <c r="E8" i="3"/>
  <c r="E9" i="3"/>
  <c r="E10" i="3"/>
  <c r="E2" i="3"/>
  <c r="E29" i="5" l="1"/>
  <c r="B5" i="4"/>
  <c r="C41" i="4"/>
  <c r="E13" i="4"/>
  <c r="B37" i="5"/>
  <c r="E5" i="5"/>
  <c r="C29" i="5"/>
  <c r="B33" i="5"/>
  <c r="B13" i="4"/>
  <c r="C13" i="4"/>
  <c r="E33" i="4"/>
  <c r="B17" i="4"/>
  <c r="E11" i="3"/>
</calcChain>
</file>

<file path=xl/sharedStrings.xml><?xml version="1.0" encoding="utf-8"?>
<sst xmlns="http://schemas.openxmlformats.org/spreadsheetml/2006/main" count="78" uniqueCount="16">
  <si>
    <t>Product</t>
  </si>
  <si>
    <t>Jan</t>
  </si>
  <si>
    <t>Feb</t>
  </si>
  <si>
    <t>Mar</t>
  </si>
  <si>
    <t>Total</t>
  </si>
  <si>
    <t>Coffee</t>
  </si>
  <si>
    <t>Candy</t>
  </si>
  <si>
    <t>Chocolate</t>
  </si>
  <si>
    <t>Sugar</t>
  </si>
  <si>
    <t>Milk Powder</t>
  </si>
  <si>
    <t>Biscuit</t>
  </si>
  <si>
    <t>Cold Drinks</t>
  </si>
  <si>
    <t>Energy Drinks</t>
  </si>
  <si>
    <t>Fruit Juice</t>
  </si>
  <si>
    <t>Q1</t>
  </si>
  <si>
    <t>Find total of sugare (DGET)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</si>
</sst>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0"/>
      <color indexed="9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0"/>
        <bgColor indexed="2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4" borderId="0" xfId="0" applyFont="1" applyFill="1" applyBorder="1" applyAlignment="1"/>
    <xf numFmtId="0" fontId="1" fillId="4" borderId="3" xfId="0" applyFont="1" applyFill="1" applyBorder="1" applyAlignment="1"/>
    <xf numFmtId="0" fontId="1" fillId="5" borderId="4" xfId="0" applyFont="1" applyFill="1" applyBorder="1" applyAlignment="1"/>
    <xf numFmtId="0" fontId="2" fillId="4" borderId="2" xfId="0" applyFont="1" applyFill="1" applyBorder="1" applyAlignment="1">
      <alignment horizontal="left"/>
    </xf>
    <xf numFmtId="0" fontId="1" fillId="6" borderId="8" xfId="0" applyFont="1" applyFill="1" applyBorder="1" applyAlignment="1"/>
    <xf numFmtId="0" fontId="1" fillId="6" borderId="9" xfId="0" applyFont="1" applyFill="1" applyBorder="1" applyAlignment="1"/>
    <xf numFmtId="0" fontId="2" fillId="6" borderId="7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right"/>
    </xf>
    <xf numFmtId="0" fontId="0" fillId="7" borderId="1" xfId="0" applyFill="1" applyBorder="1" applyAlignment="1"/>
    <xf numFmtId="0" fontId="5" fillId="7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0" fillId="0" borderId="1" xfId="0" applyFill="1" applyBorder="1" applyAlignment="1"/>
    <xf numFmtId="0" fontId="4" fillId="4" borderId="1" xfId="0" applyFont="1" applyFill="1" applyBorder="1" applyAlignment="1">
      <alignment horizontal="left"/>
    </xf>
    <xf numFmtId="0" fontId="0" fillId="0" borderId="0" xfId="0" applyFill="1"/>
    <xf numFmtId="0" fontId="0" fillId="8" borderId="0" xfId="0" applyFill="1"/>
    <xf numFmtId="0" fontId="0" fillId="9" borderId="0" xfId="0" applyFill="1"/>
    <xf numFmtId="0" fontId="0" fillId="8" borderId="0" xfId="0" applyFill="1" applyAlignment="1">
      <alignment horizontal="right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F1E0-0A17-4757-A5EC-207CDEF2AF9B}">
  <dimension ref="A1:J11"/>
  <sheetViews>
    <sheetView tabSelected="1" workbookViewId="0">
      <selection activeCell="H5" sqref="H5"/>
    </sheetView>
  </sheetViews>
  <sheetFormatPr defaultRowHeight="14.5" x14ac:dyDescent="0.35"/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1" t="s">
        <v>14</v>
      </c>
      <c r="H1" s="19" t="s">
        <v>15</v>
      </c>
      <c r="I1" s="19"/>
      <c r="J1" s="19"/>
    </row>
    <row r="2" spans="1:10" x14ac:dyDescent="0.35">
      <c r="A2" s="3" t="s">
        <v>5</v>
      </c>
      <c r="B2" s="1">
        <v>2000</v>
      </c>
      <c r="C2" s="1">
        <v>348</v>
      </c>
      <c r="D2" s="1">
        <v>60</v>
      </c>
      <c r="E2" s="1">
        <v>697</v>
      </c>
      <c r="H2" s="20" t="s">
        <v>0</v>
      </c>
      <c r="I2" s="20" t="s">
        <v>4</v>
      </c>
    </row>
    <row r="3" spans="1:10" x14ac:dyDescent="0.35">
      <c r="A3" s="3" t="s">
        <v>6</v>
      </c>
      <c r="B3" s="1">
        <v>288</v>
      </c>
      <c r="C3" s="1">
        <v>145</v>
      </c>
      <c r="D3" s="1">
        <v>149</v>
      </c>
      <c r="E3" s="1">
        <v>582</v>
      </c>
      <c r="H3" s="20" t="s">
        <v>8</v>
      </c>
      <c r="I3" s="22">
        <f>DGET(A1:E11,E1,H2:H3)</f>
        <v>968</v>
      </c>
    </row>
    <row r="4" spans="1:10" x14ac:dyDescent="0.35">
      <c r="A4" s="3" t="s">
        <v>7</v>
      </c>
      <c r="B4" s="1">
        <v>299</v>
      </c>
      <c r="C4" s="1">
        <v>192</v>
      </c>
      <c r="D4" s="1">
        <v>288</v>
      </c>
      <c r="E4" s="1">
        <v>779</v>
      </c>
    </row>
    <row r="5" spans="1:10" x14ac:dyDescent="0.35">
      <c r="A5" s="3" t="s">
        <v>8</v>
      </c>
      <c r="B5" s="1">
        <v>360</v>
      </c>
      <c r="C5" s="1">
        <v>219</v>
      </c>
      <c r="D5" s="1">
        <v>389</v>
      </c>
      <c r="E5" s="1">
        <v>968</v>
      </c>
    </row>
    <row r="6" spans="1:10" x14ac:dyDescent="0.35">
      <c r="A6" s="3" t="s">
        <v>9</v>
      </c>
      <c r="B6" s="1">
        <v>250</v>
      </c>
      <c r="C6" s="1">
        <v>395</v>
      </c>
      <c r="D6" s="1">
        <v>261</v>
      </c>
      <c r="E6" s="1">
        <v>906</v>
      </c>
    </row>
    <row r="7" spans="1:10" x14ac:dyDescent="0.35">
      <c r="A7" s="3" t="s">
        <v>10</v>
      </c>
      <c r="B7" s="1">
        <v>47</v>
      </c>
      <c r="C7" s="1">
        <v>134</v>
      </c>
      <c r="D7" s="1">
        <v>121</v>
      </c>
      <c r="E7" s="1">
        <v>302</v>
      </c>
    </row>
    <row r="8" spans="1:10" x14ac:dyDescent="0.35">
      <c r="A8" s="3" t="s">
        <v>11</v>
      </c>
      <c r="B8" s="1">
        <v>396</v>
      </c>
      <c r="C8" s="1">
        <v>282</v>
      </c>
      <c r="D8" s="1">
        <v>141</v>
      </c>
      <c r="E8" s="1">
        <v>819</v>
      </c>
    </row>
    <row r="9" spans="1:10" x14ac:dyDescent="0.35">
      <c r="A9" s="3" t="s">
        <v>12</v>
      </c>
      <c r="B9" s="1">
        <v>291</v>
      </c>
      <c r="C9" s="1">
        <v>359</v>
      </c>
      <c r="D9" s="1">
        <v>167</v>
      </c>
      <c r="E9" s="1">
        <v>817</v>
      </c>
    </row>
    <row r="10" spans="1:10" x14ac:dyDescent="0.35">
      <c r="A10" s="3" t="s">
        <v>13</v>
      </c>
      <c r="B10" s="1">
        <v>243</v>
      </c>
      <c r="C10" s="1">
        <v>287</v>
      </c>
      <c r="D10" s="1">
        <v>375</v>
      </c>
      <c r="E10" s="1">
        <v>905</v>
      </c>
    </row>
    <row r="11" spans="1:10" x14ac:dyDescent="0.35">
      <c r="A11" s="2" t="s">
        <v>4</v>
      </c>
      <c r="B11" s="1">
        <v>2463</v>
      </c>
      <c r="C11" s="1">
        <v>2361</v>
      </c>
      <c r="D11" s="1">
        <v>1951</v>
      </c>
      <c r="E11" s="1">
        <v>6775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1BF0-5152-400F-879F-D7C9EC395152}">
  <dimension ref="A1:E11"/>
  <sheetViews>
    <sheetView workbookViewId="0">
      <selection activeCell="B2" sqref="B2:E11"/>
    </sheetView>
  </sheetViews>
  <sheetFormatPr defaultRowHeight="14.5" x14ac:dyDescent="0.35"/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1">
        <v>307</v>
      </c>
      <c r="C2" s="1">
        <v>196</v>
      </c>
      <c r="D2" s="1">
        <v>362</v>
      </c>
      <c r="E2" s="1">
        <v>865</v>
      </c>
    </row>
    <row r="3" spans="1:5" x14ac:dyDescent="0.35">
      <c r="A3" s="3" t="s">
        <v>6</v>
      </c>
      <c r="B3" s="1">
        <v>160</v>
      </c>
      <c r="C3" s="1">
        <v>178</v>
      </c>
      <c r="D3" s="1">
        <v>21</v>
      </c>
      <c r="E3" s="1">
        <v>359</v>
      </c>
    </row>
    <row r="4" spans="1:5" x14ac:dyDescent="0.35">
      <c r="A4" s="3" t="s">
        <v>7</v>
      </c>
      <c r="B4" s="1">
        <v>144</v>
      </c>
      <c r="C4" s="1">
        <v>139</v>
      </c>
      <c r="D4" s="1">
        <v>198</v>
      </c>
      <c r="E4" s="1">
        <v>481</v>
      </c>
    </row>
    <row r="5" spans="1:5" x14ac:dyDescent="0.35">
      <c r="A5" s="3" t="s">
        <v>8</v>
      </c>
      <c r="B5" s="1">
        <v>289</v>
      </c>
      <c r="C5" s="1">
        <v>69</v>
      </c>
      <c r="D5" s="1">
        <v>139</v>
      </c>
      <c r="E5" s="1">
        <v>497</v>
      </c>
    </row>
    <row r="6" spans="1:5" x14ac:dyDescent="0.35">
      <c r="A6" s="3" t="s">
        <v>9</v>
      </c>
      <c r="B6" s="1">
        <v>183</v>
      </c>
      <c r="C6" s="1">
        <v>244</v>
      </c>
      <c r="D6" s="1">
        <v>358</v>
      </c>
      <c r="E6" s="1">
        <v>785</v>
      </c>
    </row>
    <row r="7" spans="1:5" x14ac:dyDescent="0.35">
      <c r="A7" s="3" t="s">
        <v>10</v>
      </c>
      <c r="B7" s="1">
        <v>63</v>
      </c>
      <c r="C7" s="1">
        <v>276</v>
      </c>
      <c r="D7" s="1">
        <v>63</v>
      </c>
      <c r="E7" s="1">
        <v>402</v>
      </c>
    </row>
    <row r="8" spans="1:5" x14ac:dyDescent="0.35">
      <c r="A8" s="3" t="s">
        <v>11</v>
      </c>
      <c r="B8" s="1">
        <v>287</v>
      </c>
      <c r="C8" s="1">
        <v>197</v>
      </c>
      <c r="D8" s="1">
        <v>84</v>
      </c>
      <c r="E8" s="1">
        <v>568</v>
      </c>
    </row>
    <row r="9" spans="1:5" x14ac:dyDescent="0.35">
      <c r="A9" s="3" t="s">
        <v>12</v>
      </c>
      <c r="B9" s="1">
        <v>193</v>
      </c>
      <c r="C9" s="1">
        <v>177</v>
      </c>
      <c r="D9" s="1">
        <v>276</v>
      </c>
      <c r="E9" s="1">
        <v>646</v>
      </c>
    </row>
    <row r="10" spans="1:5" x14ac:dyDescent="0.35">
      <c r="A10" s="3" t="s">
        <v>13</v>
      </c>
      <c r="B10" s="1">
        <v>101</v>
      </c>
      <c r="C10" s="1">
        <v>380</v>
      </c>
      <c r="D10" s="1">
        <v>121</v>
      </c>
      <c r="E10" s="1">
        <v>602</v>
      </c>
    </row>
    <row r="11" spans="1:5" x14ac:dyDescent="0.35">
      <c r="A11" s="2" t="s">
        <v>4</v>
      </c>
      <c r="B11" s="1">
        <v>1727</v>
      </c>
      <c r="C11" s="1">
        <v>1856</v>
      </c>
      <c r="D11" s="1">
        <v>1622</v>
      </c>
      <c r="E11" s="1">
        <v>5205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8F5A-3862-4F14-9B6D-02A5D68224FB}">
  <dimension ref="A1:E11"/>
  <sheetViews>
    <sheetView workbookViewId="0">
      <selection activeCell="D12" sqref="D12"/>
    </sheetView>
  </sheetViews>
  <sheetFormatPr defaultRowHeight="14.5" x14ac:dyDescent="0.35"/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1">
        <v>228</v>
      </c>
      <c r="C2" s="1">
        <v>100</v>
      </c>
      <c r="D2" s="1">
        <v>80</v>
      </c>
      <c r="E2" s="1">
        <f>SUM(B2:D2)</f>
        <v>408</v>
      </c>
    </row>
    <row r="3" spans="1:5" x14ac:dyDescent="0.35">
      <c r="A3" s="3" t="s">
        <v>6</v>
      </c>
      <c r="B3" s="1">
        <v>269</v>
      </c>
      <c r="C3" s="1">
        <v>309</v>
      </c>
      <c r="D3" s="1">
        <v>182</v>
      </c>
      <c r="E3" s="1">
        <f t="shared" ref="E3:E11" si="0">SUM(B3:D3)</f>
        <v>760</v>
      </c>
    </row>
    <row r="4" spans="1:5" x14ac:dyDescent="0.35">
      <c r="A4" s="3" t="s">
        <v>7</v>
      </c>
      <c r="B4" s="1">
        <v>276</v>
      </c>
      <c r="C4" s="1">
        <v>108</v>
      </c>
      <c r="D4" s="1">
        <v>204</v>
      </c>
      <c r="E4" s="1">
        <f t="shared" si="0"/>
        <v>588</v>
      </c>
    </row>
    <row r="5" spans="1:5" x14ac:dyDescent="0.35">
      <c r="A5" s="3" t="s">
        <v>8</v>
      </c>
      <c r="B5" s="1">
        <v>307</v>
      </c>
      <c r="C5" s="1">
        <v>234</v>
      </c>
      <c r="D5" s="1">
        <v>175</v>
      </c>
      <c r="E5" s="1">
        <f t="shared" si="0"/>
        <v>716</v>
      </c>
    </row>
    <row r="6" spans="1:5" x14ac:dyDescent="0.35">
      <c r="A6" s="3" t="s">
        <v>9</v>
      </c>
      <c r="B6" s="1">
        <v>221</v>
      </c>
      <c r="C6" s="1">
        <v>193</v>
      </c>
      <c r="D6" s="1">
        <v>198</v>
      </c>
      <c r="E6" s="1">
        <f t="shared" si="0"/>
        <v>612</v>
      </c>
    </row>
    <row r="7" spans="1:5" x14ac:dyDescent="0.35">
      <c r="A7" s="3" t="s">
        <v>10</v>
      </c>
      <c r="B7" s="1">
        <v>124</v>
      </c>
      <c r="C7" s="1">
        <v>63</v>
      </c>
      <c r="D7" s="1">
        <v>78</v>
      </c>
      <c r="E7" s="1">
        <f t="shared" si="0"/>
        <v>265</v>
      </c>
    </row>
    <row r="8" spans="1:5" x14ac:dyDescent="0.35">
      <c r="A8" s="3" t="s">
        <v>11</v>
      </c>
      <c r="B8" s="1">
        <v>104</v>
      </c>
      <c r="C8" s="1">
        <v>334</v>
      </c>
      <c r="D8" s="1">
        <v>246</v>
      </c>
      <c r="E8" s="1">
        <f t="shared" si="0"/>
        <v>684</v>
      </c>
    </row>
    <row r="9" spans="1:5" x14ac:dyDescent="0.35">
      <c r="A9" s="3" t="s">
        <v>12</v>
      </c>
      <c r="B9" s="1">
        <v>288</v>
      </c>
      <c r="C9" s="1">
        <v>107</v>
      </c>
      <c r="D9" s="1">
        <v>325</v>
      </c>
      <c r="E9" s="1">
        <f t="shared" si="0"/>
        <v>720</v>
      </c>
    </row>
    <row r="10" spans="1:5" x14ac:dyDescent="0.35">
      <c r="A10" s="3" t="s">
        <v>13</v>
      </c>
      <c r="B10" s="1">
        <v>218</v>
      </c>
      <c r="C10" s="1">
        <v>106</v>
      </c>
      <c r="D10" s="1">
        <v>215</v>
      </c>
      <c r="E10" s="1">
        <f t="shared" si="0"/>
        <v>539</v>
      </c>
    </row>
    <row r="11" spans="1:5" x14ac:dyDescent="0.35">
      <c r="A11" s="2" t="s">
        <v>4</v>
      </c>
      <c r="B11" s="1">
        <f>SUM(B2:B10)</f>
        <v>2035</v>
      </c>
      <c r="C11" s="1">
        <f t="shared" ref="C11:D11" si="1">SUM(C2:C10)</f>
        <v>1554</v>
      </c>
      <c r="D11" s="1">
        <f>SUM(D2:D10)</f>
        <v>1703</v>
      </c>
      <c r="E11" s="1">
        <f>SUM(B11:D11)</f>
        <v>5292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B011-28FE-4D43-9B6C-35F7E2581039}">
  <dimension ref="A1:E41"/>
  <sheetViews>
    <sheetView workbookViewId="0">
      <selection activeCell="L25" sqref="L25"/>
    </sheetView>
  </sheetViews>
  <sheetFormatPr defaultRowHeight="14.5" outlineLevelRow="1" x14ac:dyDescent="0.35"/>
  <cols>
    <col min="1" max="1" width="12.26953125" bestFit="1" customWidth="1"/>
    <col min="2" max="4" width="4.81640625" bestFit="1" customWidth="1"/>
    <col min="5" max="5" width="5.81640625" bestFit="1" customWidth="1"/>
  </cols>
  <sheetData>
    <row r="1" spans="1:5" ht="15" thickBot="1" x14ac:dyDescent="0.4">
      <c r="A1" s="6"/>
      <c r="B1" s="11" t="s">
        <v>1</v>
      </c>
      <c r="C1" s="11" t="s">
        <v>2</v>
      </c>
      <c r="D1" s="11" t="s">
        <v>3</v>
      </c>
      <c r="E1" s="12" t="s">
        <v>4</v>
      </c>
    </row>
    <row r="2" spans="1:5" hidden="1" outlineLevel="1" x14ac:dyDescent="0.35">
      <c r="A2" s="7"/>
      <c r="B2" s="4">
        <f>'Q1'!$B$2</f>
        <v>2000</v>
      </c>
      <c r="C2" s="4">
        <f>'Q1'!$C$2</f>
        <v>348</v>
      </c>
      <c r="D2" s="4">
        <f>'Q1'!$D$2</f>
        <v>60</v>
      </c>
      <c r="E2" s="5">
        <f>'Q1'!$E$2</f>
        <v>697</v>
      </c>
    </row>
    <row r="3" spans="1:5" hidden="1" outlineLevel="1" collapsed="1" x14ac:dyDescent="0.35">
      <c r="A3" s="7"/>
      <c r="B3" s="4">
        <f>'Q2'!$B$2</f>
        <v>307</v>
      </c>
      <c r="C3" s="4">
        <f>'Q2'!$C$2</f>
        <v>196</v>
      </c>
      <c r="D3" s="4">
        <f>'Q2'!$D$2</f>
        <v>362</v>
      </c>
      <c r="E3" s="5">
        <f>'Q2'!$E$2</f>
        <v>865</v>
      </c>
    </row>
    <row r="4" spans="1:5" hidden="1" outlineLevel="1" collapsed="1" x14ac:dyDescent="0.35">
      <c r="A4" s="7"/>
      <c r="B4" s="4">
        <f>'Q3'!$B$2</f>
        <v>228</v>
      </c>
      <c r="C4" s="4">
        <f>'Q3'!$C$2</f>
        <v>100</v>
      </c>
      <c r="D4" s="4">
        <f>'Q3'!$D$2</f>
        <v>80</v>
      </c>
      <c r="E4" s="5">
        <f>'Q3'!$E$2</f>
        <v>408</v>
      </c>
    </row>
    <row r="5" spans="1:5" ht="15" collapsed="1" thickBot="1" x14ac:dyDescent="0.4">
      <c r="A5" s="10" t="s">
        <v>5</v>
      </c>
      <c r="B5" s="8">
        <f>SUM(B2:B4)</f>
        <v>2535</v>
      </c>
      <c r="C5" s="8">
        <f>SUM(C2:C4)</f>
        <v>644</v>
      </c>
      <c r="D5" s="8">
        <f>SUM(D2:D4)</f>
        <v>502</v>
      </c>
      <c r="E5" s="9">
        <f>SUM(E2:E4)</f>
        <v>1970</v>
      </c>
    </row>
    <row r="6" spans="1:5" hidden="1" outlineLevel="1" x14ac:dyDescent="0.35">
      <c r="A6" s="7"/>
      <c r="B6" s="4">
        <f>'Q1'!$B$3</f>
        <v>288</v>
      </c>
      <c r="C6" s="4">
        <f>'Q1'!$C$3</f>
        <v>145</v>
      </c>
      <c r="D6" s="4">
        <f>'Q1'!$D$3</f>
        <v>149</v>
      </c>
      <c r="E6" s="5">
        <f>'Q1'!$E$3</f>
        <v>582</v>
      </c>
    </row>
    <row r="7" spans="1:5" hidden="1" outlineLevel="1" collapsed="1" x14ac:dyDescent="0.35">
      <c r="A7" s="7"/>
      <c r="B7" s="4">
        <f>'Q2'!$B$3</f>
        <v>160</v>
      </c>
      <c r="C7" s="4">
        <f>'Q2'!$C$3</f>
        <v>178</v>
      </c>
      <c r="D7" s="4">
        <f>'Q2'!$D$3</f>
        <v>21</v>
      </c>
      <c r="E7" s="5">
        <f>'Q2'!$E$3</f>
        <v>359</v>
      </c>
    </row>
    <row r="8" spans="1:5" hidden="1" outlineLevel="1" collapsed="1" x14ac:dyDescent="0.35">
      <c r="A8" s="7"/>
      <c r="B8" s="4">
        <f>'Q3'!$B$3</f>
        <v>269</v>
      </c>
      <c r="C8" s="4">
        <f>'Q3'!$C$3</f>
        <v>309</v>
      </c>
      <c r="D8" s="4">
        <f>'Q3'!$D$3</f>
        <v>182</v>
      </c>
      <c r="E8" s="5">
        <f>'Q3'!$E$3</f>
        <v>760</v>
      </c>
    </row>
    <row r="9" spans="1:5" ht="15" collapsed="1" thickBot="1" x14ac:dyDescent="0.4">
      <c r="A9" s="10" t="s">
        <v>6</v>
      </c>
      <c r="B9" s="8">
        <f>SUM(B6:B8)</f>
        <v>717</v>
      </c>
      <c r="C9" s="8">
        <f>SUM(C6:C8)</f>
        <v>632</v>
      </c>
      <c r="D9" s="8">
        <f>SUM(D6:D8)</f>
        <v>352</v>
      </c>
      <c r="E9" s="9">
        <f>SUM(E6:E8)</f>
        <v>1701</v>
      </c>
    </row>
    <row r="10" spans="1:5" hidden="1" outlineLevel="1" x14ac:dyDescent="0.35">
      <c r="A10" s="7"/>
      <c r="B10" s="4">
        <f>'Q1'!$B$4</f>
        <v>299</v>
      </c>
      <c r="C10" s="4">
        <f>'Q1'!$C$4</f>
        <v>192</v>
      </c>
      <c r="D10" s="4">
        <f>'Q1'!$D$4</f>
        <v>288</v>
      </c>
      <c r="E10" s="5">
        <f>'Q1'!$E$4</f>
        <v>779</v>
      </c>
    </row>
    <row r="11" spans="1:5" hidden="1" outlineLevel="1" collapsed="1" x14ac:dyDescent="0.35">
      <c r="A11" s="7"/>
      <c r="B11" s="4">
        <f>'Q2'!$B$4</f>
        <v>144</v>
      </c>
      <c r="C11" s="4">
        <f>'Q2'!$C$4</f>
        <v>139</v>
      </c>
      <c r="D11" s="4">
        <f>'Q2'!$D$4</f>
        <v>198</v>
      </c>
      <c r="E11" s="5">
        <f>'Q2'!$E$4</f>
        <v>481</v>
      </c>
    </row>
    <row r="12" spans="1:5" hidden="1" outlineLevel="1" collapsed="1" x14ac:dyDescent="0.35">
      <c r="A12" s="7"/>
      <c r="B12" s="4">
        <f>'Q3'!$B$4</f>
        <v>276</v>
      </c>
      <c r="C12" s="4">
        <f>'Q3'!$C$4</f>
        <v>108</v>
      </c>
      <c r="D12" s="4">
        <f>'Q3'!$D$4</f>
        <v>204</v>
      </c>
      <c r="E12" s="5">
        <f>'Q3'!$E$4</f>
        <v>588</v>
      </c>
    </row>
    <row r="13" spans="1:5" ht="15" collapsed="1" thickBot="1" x14ac:dyDescent="0.4">
      <c r="A13" s="10" t="s">
        <v>7</v>
      </c>
      <c r="B13" s="8">
        <f>SUM(B10:B12)</f>
        <v>719</v>
      </c>
      <c r="C13" s="8">
        <f>SUM(C10:C12)</f>
        <v>439</v>
      </c>
      <c r="D13" s="8">
        <f>SUM(D10:D12)</f>
        <v>690</v>
      </c>
      <c r="E13" s="9">
        <f>SUM(E10:E12)</f>
        <v>1848</v>
      </c>
    </row>
    <row r="14" spans="1:5" hidden="1" outlineLevel="1" x14ac:dyDescent="0.35">
      <c r="A14" s="7"/>
      <c r="B14" s="4">
        <f>'Q1'!$B$5</f>
        <v>360</v>
      </c>
      <c r="C14" s="4">
        <f>'Q1'!$C$5</f>
        <v>219</v>
      </c>
      <c r="D14" s="4">
        <f>'Q1'!$D$5</f>
        <v>389</v>
      </c>
      <c r="E14" s="5">
        <f>'Q1'!$E$5</f>
        <v>968</v>
      </c>
    </row>
    <row r="15" spans="1:5" hidden="1" outlineLevel="1" collapsed="1" x14ac:dyDescent="0.35">
      <c r="A15" s="7"/>
      <c r="B15" s="4">
        <f>'Q2'!$B$5</f>
        <v>289</v>
      </c>
      <c r="C15" s="4">
        <f>'Q2'!$C$5</f>
        <v>69</v>
      </c>
      <c r="D15" s="4">
        <f>'Q2'!$D$5</f>
        <v>139</v>
      </c>
      <c r="E15" s="5">
        <f>'Q2'!$E$5</f>
        <v>497</v>
      </c>
    </row>
    <row r="16" spans="1:5" hidden="1" outlineLevel="1" collapsed="1" x14ac:dyDescent="0.35">
      <c r="A16" s="7"/>
      <c r="B16" s="4">
        <f>'Q3'!$B$5</f>
        <v>307</v>
      </c>
      <c r="C16" s="4">
        <f>'Q3'!$C$5</f>
        <v>234</v>
      </c>
      <c r="D16" s="4">
        <f>'Q3'!$D$5</f>
        <v>175</v>
      </c>
      <c r="E16" s="5">
        <f>'Q3'!$E$5</f>
        <v>716</v>
      </c>
    </row>
    <row r="17" spans="1:5" ht="15" collapsed="1" thickBot="1" x14ac:dyDescent="0.4">
      <c r="A17" s="10" t="s">
        <v>8</v>
      </c>
      <c r="B17" s="8">
        <f>SUM(B14:B16)</f>
        <v>956</v>
      </c>
      <c r="C17" s="8">
        <f>SUM(C14:C16)</f>
        <v>522</v>
      </c>
      <c r="D17" s="8">
        <f>SUM(D14:D16)</f>
        <v>703</v>
      </c>
      <c r="E17" s="9">
        <f>SUM(E14:E16)</f>
        <v>2181</v>
      </c>
    </row>
    <row r="18" spans="1:5" hidden="1" outlineLevel="1" x14ac:dyDescent="0.35">
      <c r="A18" s="7"/>
      <c r="B18" s="4">
        <f>'Q1'!$B$6</f>
        <v>250</v>
      </c>
      <c r="C18" s="4">
        <f>'Q1'!$C$6</f>
        <v>395</v>
      </c>
      <c r="D18" s="4">
        <f>'Q1'!$D$6</f>
        <v>261</v>
      </c>
      <c r="E18" s="5">
        <f>'Q1'!$E$6</f>
        <v>906</v>
      </c>
    </row>
    <row r="19" spans="1:5" hidden="1" outlineLevel="1" collapsed="1" x14ac:dyDescent="0.35">
      <c r="A19" s="7"/>
      <c r="B19" s="4">
        <f>'Q2'!$B$6</f>
        <v>183</v>
      </c>
      <c r="C19" s="4">
        <f>'Q2'!$C$6</f>
        <v>244</v>
      </c>
      <c r="D19" s="4">
        <f>'Q2'!$D$6</f>
        <v>358</v>
      </c>
      <c r="E19" s="5">
        <f>'Q2'!$E$6</f>
        <v>785</v>
      </c>
    </row>
    <row r="20" spans="1:5" hidden="1" outlineLevel="1" collapsed="1" x14ac:dyDescent="0.35">
      <c r="A20" s="7"/>
      <c r="B20" s="4">
        <f>'Q3'!$B$6</f>
        <v>221</v>
      </c>
      <c r="C20" s="4">
        <f>'Q3'!$C$6</f>
        <v>193</v>
      </c>
      <c r="D20" s="4">
        <f>'Q3'!$D$6</f>
        <v>198</v>
      </c>
      <c r="E20" s="5">
        <f>'Q3'!$E$6</f>
        <v>612</v>
      </c>
    </row>
    <row r="21" spans="1:5" ht="15" collapsed="1" thickBot="1" x14ac:dyDescent="0.4">
      <c r="A21" s="10" t="s">
        <v>9</v>
      </c>
      <c r="B21" s="8">
        <f>SUM(B18:B20)</f>
        <v>654</v>
      </c>
      <c r="C21" s="8">
        <f>SUM(C18:C20)</f>
        <v>832</v>
      </c>
      <c r="D21" s="8">
        <f>SUM(D18:D20)</f>
        <v>817</v>
      </c>
      <c r="E21" s="9">
        <f>SUM(E18:E20)</f>
        <v>2303</v>
      </c>
    </row>
    <row r="22" spans="1:5" hidden="1" outlineLevel="1" x14ac:dyDescent="0.35">
      <c r="A22" s="7"/>
      <c r="B22" s="4">
        <f>'Q1'!$B$7</f>
        <v>47</v>
      </c>
      <c r="C22" s="4">
        <f>'Q1'!$C$7</f>
        <v>134</v>
      </c>
      <c r="D22" s="4">
        <f>'Q1'!$D$7</f>
        <v>121</v>
      </c>
      <c r="E22" s="5">
        <f>'Q1'!$E$7</f>
        <v>302</v>
      </c>
    </row>
    <row r="23" spans="1:5" hidden="1" outlineLevel="1" collapsed="1" x14ac:dyDescent="0.35">
      <c r="A23" s="7"/>
      <c r="B23" s="4">
        <f>'Q2'!$B$7</f>
        <v>63</v>
      </c>
      <c r="C23" s="4">
        <f>'Q2'!$C$7</f>
        <v>276</v>
      </c>
      <c r="D23" s="4">
        <f>'Q2'!$D$7</f>
        <v>63</v>
      </c>
      <c r="E23" s="5">
        <f>'Q2'!$E$7</f>
        <v>402</v>
      </c>
    </row>
    <row r="24" spans="1:5" hidden="1" outlineLevel="1" collapsed="1" x14ac:dyDescent="0.35">
      <c r="A24" s="7"/>
      <c r="B24" s="4">
        <f>'Q3'!$B$7</f>
        <v>124</v>
      </c>
      <c r="C24" s="4">
        <f>'Q3'!$C$7</f>
        <v>63</v>
      </c>
      <c r="D24" s="4">
        <f>'Q3'!$D$7</f>
        <v>78</v>
      </c>
      <c r="E24" s="5">
        <f>'Q3'!$E$7</f>
        <v>265</v>
      </c>
    </row>
    <row r="25" spans="1:5" ht="15" collapsed="1" thickBot="1" x14ac:dyDescent="0.4">
      <c r="A25" s="10" t="s">
        <v>10</v>
      </c>
      <c r="B25" s="8">
        <f>SUM(B22:B24)</f>
        <v>234</v>
      </c>
      <c r="C25" s="8">
        <f>SUM(C22:C24)</f>
        <v>473</v>
      </c>
      <c r="D25" s="8">
        <f>SUM(D22:D24)</f>
        <v>262</v>
      </c>
      <c r="E25" s="9">
        <f>SUM(E22:E24)</f>
        <v>969</v>
      </c>
    </row>
    <row r="26" spans="1:5" hidden="1" outlineLevel="1" x14ac:dyDescent="0.35">
      <c r="A26" s="7"/>
      <c r="B26" s="4">
        <f>'Q1'!$B$8</f>
        <v>396</v>
      </c>
      <c r="C26" s="4">
        <f>'Q1'!$C$8</f>
        <v>282</v>
      </c>
      <c r="D26" s="4">
        <f>'Q1'!$D$8</f>
        <v>141</v>
      </c>
      <c r="E26" s="5">
        <f>'Q1'!$E$8</f>
        <v>819</v>
      </c>
    </row>
    <row r="27" spans="1:5" hidden="1" outlineLevel="1" collapsed="1" x14ac:dyDescent="0.35">
      <c r="A27" s="7"/>
      <c r="B27" s="4">
        <f>'Q2'!$B$8</f>
        <v>287</v>
      </c>
      <c r="C27" s="4">
        <f>'Q2'!$C$8</f>
        <v>197</v>
      </c>
      <c r="D27" s="4">
        <f>'Q2'!$D$8</f>
        <v>84</v>
      </c>
      <c r="E27" s="5">
        <f>'Q2'!$E$8</f>
        <v>568</v>
      </c>
    </row>
    <row r="28" spans="1:5" hidden="1" outlineLevel="1" collapsed="1" x14ac:dyDescent="0.35">
      <c r="A28" s="7"/>
      <c r="B28" s="4">
        <f>'Q3'!$B$8</f>
        <v>104</v>
      </c>
      <c r="C28" s="4">
        <f>'Q3'!$C$8</f>
        <v>334</v>
      </c>
      <c r="D28" s="4">
        <f>'Q3'!$D$8</f>
        <v>246</v>
      </c>
      <c r="E28" s="5">
        <f>'Q3'!$E$8</f>
        <v>684</v>
      </c>
    </row>
    <row r="29" spans="1:5" ht="15" collapsed="1" thickBot="1" x14ac:dyDescent="0.4">
      <c r="A29" s="10" t="s">
        <v>11</v>
      </c>
      <c r="B29" s="8">
        <f>SUM(B26:B28)</f>
        <v>787</v>
      </c>
      <c r="C29" s="8">
        <f>SUM(C26:C28)</f>
        <v>813</v>
      </c>
      <c r="D29" s="8">
        <f>SUM(D26:D28)</f>
        <v>471</v>
      </c>
      <c r="E29" s="9">
        <f>SUM(E26:E28)</f>
        <v>2071</v>
      </c>
    </row>
    <row r="30" spans="1:5" hidden="1" outlineLevel="1" x14ac:dyDescent="0.35">
      <c r="A30" s="7"/>
      <c r="B30" s="4">
        <f>'Q1'!$B$9</f>
        <v>291</v>
      </c>
      <c r="C30" s="4">
        <f>'Q1'!$C$9</f>
        <v>359</v>
      </c>
      <c r="D30" s="4">
        <f>'Q1'!$D$9</f>
        <v>167</v>
      </c>
      <c r="E30" s="5">
        <f>'Q1'!$E$9</f>
        <v>817</v>
      </c>
    </row>
    <row r="31" spans="1:5" hidden="1" outlineLevel="1" collapsed="1" x14ac:dyDescent="0.35">
      <c r="A31" s="7"/>
      <c r="B31" s="4">
        <f>'Q2'!$B$9</f>
        <v>193</v>
      </c>
      <c r="C31" s="4">
        <f>'Q2'!$C$9</f>
        <v>177</v>
      </c>
      <c r="D31" s="4">
        <f>'Q2'!$D$9</f>
        <v>276</v>
      </c>
      <c r="E31" s="5">
        <f>'Q2'!$E$9</f>
        <v>646</v>
      </c>
    </row>
    <row r="32" spans="1:5" hidden="1" outlineLevel="1" collapsed="1" x14ac:dyDescent="0.35">
      <c r="A32" s="7"/>
      <c r="B32" s="4">
        <f>'Q3'!$B$9</f>
        <v>288</v>
      </c>
      <c r="C32" s="4">
        <f>'Q3'!$C$9</f>
        <v>107</v>
      </c>
      <c r="D32" s="4">
        <f>'Q3'!$D$9</f>
        <v>325</v>
      </c>
      <c r="E32" s="5">
        <f>'Q3'!$E$9</f>
        <v>720</v>
      </c>
    </row>
    <row r="33" spans="1:5" ht="15" collapsed="1" thickBot="1" x14ac:dyDescent="0.4">
      <c r="A33" s="10" t="s">
        <v>12</v>
      </c>
      <c r="B33" s="8">
        <f>SUM(B30:B32)</f>
        <v>772</v>
      </c>
      <c r="C33" s="8">
        <f>SUM(C30:C32)</f>
        <v>643</v>
      </c>
      <c r="D33" s="8">
        <f>SUM(D30:D32)</f>
        <v>768</v>
      </c>
      <c r="E33" s="9">
        <f>SUM(E30:E32)</f>
        <v>2183</v>
      </c>
    </row>
    <row r="34" spans="1:5" hidden="1" outlineLevel="1" x14ac:dyDescent="0.35">
      <c r="A34" s="7"/>
      <c r="B34" s="4">
        <f>'Q1'!$B$10</f>
        <v>243</v>
      </c>
      <c r="C34" s="4">
        <f>'Q1'!$C$10</f>
        <v>287</v>
      </c>
      <c r="D34" s="4">
        <f>'Q1'!$D$10</f>
        <v>375</v>
      </c>
      <c r="E34" s="5">
        <f>'Q1'!$E$10</f>
        <v>905</v>
      </c>
    </row>
    <row r="35" spans="1:5" hidden="1" outlineLevel="1" collapsed="1" x14ac:dyDescent="0.35">
      <c r="A35" s="7"/>
      <c r="B35" s="4">
        <f>'Q2'!$B$10</f>
        <v>101</v>
      </c>
      <c r="C35" s="4">
        <f>'Q2'!$C$10</f>
        <v>380</v>
      </c>
      <c r="D35" s="4">
        <f>'Q2'!$D$10</f>
        <v>121</v>
      </c>
      <c r="E35" s="5">
        <f>'Q2'!$E$10</f>
        <v>602</v>
      </c>
    </row>
    <row r="36" spans="1:5" hidden="1" outlineLevel="1" collapsed="1" x14ac:dyDescent="0.35">
      <c r="A36" s="7"/>
      <c r="B36" s="4">
        <f>'Q3'!$B$10</f>
        <v>218</v>
      </c>
      <c r="C36" s="4">
        <f>'Q3'!$C$10</f>
        <v>106</v>
      </c>
      <c r="D36" s="4">
        <f>'Q3'!$D$10</f>
        <v>215</v>
      </c>
      <c r="E36" s="5">
        <f>'Q3'!$E$10</f>
        <v>539</v>
      </c>
    </row>
    <row r="37" spans="1:5" ht="15" collapsed="1" thickBot="1" x14ac:dyDescent="0.4">
      <c r="A37" s="10" t="s">
        <v>13</v>
      </c>
      <c r="B37" s="8">
        <f>SUM(B34:B36)</f>
        <v>562</v>
      </c>
      <c r="C37" s="8">
        <f>SUM(C34:C36)</f>
        <v>773</v>
      </c>
      <c r="D37" s="8">
        <f>SUM(D34:D36)</f>
        <v>711</v>
      </c>
      <c r="E37" s="9">
        <f>SUM(E34:E36)</f>
        <v>2046</v>
      </c>
    </row>
    <row r="38" spans="1:5" hidden="1" outlineLevel="1" x14ac:dyDescent="0.35">
      <c r="A38" s="7"/>
      <c r="B38" s="4">
        <f>'Q1'!$B$11</f>
        <v>2463</v>
      </c>
      <c r="C38" s="4">
        <f>'Q1'!$C$11</f>
        <v>2361</v>
      </c>
      <c r="D38" s="4">
        <f>'Q1'!$D$11</f>
        <v>1951</v>
      </c>
      <c r="E38" s="5">
        <f>'Q1'!$E$11</f>
        <v>6775</v>
      </c>
    </row>
    <row r="39" spans="1:5" hidden="1" outlineLevel="1" collapsed="1" x14ac:dyDescent="0.35">
      <c r="A39" s="7"/>
      <c r="B39" s="4">
        <f>'Q2'!$B$11</f>
        <v>1727</v>
      </c>
      <c r="C39" s="4">
        <f>'Q2'!$C$11</f>
        <v>1856</v>
      </c>
      <c r="D39" s="4">
        <f>'Q2'!$D$11</f>
        <v>1622</v>
      </c>
      <c r="E39" s="5">
        <f>'Q2'!$E$11</f>
        <v>5205</v>
      </c>
    </row>
    <row r="40" spans="1:5" hidden="1" outlineLevel="1" collapsed="1" x14ac:dyDescent="0.35">
      <c r="A40" s="7"/>
      <c r="B40" s="4">
        <f>'Q3'!$B$11</f>
        <v>2035</v>
      </c>
      <c r="C40" s="4">
        <f>'Q3'!$C$11</f>
        <v>1554</v>
      </c>
      <c r="D40" s="4">
        <f>'Q3'!$D$11</f>
        <v>1703</v>
      </c>
      <c r="E40" s="5">
        <f>'Q3'!$E$11</f>
        <v>5292</v>
      </c>
    </row>
    <row r="41" spans="1:5" ht="15" collapsed="1" thickBot="1" x14ac:dyDescent="0.4">
      <c r="A41" s="10" t="s">
        <v>4</v>
      </c>
      <c r="B41" s="8">
        <f>SUM(B38:B40)</f>
        <v>6225</v>
      </c>
      <c r="C41" s="8">
        <f>SUM(C38:C40)</f>
        <v>5771</v>
      </c>
      <c r="D41" s="8">
        <f>SUM(D38:D40)</f>
        <v>5276</v>
      </c>
      <c r="E41" s="9">
        <f>SUM(E38:E40)</f>
        <v>17272</v>
      </c>
    </row>
  </sheetData>
  <dataConsolidate leftLabels="1" topLabels="1" link="1">
    <dataRefs count="3">
      <dataRef ref="A1:E11" sheet="Q1"/>
      <dataRef ref="A1:E11" sheet="Q2"/>
      <dataRef ref="A1:E11" sheet="Q3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1B39-90A5-4193-BD30-92343768C418}">
  <dimension ref="A1:G41"/>
  <sheetViews>
    <sheetView workbookViewId="0">
      <selection activeCell="J21" sqref="J21"/>
    </sheetView>
  </sheetViews>
  <sheetFormatPr defaultRowHeight="14.5" outlineLevelRow="1" x14ac:dyDescent="0.35"/>
  <cols>
    <col min="1" max="1" width="12.26953125" bestFit="1" customWidth="1"/>
    <col min="2" max="5" width="4.81640625" bestFit="1" customWidth="1"/>
  </cols>
  <sheetData>
    <row r="1" spans="1:5" x14ac:dyDescent="0.35">
      <c r="A1" s="13"/>
      <c r="B1" s="14" t="s">
        <v>1</v>
      </c>
      <c r="C1" s="14" t="s">
        <v>2</v>
      </c>
      <c r="D1" s="14" t="s">
        <v>3</v>
      </c>
      <c r="E1" s="14" t="s">
        <v>4</v>
      </c>
    </row>
    <row r="2" spans="1:5" hidden="1" outlineLevel="1" x14ac:dyDescent="0.35">
      <c r="A2" s="15"/>
      <c r="B2" s="16">
        <f>'Q1'!$B$2</f>
        <v>2000</v>
      </c>
      <c r="C2" s="16">
        <f>'Q1'!$C$2</f>
        <v>348</v>
      </c>
      <c r="D2" s="16">
        <f>'Q1'!$D$2</f>
        <v>60</v>
      </c>
      <c r="E2" s="16">
        <f>'Q1'!$E$2</f>
        <v>697</v>
      </c>
    </row>
    <row r="3" spans="1:5" hidden="1" outlineLevel="1" collapsed="1" x14ac:dyDescent="0.35">
      <c r="A3" s="15"/>
      <c r="B3" s="16">
        <f>'Q2'!$B$2</f>
        <v>307</v>
      </c>
      <c r="C3" s="16">
        <f>'Q2'!$C$2</f>
        <v>196</v>
      </c>
      <c r="D3" s="16">
        <f>'Q2'!$D$2</f>
        <v>362</v>
      </c>
      <c r="E3" s="16">
        <f>'Q2'!$E$2</f>
        <v>865</v>
      </c>
    </row>
    <row r="4" spans="1:5" hidden="1" outlineLevel="1" collapsed="1" x14ac:dyDescent="0.35">
      <c r="A4" s="15"/>
      <c r="B4" s="16">
        <f>'Q3'!$B$2</f>
        <v>228</v>
      </c>
      <c r="C4" s="16">
        <f>'Q3'!$C$2</f>
        <v>100</v>
      </c>
      <c r="D4" s="16">
        <f>'Q3'!$D$2</f>
        <v>80</v>
      </c>
      <c r="E4" s="16">
        <f>'Q3'!$E$2</f>
        <v>408</v>
      </c>
    </row>
    <row r="5" spans="1:5" collapsed="1" x14ac:dyDescent="0.35">
      <c r="A5" s="17" t="s">
        <v>5</v>
      </c>
      <c r="B5" s="16">
        <f>MAX(B2:B4)</f>
        <v>2000</v>
      </c>
      <c r="C5" s="16">
        <f>MAX(C2:C4)</f>
        <v>348</v>
      </c>
      <c r="D5" s="16">
        <f>MAX(D2:D4)</f>
        <v>362</v>
      </c>
      <c r="E5" s="16">
        <f>MAX(E2:E4)</f>
        <v>865</v>
      </c>
    </row>
    <row r="6" spans="1:5" hidden="1" outlineLevel="1" x14ac:dyDescent="0.35">
      <c r="A6" s="15"/>
      <c r="B6" s="16">
        <f>'Q1'!$B$3</f>
        <v>288</v>
      </c>
      <c r="C6" s="16">
        <f>'Q1'!$C$3</f>
        <v>145</v>
      </c>
      <c r="D6" s="16">
        <f>'Q1'!$D$3</f>
        <v>149</v>
      </c>
      <c r="E6" s="16">
        <f>'Q1'!$E$3</f>
        <v>582</v>
      </c>
    </row>
    <row r="7" spans="1:5" hidden="1" outlineLevel="1" collapsed="1" x14ac:dyDescent="0.35">
      <c r="A7" s="15"/>
      <c r="B7" s="16">
        <f>'Q2'!$B$3</f>
        <v>160</v>
      </c>
      <c r="C7" s="16">
        <f>'Q2'!$C$3</f>
        <v>178</v>
      </c>
      <c r="D7" s="16">
        <f>'Q2'!$D$3</f>
        <v>21</v>
      </c>
      <c r="E7" s="16">
        <f>'Q2'!$E$3</f>
        <v>359</v>
      </c>
    </row>
    <row r="8" spans="1:5" hidden="1" outlineLevel="1" collapsed="1" x14ac:dyDescent="0.35">
      <c r="A8" s="15"/>
      <c r="B8" s="16">
        <f>'Q3'!$B$3</f>
        <v>269</v>
      </c>
      <c r="C8" s="16">
        <f>'Q3'!$C$3</f>
        <v>309</v>
      </c>
      <c r="D8" s="16">
        <f>'Q3'!$D$3</f>
        <v>182</v>
      </c>
      <c r="E8" s="16">
        <f>'Q3'!$E$3</f>
        <v>760</v>
      </c>
    </row>
    <row r="9" spans="1:5" collapsed="1" x14ac:dyDescent="0.35">
      <c r="A9" s="17" t="s">
        <v>6</v>
      </c>
      <c r="B9" s="16">
        <f>MAX(B6:B8)</f>
        <v>288</v>
      </c>
      <c r="C9" s="16">
        <f>MAX(C6:C8)</f>
        <v>309</v>
      </c>
      <c r="D9" s="16">
        <f>MAX(D6:D8)</f>
        <v>182</v>
      </c>
      <c r="E9" s="16">
        <f>MAX(E6:E8)</f>
        <v>760</v>
      </c>
    </row>
    <row r="10" spans="1:5" hidden="1" outlineLevel="1" x14ac:dyDescent="0.35">
      <c r="A10" s="15"/>
      <c r="B10" s="16">
        <f>'Q1'!$B$4</f>
        <v>299</v>
      </c>
      <c r="C10" s="16">
        <f>'Q1'!$C$4</f>
        <v>192</v>
      </c>
      <c r="D10" s="16">
        <f>'Q1'!$D$4</f>
        <v>288</v>
      </c>
      <c r="E10" s="16">
        <f>'Q1'!$E$4</f>
        <v>779</v>
      </c>
    </row>
    <row r="11" spans="1:5" hidden="1" outlineLevel="1" collapsed="1" x14ac:dyDescent="0.35">
      <c r="A11" s="15"/>
      <c r="B11" s="16">
        <f>'Q2'!$B$4</f>
        <v>144</v>
      </c>
      <c r="C11" s="16">
        <f>'Q2'!$C$4</f>
        <v>139</v>
      </c>
      <c r="D11" s="16">
        <f>'Q2'!$D$4</f>
        <v>198</v>
      </c>
      <c r="E11" s="16">
        <f>'Q2'!$E$4</f>
        <v>481</v>
      </c>
    </row>
    <row r="12" spans="1:5" hidden="1" outlineLevel="1" collapsed="1" x14ac:dyDescent="0.35">
      <c r="A12" s="15"/>
      <c r="B12" s="16">
        <f>'Q3'!$B$4</f>
        <v>276</v>
      </c>
      <c r="C12" s="16">
        <f>'Q3'!$C$4</f>
        <v>108</v>
      </c>
      <c r="D12" s="16">
        <f>'Q3'!$D$4</f>
        <v>204</v>
      </c>
      <c r="E12" s="16">
        <f>'Q3'!$E$4</f>
        <v>588</v>
      </c>
    </row>
    <row r="13" spans="1:5" collapsed="1" x14ac:dyDescent="0.35">
      <c r="A13" s="17" t="s">
        <v>7</v>
      </c>
      <c r="B13" s="16">
        <f>MAX(B10:B12)</f>
        <v>299</v>
      </c>
      <c r="C13" s="16">
        <f>MAX(C10:C12)</f>
        <v>192</v>
      </c>
      <c r="D13" s="16">
        <f>MAX(D10:D12)</f>
        <v>288</v>
      </c>
      <c r="E13" s="16">
        <f>MAX(E10:E12)</f>
        <v>779</v>
      </c>
    </row>
    <row r="14" spans="1:5" hidden="1" outlineLevel="1" x14ac:dyDescent="0.35">
      <c r="A14" s="15"/>
      <c r="B14" s="16">
        <f>'Q1'!$B$5</f>
        <v>360</v>
      </c>
      <c r="C14" s="16">
        <f>'Q1'!$C$5</f>
        <v>219</v>
      </c>
      <c r="D14" s="16">
        <f>'Q1'!$D$5</f>
        <v>389</v>
      </c>
      <c r="E14" s="16">
        <f>'Q1'!$E$5</f>
        <v>968</v>
      </c>
    </row>
    <row r="15" spans="1:5" hidden="1" outlineLevel="1" collapsed="1" x14ac:dyDescent="0.35">
      <c r="A15" s="15"/>
      <c r="B15" s="16">
        <f>'Q2'!$B$5</f>
        <v>289</v>
      </c>
      <c r="C15" s="16">
        <f>'Q2'!$C$5</f>
        <v>69</v>
      </c>
      <c r="D15" s="16">
        <f>'Q2'!$D$5</f>
        <v>139</v>
      </c>
      <c r="E15" s="16">
        <f>'Q2'!$E$5</f>
        <v>497</v>
      </c>
    </row>
    <row r="16" spans="1:5" hidden="1" outlineLevel="1" collapsed="1" x14ac:dyDescent="0.35">
      <c r="A16" s="15"/>
      <c r="B16" s="16">
        <f>'Q3'!$B$5</f>
        <v>307</v>
      </c>
      <c r="C16" s="16">
        <f>'Q3'!$C$5</f>
        <v>234</v>
      </c>
      <c r="D16" s="16">
        <f>'Q3'!$D$5</f>
        <v>175</v>
      </c>
      <c r="E16" s="16">
        <f>'Q3'!$E$5</f>
        <v>716</v>
      </c>
    </row>
    <row r="17" spans="1:5" collapsed="1" x14ac:dyDescent="0.35">
      <c r="A17" s="17" t="s">
        <v>8</v>
      </c>
      <c r="B17" s="16">
        <f>MAX(B14:B16)</f>
        <v>360</v>
      </c>
      <c r="C17" s="16">
        <f>MAX(C14:C16)</f>
        <v>234</v>
      </c>
      <c r="D17" s="16">
        <f>MAX(D14:D16)</f>
        <v>389</v>
      </c>
      <c r="E17" s="16">
        <f>MAX(E14:E16)</f>
        <v>968</v>
      </c>
    </row>
    <row r="18" spans="1:5" hidden="1" outlineLevel="1" x14ac:dyDescent="0.35">
      <c r="A18" s="15"/>
      <c r="B18" s="16">
        <f>'Q1'!$B$6</f>
        <v>250</v>
      </c>
      <c r="C18" s="16">
        <f>'Q1'!$C$6</f>
        <v>395</v>
      </c>
      <c r="D18" s="16">
        <f>'Q1'!$D$6</f>
        <v>261</v>
      </c>
      <c r="E18" s="16">
        <f>'Q1'!$E$6</f>
        <v>906</v>
      </c>
    </row>
    <row r="19" spans="1:5" hidden="1" outlineLevel="1" collapsed="1" x14ac:dyDescent="0.35">
      <c r="A19" s="15"/>
      <c r="B19" s="16">
        <f>'Q2'!$B$6</f>
        <v>183</v>
      </c>
      <c r="C19" s="16">
        <f>'Q2'!$C$6</f>
        <v>244</v>
      </c>
      <c r="D19" s="16">
        <f>'Q2'!$D$6</f>
        <v>358</v>
      </c>
      <c r="E19" s="16">
        <f>'Q2'!$E$6</f>
        <v>785</v>
      </c>
    </row>
    <row r="20" spans="1:5" hidden="1" outlineLevel="1" collapsed="1" x14ac:dyDescent="0.35">
      <c r="A20" s="15"/>
      <c r="B20" s="16">
        <f>'Q3'!$B$6</f>
        <v>221</v>
      </c>
      <c r="C20" s="16">
        <f>'Q3'!$C$6</f>
        <v>193</v>
      </c>
      <c r="D20" s="16">
        <f>'Q3'!$D$6</f>
        <v>198</v>
      </c>
      <c r="E20" s="16">
        <f>'Q3'!$E$6</f>
        <v>612</v>
      </c>
    </row>
    <row r="21" spans="1:5" collapsed="1" x14ac:dyDescent="0.35">
      <c r="A21" s="17" t="s">
        <v>9</v>
      </c>
      <c r="B21" s="16">
        <f>MAX(B18:B20)</f>
        <v>250</v>
      </c>
      <c r="C21" s="16">
        <f>MAX(C18:C20)</f>
        <v>395</v>
      </c>
      <c r="D21" s="16">
        <f>MAX(D18:D20)</f>
        <v>358</v>
      </c>
      <c r="E21" s="16">
        <f>MAX(E18:E20)</f>
        <v>906</v>
      </c>
    </row>
    <row r="22" spans="1:5" hidden="1" outlineLevel="1" x14ac:dyDescent="0.35">
      <c r="A22" s="15"/>
      <c r="B22" s="16">
        <f>'Q1'!$B$7</f>
        <v>47</v>
      </c>
      <c r="C22" s="16">
        <f>'Q1'!$C$7</f>
        <v>134</v>
      </c>
      <c r="D22" s="16">
        <f>'Q1'!$D$7</f>
        <v>121</v>
      </c>
      <c r="E22" s="16">
        <f>'Q1'!$E$7</f>
        <v>302</v>
      </c>
    </row>
    <row r="23" spans="1:5" hidden="1" outlineLevel="1" collapsed="1" x14ac:dyDescent="0.35">
      <c r="A23" s="15"/>
      <c r="B23" s="16">
        <f>'Q2'!$B$7</f>
        <v>63</v>
      </c>
      <c r="C23" s="16">
        <f>'Q2'!$C$7</f>
        <v>276</v>
      </c>
      <c r="D23" s="16">
        <f>'Q2'!$D$7</f>
        <v>63</v>
      </c>
      <c r="E23" s="16">
        <f>'Q2'!$E$7</f>
        <v>402</v>
      </c>
    </row>
    <row r="24" spans="1:5" hidden="1" outlineLevel="1" collapsed="1" x14ac:dyDescent="0.35">
      <c r="A24" s="15"/>
      <c r="B24" s="16">
        <f>'Q3'!$B$7</f>
        <v>124</v>
      </c>
      <c r="C24" s="16">
        <f>'Q3'!$C$7</f>
        <v>63</v>
      </c>
      <c r="D24" s="16">
        <f>'Q3'!$D$7</f>
        <v>78</v>
      </c>
      <c r="E24" s="16">
        <f>'Q3'!$E$7</f>
        <v>265</v>
      </c>
    </row>
    <row r="25" spans="1:5" collapsed="1" x14ac:dyDescent="0.35">
      <c r="A25" s="17" t="s">
        <v>10</v>
      </c>
      <c r="B25" s="16">
        <f>MAX(B22:B24)</f>
        <v>124</v>
      </c>
      <c r="C25" s="16">
        <f>MAX(C22:C24)</f>
        <v>276</v>
      </c>
      <c r="D25" s="16">
        <f>MAX(D22:D24)</f>
        <v>121</v>
      </c>
      <c r="E25" s="16">
        <f>MAX(E22:E24)</f>
        <v>402</v>
      </c>
    </row>
    <row r="26" spans="1:5" hidden="1" outlineLevel="1" x14ac:dyDescent="0.35">
      <c r="A26" s="15"/>
      <c r="B26" s="16">
        <f>'Q1'!$B$8</f>
        <v>396</v>
      </c>
      <c r="C26" s="16">
        <f>'Q1'!$C$8</f>
        <v>282</v>
      </c>
      <c r="D26" s="16">
        <f>'Q1'!$D$8</f>
        <v>141</v>
      </c>
      <c r="E26" s="16">
        <f>'Q1'!$E$8</f>
        <v>819</v>
      </c>
    </row>
    <row r="27" spans="1:5" hidden="1" outlineLevel="1" collapsed="1" x14ac:dyDescent="0.35">
      <c r="A27" s="15"/>
      <c r="B27" s="16">
        <f>'Q2'!$B$8</f>
        <v>287</v>
      </c>
      <c r="C27" s="16">
        <f>'Q2'!$C$8</f>
        <v>197</v>
      </c>
      <c r="D27" s="16">
        <f>'Q2'!$D$8</f>
        <v>84</v>
      </c>
      <c r="E27" s="16">
        <f>'Q2'!$E$8</f>
        <v>568</v>
      </c>
    </row>
    <row r="28" spans="1:5" hidden="1" outlineLevel="1" collapsed="1" x14ac:dyDescent="0.35">
      <c r="A28" s="15"/>
      <c r="B28" s="16">
        <f>'Q3'!$B$8</f>
        <v>104</v>
      </c>
      <c r="C28" s="16">
        <f>'Q3'!$C$8</f>
        <v>334</v>
      </c>
      <c r="D28" s="16">
        <f>'Q3'!$D$8</f>
        <v>246</v>
      </c>
      <c r="E28" s="16">
        <f>'Q3'!$E$8</f>
        <v>684</v>
      </c>
    </row>
    <row r="29" spans="1:5" collapsed="1" x14ac:dyDescent="0.35">
      <c r="A29" s="17" t="s">
        <v>11</v>
      </c>
      <c r="B29" s="16">
        <f>MAX(B26:B28)</f>
        <v>396</v>
      </c>
      <c r="C29" s="16">
        <f>MAX(C26:C28)</f>
        <v>334</v>
      </c>
      <c r="D29" s="16">
        <f>MAX(D26:D28)</f>
        <v>246</v>
      </c>
      <c r="E29" s="16">
        <f>MAX(E26:E28)</f>
        <v>819</v>
      </c>
    </row>
    <row r="30" spans="1:5" hidden="1" outlineLevel="1" x14ac:dyDescent="0.35">
      <c r="A30" s="15"/>
      <c r="B30" s="16">
        <f>'Q1'!$B$9</f>
        <v>291</v>
      </c>
      <c r="C30" s="16">
        <f>'Q1'!$C$9</f>
        <v>359</v>
      </c>
      <c r="D30" s="16">
        <f>'Q1'!$D$9</f>
        <v>167</v>
      </c>
      <c r="E30" s="16">
        <f>'Q1'!$E$9</f>
        <v>817</v>
      </c>
    </row>
    <row r="31" spans="1:5" hidden="1" outlineLevel="1" collapsed="1" x14ac:dyDescent="0.35">
      <c r="A31" s="15"/>
      <c r="B31" s="16">
        <f>'Q2'!$B$9</f>
        <v>193</v>
      </c>
      <c r="C31" s="16">
        <f>'Q2'!$C$9</f>
        <v>177</v>
      </c>
      <c r="D31" s="16">
        <f>'Q2'!$D$9</f>
        <v>276</v>
      </c>
      <c r="E31" s="16">
        <f>'Q2'!$E$9</f>
        <v>646</v>
      </c>
    </row>
    <row r="32" spans="1:5" hidden="1" outlineLevel="1" collapsed="1" x14ac:dyDescent="0.35">
      <c r="A32" s="15"/>
      <c r="B32" s="16">
        <f>'Q3'!$B$9</f>
        <v>288</v>
      </c>
      <c r="C32" s="16">
        <f>'Q3'!$C$9</f>
        <v>107</v>
      </c>
      <c r="D32" s="16">
        <f>'Q3'!$D$9</f>
        <v>325</v>
      </c>
      <c r="E32" s="16">
        <f>'Q3'!$E$9</f>
        <v>720</v>
      </c>
    </row>
    <row r="33" spans="1:7" collapsed="1" x14ac:dyDescent="0.35">
      <c r="A33" s="17" t="s">
        <v>12</v>
      </c>
      <c r="B33" s="16">
        <f>MAX(B30:B32)</f>
        <v>291</v>
      </c>
      <c r="C33" s="16">
        <f>MAX(C30:C32)</f>
        <v>359</v>
      </c>
      <c r="D33" s="16">
        <f>MAX(D30:D32)</f>
        <v>325</v>
      </c>
      <c r="E33" s="16">
        <f>MAX(E30:E32)</f>
        <v>817</v>
      </c>
    </row>
    <row r="34" spans="1:7" hidden="1" outlineLevel="1" x14ac:dyDescent="0.35">
      <c r="A34" s="15"/>
      <c r="B34" s="16">
        <f>'Q1'!$B$10</f>
        <v>243</v>
      </c>
      <c r="C34" s="16">
        <f>'Q1'!$C$10</f>
        <v>287</v>
      </c>
      <c r="D34" s="16">
        <f>'Q1'!$D$10</f>
        <v>375</v>
      </c>
      <c r="E34" s="16">
        <f>'Q1'!$E$10</f>
        <v>905</v>
      </c>
    </row>
    <row r="35" spans="1:7" hidden="1" outlineLevel="1" collapsed="1" x14ac:dyDescent="0.35">
      <c r="A35" s="15"/>
      <c r="B35" s="16">
        <f>'Q2'!$B$10</f>
        <v>101</v>
      </c>
      <c r="C35" s="16">
        <f>'Q2'!$C$10</f>
        <v>380</v>
      </c>
      <c r="D35" s="16">
        <f>'Q2'!$D$10</f>
        <v>121</v>
      </c>
      <c r="E35" s="16">
        <f>'Q2'!$E$10</f>
        <v>602</v>
      </c>
    </row>
    <row r="36" spans="1:7" hidden="1" outlineLevel="1" collapsed="1" x14ac:dyDescent="0.35">
      <c r="A36" s="15"/>
      <c r="B36" s="16">
        <f>'Q3'!$B$10</f>
        <v>218</v>
      </c>
      <c r="C36" s="16">
        <f>'Q3'!$C$10</f>
        <v>106</v>
      </c>
      <c r="D36" s="16">
        <f>'Q3'!$D$10</f>
        <v>215</v>
      </c>
      <c r="E36" s="16">
        <f>'Q3'!$E$10</f>
        <v>539</v>
      </c>
    </row>
    <row r="37" spans="1:7" collapsed="1" x14ac:dyDescent="0.35">
      <c r="A37" s="17" t="s">
        <v>13</v>
      </c>
      <c r="B37" s="16">
        <f>MAX(B34:B36)</f>
        <v>243</v>
      </c>
      <c r="C37" s="16">
        <f>MAX(C34:C36)</f>
        <v>380</v>
      </c>
      <c r="D37" s="16">
        <f>MAX(D34:D36)</f>
        <v>375</v>
      </c>
      <c r="E37" s="16">
        <f>MAX(E34:E36)</f>
        <v>905</v>
      </c>
      <c r="G37" s="18"/>
    </row>
    <row r="38" spans="1:7" hidden="1" outlineLevel="1" x14ac:dyDescent="0.35">
      <c r="A38" s="15"/>
      <c r="B38" s="16">
        <f>'Q1'!$B$11</f>
        <v>2463</v>
      </c>
      <c r="C38" s="16">
        <f>'Q1'!$C$11</f>
        <v>2361</v>
      </c>
      <c r="D38" s="16">
        <f>'Q1'!$D$11</f>
        <v>1951</v>
      </c>
      <c r="E38" s="16">
        <f>'Q1'!$E$11</f>
        <v>6775</v>
      </c>
    </row>
    <row r="39" spans="1:7" hidden="1" outlineLevel="1" collapsed="1" x14ac:dyDescent="0.35">
      <c r="A39" s="15"/>
      <c r="B39" s="16">
        <f>'Q2'!$B$11</f>
        <v>1727</v>
      </c>
      <c r="C39" s="16">
        <f>'Q2'!$C$11</f>
        <v>1856</v>
      </c>
      <c r="D39" s="16">
        <f>'Q2'!$D$11</f>
        <v>1622</v>
      </c>
      <c r="E39" s="16">
        <f>'Q2'!$E$11</f>
        <v>5205</v>
      </c>
    </row>
    <row r="40" spans="1:7" hidden="1" outlineLevel="1" collapsed="1" x14ac:dyDescent="0.35">
      <c r="A40" s="15"/>
      <c r="B40" s="16">
        <f>'Q3'!$B$11</f>
        <v>2035</v>
      </c>
      <c r="C40" s="16">
        <f>'Q3'!$C$11</f>
        <v>1554</v>
      </c>
      <c r="D40" s="16">
        <f>'Q3'!$D$11</f>
        <v>1703</v>
      </c>
      <c r="E40" s="16">
        <f>'Q3'!$E$11</f>
        <v>5292</v>
      </c>
    </row>
    <row r="41" spans="1:7" collapsed="1" x14ac:dyDescent="0.35">
      <c r="A41" s="17" t="s">
        <v>4</v>
      </c>
      <c r="B41" s="16">
        <f>MAX(B38:B40)</f>
        <v>2463</v>
      </c>
      <c r="C41" s="16">
        <f>MAX(C38:C40)</f>
        <v>2361</v>
      </c>
      <c r="D41" s="16">
        <f>MAX(D38:D40)</f>
        <v>1951</v>
      </c>
      <c r="E41" s="16">
        <f>MAX(E38:E40)</f>
        <v>6775</v>
      </c>
    </row>
  </sheetData>
  <dataConsolidate function="max" leftLabels="1" topLabels="1" link="1">
    <dataRefs count="3">
      <dataRef ref="A1:E11" sheet="Q1"/>
      <dataRef ref="A1:E11" sheet="Q2"/>
      <dataRef ref="A1:E11" sheet="Q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sum</vt:lpstr>
      <vt:lpstr>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vishwas9302821830@outlook.com</dc:creator>
  <cp:lastModifiedBy>vishwas9302821830@outlook.com</cp:lastModifiedBy>
  <dcterms:created xsi:type="dcterms:W3CDTF">2026-08-19T06:42:35Z</dcterms:created>
  <dcterms:modified xsi:type="dcterms:W3CDTF">2026-08-19T07:14:35Z</dcterms:modified>
</cp:coreProperties>
</file>