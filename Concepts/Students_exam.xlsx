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S SHARMA\Documents\Xcel_portfolio\Concepts\"/>
    </mc:Choice>
  </mc:AlternateContent>
  <xr:revisionPtr revIDLastSave="0" documentId="13_ncr:1_{EC022CEC-8052-4AD6-B5F8-9D93AA0F76A0}" xr6:coauthVersionLast="47" xr6:coauthVersionMax="47" xr10:uidLastSave="{00000000-0000-0000-0000-000000000000}"/>
  <bookViews>
    <workbookView xWindow="-110" yWindow="-110" windowWidth="19420" windowHeight="11020" xr2:uid="{B66048DD-7182-4B73-B64A-E54DCFD05013}"/>
  </bookViews>
  <sheets>
    <sheet name="Students_m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S2" i="1"/>
  <c r="N2" i="1"/>
  <c r="T3" i="1" a="1"/>
  <c r="T3" i="1"/>
  <c r="T4" i="1" a="1"/>
  <c r="T4" i="1"/>
  <c r="T5" i="1" a="1"/>
  <c r="T5" i="1"/>
  <c r="T6" i="1" a="1"/>
  <c r="T6" i="1"/>
  <c r="T7" i="1" a="1"/>
  <c r="T7" i="1"/>
  <c r="T8" i="1" a="1"/>
  <c r="T8" i="1"/>
  <c r="T9" i="1" a="1"/>
  <c r="T9" i="1"/>
  <c r="T10" i="1" a="1"/>
  <c r="T10" i="1"/>
  <c r="T11" i="1" a="1"/>
  <c r="T11" i="1"/>
  <c r="T2" i="1" a="1"/>
  <c r="T2" i="1" s="1"/>
  <c r="S3" i="1"/>
  <c r="S4" i="1"/>
  <c r="S5" i="1"/>
  <c r="S6" i="1"/>
  <c r="S7" i="1"/>
  <c r="S8" i="1"/>
  <c r="S9" i="1"/>
  <c r="S10" i="1"/>
  <c r="S11" i="1"/>
  <c r="R3" i="1"/>
  <c r="R4" i="1"/>
  <c r="R5" i="1"/>
  <c r="R6" i="1"/>
  <c r="R7" i="1"/>
  <c r="R8" i="1"/>
  <c r="R9" i="1"/>
  <c r="R10" i="1"/>
  <c r="R11" i="1"/>
  <c r="Q3" i="1"/>
  <c r="Q4" i="1"/>
  <c r="Q5" i="1"/>
  <c r="Q6" i="1"/>
  <c r="Q7" i="1"/>
  <c r="Q8" i="1"/>
  <c r="Q9" i="1"/>
  <c r="Q10" i="1"/>
  <c r="Q11" i="1"/>
  <c r="P3" i="1"/>
  <c r="P4" i="1"/>
  <c r="P5" i="1"/>
  <c r="P6" i="1"/>
  <c r="P7" i="1"/>
  <c r="P8" i="1"/>
  <c r="P9" i="1"/>
  <c r="P10" i="1"/>
  <c r="P11" i="1"/>
  <c r="O3" i="1"/>
  <c r="O4" i="1"/>
  <c r="O5" i="1"/>
  <c r="O6" i="1"/>
  <c r="O7" i="1"/>
  <c r="O8" i="1"/>
  <c r="O9" i="1"/>
  <c r="O10" i="1"/>
  <c r="O11" i="1"/>
  <c r="N3" i="1"/>
  <c r="N4" i="1"/>
  <c r="N5" i="1"/>
  <c r="N6" i="1"/>
  <c r="N7" i="1"/>
  <c r="N8" i="1"/>
  <c r="N9" i="1"/>
  <c r="N10" i="1"/>
  <c r="N11" i="1"/>
  <c r="P2" i="1"/>
  <c r="Q2" i="1"/>
  <c r="O2" i="1"/>
  <c r="M3" i="1"/>
  <c r="M4" i="1"/>
  <c r="M5" i="1"/>
  <c r="M6" i="1"/>
  <c r="M7" i="1"/>
  <c r="M8" i="1"/>
  <c r="M9" i="1"/>
  <c r="M10" i="1"/>
  <c r="M11" i="1"/>
  <c r="M2" i="1"/>
  <c r="L3" i="1"/>
  <c r="L7" i="1"/>
  <c r="L8" i="1"/>
  <c r="L9" i="1"/>
  <c r="L10" i="1"/>
  <c r="L11" i="1"/>
  <c r="D15" i="1"/>
  <c r="E15" i="1"/>
  <c r="F15" i="1"/>
  <c r="G15" i="1"/>
  <c r="D14" i="1"/>
  <c r="E14" i="1"/>
  <c r="F14" i="1"/>
  <c r="G14" i="1"/>
  <c r="D13" i="1"/>
  <c r="E13" i="1"/>
  <c r="F13" i="1"/>
  <c r="G13" i="1"/>
  <c r="C13" i="1"/>
  <c r="C15" i="1"/>
  <c r="C14" i="1"/>
  <c r="D12" i="1"/>
  <c r="E12" i="1"/>
  <c r="F12" i="1"/>
  <c r="G12" i="1"/>
  <c r="C12" i="1"/>
  <c r="K3" i="1"/>
  <c r="K4" i="1"/>
  <c r="L4" i="1" s="1"/>
  <c r="K5" i="1"/>
  <c r="L5" i="1" s="1"/>
  <c r="K6" i="1"/>
  <c r="L6" i="1" s="1"/>
  <c r="K7" i="1"/>
  <c r="K8" i="1"/>
  <c r="K9" i="1"/>
  <c r="K10" i="1"/>
  <c r="K11" i="1"/>
  <c r="K2" i="1"/>
  <c r="L2" i="1" s="1"/>
  <c r="J3" i="1"/>
  <c r="J4" i="1"/>
  <c r="J5" i="1"/>
  <c r="J6" i="1"/>
  <c r="J7" i="1"/>
  <c r="J8" i="1"/>
  <c r="J9" i="1"/>
  <c r="J10" i="1"/>
  <c r="J11" i="1"/>
  <c r="J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2" i="1"/>
  <c r="I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<sst xmlns="http://schemas.openxmlformats.org/spreadsheetml/2006/main" count="34" uniqueCount="30">
  <si>
    <t>S. No</t>
  </si>
  <si>
    <t>Name</t>
  </si>
  <si>
    <t>Hindi</t>
  </si>
  <si>
    <t>Eng</t>
  </si>
  <si>
    <t>Maths</t>
  </si>
  <si>
    <t>G.K.</t>
  </si>
  <si>
    <t>Computer</t>
  </si>
  <si>
    <t>Total</t>
  </si>
  <si>
    <t>Min</t>
  </si>
  <si>
    <t>Max</t>
  </si>
  <si>
    <t>Avg</t>
  </si>
  <si>
    <t>if</t>
  </si>
  <si>
    <t>Maths_st</t>
  </si>
  <si>
    <t>Eng_st</t>
  </si>
  <si>
    <t>Hindi_st</t>
  </si>
  <si>
    <t>Comp_st</t>
  </si>
  <si>
    <t>G.K._st</t>
  </si>
  <si>
    <t>if/and</t>
  </si>
  <si>
    <t>If/or</t>
  </si>
  <si>
    <t>ifs</t>
  </si>
  <si>
    <t>Yatin</t>
  </si>
  <si>
    <t>Yaksh</t>
  </si>
  <si>
    <t xml:space="preserve">Vishwas </t>
  </si>
  <si>
    <t>Uma</t>
  </si>
  <si>
    <t>Naman</t>
  </si>
  <si>
    <t>Kamal</t>
  </si>
  <si>
    <t>Jayash</t>
  </si>
  <si>
    <t>Jatin</t>
  </si>
  <si>
    <t>Aryan</t>
  </si>
  <si>
    <t>Aaditya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</si>
</sst>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1" fillId="3" borderId="1" xfId="1" applyFill="1" applyBorder="1" applyAlignment="1">
      <alignment vertical="center"/>
    </xf>
    <xf numFmtId="0" fontId="1" fillId="4" borderId="1" xfId="1" applyFill="1" applyBorder="1" applyAlignment="1">
      <alignment vertical="center"/>
    </xf>
    <xf numFmtId="0" fontId="0" fillId="4" borderId="1" xfId="0" applyFill="1" applyBorder="1"/>
    <xf numFmtId="0" fontId="2" fillId="4" borderId="7" xfId="0" applyFont="1" applyFill="1" applyBorder="1"/>
    <xf numFmtId="0" fontId="2" fillId="4" borderId="4" xfId="0" applyFont="1" applyFill="1" applyBorder="1"/>
    <xf numFmtId="0" fontId="2" fillId="4" borderId="2" xfId="0" applyFont="1" applyFill="1" applyBorder="1"/>
    <xf numFmtId="0" fontId="1" fillId="4" borderId="6" xfId="1" applyFill="1" applyBorder="1" applyAlignment="1">
      <alignment vertical="center"/>
    </xf>
    <xf numFmtId="0" fontId="1" fillId="3" borderId="11" xfId="1" applyFill="1" applyBorder="1" applyAlignment="1">
      <alignment vertical="center"/>
    </xf>
    <xf numFmtId="0" fontId="1" fillId="5" borderId="0" xfId="1" applyFill="1" applyBorder="1" applyAlignment="1">
      <alignment vertical="center"/>
    </xf>
    <xf numFmtId="0" fontId="1" fillId="5" borderId="11" xfId="1" applyFill="1" applyBorder="1" applyAlignment="1">
      <alignment vertical="center"/>
    </xf>
    <xf numFmtId="0" fontId="1" fillId="5" borderId="12" xfId="1" applyFill="1" applyBorder="1" applyAlignment="1">
      <alignment vertical="center"/>
    </xf>
    <xf numFmtId="0" fontId="1" fillId="5" borderId="10" xfId="1" applyFill="1" applyBorder="1" applyAlignment="1">
      <alignment vertical="center"/>
    </xf>
    <xf numFmtId="0" fontId="1" fillId="5" borderId="13" xfId="1" applyFill="1" applyBorder="1" applyAlignment="1">
      <alignment vertical="center"/>
    </xf>
    <xf numFmtId="0" fontId="1" fillId="5" borderId="14" xfId="1" applyFill="1" applyBorder="1" applyAlignment="1">
      <alignment vertical="center"/>
    </xf>
    <xf numFmtId="0" fontId="0" fillId="5" borderId="14" xfId="0" applyFill="1" applyBorder="1"/>
    <xf numFmtId="0" fontId="0" fillId="5" borderId="15" xfId="0" applyFill="1" applyBorder="1"/>
    <xf numFmtId="0" fontId="1" fillId="5" borderId="16" xfId="1" applyFill="1" applyBorder="1" applyAlignment="1">
      <alignment vertical="center"/>
    </xf>
    <xf numFmtId="0" fontId="0" fillId="5" borderId="0" xfId="0" applyFill="1" applyBorder="1"/>
    <xf numFmtId="0" fontId="0" fillId="5" borderId="17" xfId="0" applyFill="1" applyBorder="1"/>
    <xf numFmtId="0" fontId="1" fillId="5" borderId="8" xfId="1" applyFill="1" applyBorder="1" applyAlignment="1">
      <alignment vertical="center"/>
    </xf>
    <xf numFmtId="0" fontId="1" fillId="5" borderId="3" xfId="1" applyFill="1" applyBorder="1" applyAlignment="1">
      <alignment vertical="center"/>
    </xf>
    <xf numFmtId="0" fontId="0" fillId="5" borderId="3" xfId="0" applyFill="1" applyBorder="1"/>
    <xf numFmtId="0" fontId="0" fillId="5" borderId="9" xfId="0" applyFill="1" applyBorder="1"/>
    <xf numFmtId="0" fontId="0" fillId="6" borderId="1" xfId="0" applyFill="1" applyBorder="1"/>
    <xf numFmtId="0" fontId="0" fillId="6" borderId="11" xfId="0" applyFill="1" applyBorder="1"/>
    <xf numFmtId="0" fontId="1" fillId="6" borderId="1" xfId="1" applyFill="1" applyBorder="1" applyAlignment="1">
      <alignment vertical="center"/>
    </xf>
    <xf numFmtId="0" fontId="1" fillId="6" borderId="5" xfId="1" applyFill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B972-1BAA-4C1C-B710-999205EAF4F3}">
  <dimension ref="A1:T15"/>
  <sheetViews>
    <sheetView tabSelected="1" workbookViewId="0">
      <selection activeCell="G17" sqref="G17"/>
    </sheetView>
  </sheetViews>
  <sheetFormatPr defaultRowHeight="14.5" x14ac:dyDescent="0.35"/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7" x14ac:dyDescent="0.5">
      <c r="A2" s="1" cm="1">
        <f t="array" ref="A2:A11">_xlfn.SEQUENCE(10)</f>
        <v>1</v>
      </c>
      <c r="B2" s="4" t="s">
        <v>29</v>
      </c>
      <c r="C2" s="1">
        <v>55</v>
      </c>
      <c r="D2" s="1">
        <v>55</v>
      </c>
      <c r="E2" s="1">
        <v>55</v>
      </c>
      <c r="F2" s="1">
        <v>55</v>
      </c>
      <c r="G2" s="1">
        <v>55</v>
      </c>
      <c r="H2" s="1">
        <f>SUM(C2:G2)</f>
        <v>275</v>
      </c>
      <c r="I2" s="1">
        <f>MIN(C2:H2)</f>
        <v>55</v>
      </c>
      <c r="J2" s="1">
        <f>MAX(C2:G2)</f>
        <v>55</v>
      </c>
      <c r="K2" s="1">
        <f>AVERAGE(C2:G2)</f>
        <v>55</v>
      </c>
      <c r="L2" s="24" t="str">
        <f>IF(K2&gt;60,"true","false")</f>
        <v>false</v>
      </c>
      <c r="M2" s="24" t="str">
        <f>IF(E2&gt;50,"Pass","Fail")</f>
        <v>Pass</v>
      </c>
      <c r="N2" s="24" t="str">
        <f>IF(D2&gt;50,"Pass","Fail")</f>
        <v>Pass</v>
      </c>
      <c r="O2" s="24" t="str">
        <f>IF(G2&gt;50,"Pass","Fail")</f>
        <v>Pass</v>
      </c>
      <c r="P2" s="24" t="str">
        <f>IF(G2&gt;50,"Pass","Fail")</f>
        <v>Pass</v>
      </c>
      <c r="Q2" s="24" t="str">
        <f>IF(F2&gt;50,"Pass","Fail")</f>
        <v>Pass</v>
      </c>
      <c r="R2" s="24" t="str">
        <f>IF(AND(C2&gt;33,D2&gt;33,E2&gt;33,F2&gt;33,G2&gt;33),"pass","fail")</f>
        <v>pass</v>
      </c>
      <c r="S2" s="24" t="str">
        <f>IF(OR(C2&gt;33,D2&gt;33,E2&gt;33,F2&gt;33),"pass","fail")</f>
        <v>pass</v>
      </c>
      <c r="T2" s="24" t="str" cm="1">
        <f t="array" ref="T2">_xlfn.IFS(K2&gt;80,"A",K2&gt;60,"B",K2&gt;50,"C",K2&gt;40,"Fail")</f>
        <v>C</v>
      </c>
    </row>
    <row r="3" spans="1:20" ht="17" x14ac:dyDescent="0.5">
      <c r="A3" s="1">
        <v>2</v>
      </c>
      <c r="B3" s="5" t="s">
        <v>28</v>
      </c>
      <c r="C3" s="1">
        <v>42</v>
      </c>
      <c r="D3" s="1">
        <v>61</v>
      </c>
      <c r="E3" s="1">
        <v>86</v>
      </c>
      <c r="F3" s="1">
        <v>38</v>
      </c>
      <c r="G3" s="1">
        <v>76</v>
      </c>
      <c r="H3" s="1">
        <f t="shared" ref="H3:H11" si="0">SUM(C3:G3)</f>
        <v>303</v>
      </c>
      <c r="I3" s="1">
        <f t="shared" ref="I3:I11" si="1">MIN(C3:H3)</f>
        <v>38</v>
      </c>
      <c r="J3" s="1">
        <f t="shared" ref="J3:J11" si="2">MAX(C3:G3)</f>
        <v>86</v>
      </c>
      <c r="K3" s="1">
        <f t="shared" ref="K3:K11" si="3">AVERAGE(C3:G3)</f>
        <v>60.6</v>
      </c>
      <c r="L3" s="24" t="str">
        <f t="shared" ref="L3:L11" si="4">IF(K3&gt;60,"true","false")</f>
        <v>true</v>
      </c>
      <c r="M3" s="24" t="str">
        <f t="shared" ref="M3:M11" si="5">IF(E3&gt;50,"Pass","Fail")</f>
        <v>Pass</v>
      </c>
      <c r="N3" s="24" t="str">
        <f t="shared" ref="N3:N11" si="6">IF(D3&gt;50,"Pass","Fail")</f>
        <v>Pass</v>
      </c>
      <c r="O3" s="24" t="str">
        <f t="shared" ref="O3:O11" si="7">IF(G3&gt;50,"Pass","Fail")</f>
        <v>Pass</v>
      </c>
      <c r="P3" s="24" t="str">
        <f t="shared" ref="P3:P11" si="8">IF(G3&gt;50,"Pass","Fail")</f>
        <v>Pass</v>
      </c>
      <c r="Q3" s="24" t="str">
        <f t="shared" ref="Q3:Q11" si="9">IF(F3&gt;50,"Pass","Fail")</f>
        <v>Fail</v>
      </c>
      <c r="R3" s="24" t="str">
        <f t="shared" ref="R3:R11" si="10">IF(AND(C3&gt;33,D3&gt;33,E3&gt;33,F3&gt;33,G3&gt;33),"pass","fail")</f>
        <v>pass</v>
      </c>
      <c r="S3" s="24" t="str">
        <f t="shared" ref="S3:S11" si="11">IF(OR(C3&gt;33,D3&gt;33,E3&gt;33,F3&gt;33),"pass","fail")</f>
        <v>pass</v>
      </c>
      <c r="T3" s="24" t="str" cm="1">
        <f t="array" ref="T3">_xlfn.IFS(K3&gt;80,"A",K3&gt;60,"B",K3&gt;50,"C",K3&gt;40,"Fail")</f>
        <v>B</v>
      </c>
    </row>
    <row r="4" spans="1:20" ht="17" x14ac:dyDescent="0.5">
      <c r="A4" s="1">
        <v>3</v>
      </c>
      <c r="B4" s="5" t="s">
        <v>27</v>
      </c>
      <c r="C4" s="1">
        <v>36</v>
      </c>
      <c r="D4" s="1">
        <v>35</v>
      </c>
      <c r="E4" s="1">
        <v>75</v>
      </c>
      <c r="F4" s="1">
        <v>38</v>
      </c>
      <c r="G4" s="1">
        <v>62</v>
      </c>
      <c r="H4" s="1">
        <f t="shared" si="0"/>
        <v>246</v>
      </c>
      <c r="I4" s="1">
        <f t="shared" si="1"/>
        <v>35</v>
      </c>
      <c r="J4" s="1">
        <f t="shared" si="2"/>
        <v>75</v>
      </c>
      <c r="K4" s="1">
        <f t="shared" si="3"/>
        <v>49.2</v>
      </c>
      <c r="L4" s="24" t="str">
        <f t="shared" si="4"/>
        <v>false</v>
      </c>
      <c r="M4" s="24" t="str">
        <f t="shared" si="5"/>
        <v>Pass</v>
      </c>
      <c r="N4" s="24" t="str">
        <f t="shared" si="6"/>
        <v>Fail</v>
      </c>
      <c r="O4" s="24" t="str">
        <f t="shared" si="7"/>
        <v>Pass</v>
      </c>
      <c r="P4" s="24" t="str">
        <f t="shared" si="8"/>
        <v>Pass</v>
      </c>
      <c r="Q4" s="24" t="str">
        <f t="shared" si="9"/>
        <v>Fail</v>
      </c>
      <c r="R4" s="24" t="str">
        <f t="shared" si="10"/>
        <v>pass</v>
      </c>
      <c r="S4" s="24" t="str">
        <f t="shared" si="11"/>
        <v>pass</v>
      </c>
      <c r="T4" s="24" t="str" cm="1">
        <f t="array" ref="T4">_xlfn.IFS(K4&gt;80,"A",K4&gt;60,"B",K4&gt;50,"C",K4&gt;40,"Fail")</f>
        <v>Fail</v>
      </c>
    </row>
    <row r="5" spans="1:20" ht="17" x14ac:dyDescent="0.5">
      <c r="A5" s="1">
        <v>4</v>
      </c>
      <c r="B5" s="5" t="s">
        <v>26</v>
      </c>
      <c r="C5" s="1">
        <v>72</v>
      </c>
      <c r="D5" s="1">
        <v>54</v>
      </c>
      <c r="E5" s="1">
        <v>41</v>
      </c>
      <c r="F5" s="1">
        <v>37</v>
      </c>
      <c r="G5" s="1">
        <v>49</v>
      </c>
      <c r="H5" s="1">
        <f t="shared" si="0"/>
        <v>253</v>
      </c>
      <c r="I5" s="1">
        <f t="shared" si="1"/>
        <v>37</v>
      </c>
      <c r="J5" s="1">
        <f t="shared" si="2"/>
        <v>72</v>
      </c>
      <c r="K5" s="1">
        <f t="shared" si="3"/>
        <v>50.6</v>
      </c>
      <c r="L5" s="24" t="str">
        <f t="shared" si="4"/>
        <v>false</v>
      </c>
      <c r="M5" s="24" t="str">
        <f t="shared" si="5"/>
        <v>Fail</v>
      </c>
      <c r="N5" s="24" t="str">
        <f t="shared" si="6"/>
        <v>Pass</v>
      </c>
      <c r="O5" s="24" t="str">
        <f t="shared" si="7"/>
        <v>Fail</v>
      </c>
      <c r="P5" s="24" t="str">
        <f t="shared" si="8"/>
        <v>Fail</v>
      </c>
      <c r="Q5" s="24" t="str">
        <f t="shared" si="9"/>
        <v>Fail</v>
      </c>
      <c r="R5" s="24" t="str">
        <f t="shared" si="10"/>
        <v>pass</v>
      </c>
      <c r="S5" s="24" t="str">
        <f t="shared" si="11"/>
        <v>pass</v>
      </c>
      <c r="T5" s="24" t="str" cm="1">
        <f t="array" ref="T5">_xlfn.IFS(K5&gt;80,"A",K5&gt;60,"B",K5&gt;50,"C",K5&gt;40,"Fail")</f>
        <v>C</v>
      </c>
    </row>
    <row r="6" spans="1:20" ht="17" x14ac:dyDescent="0.5">
      <c r="A6" s="1">
        <v>5</v>
      </c>
      <c r="B6" s="5" t="s">
        <v>25</v>
      </c>
      <c r="C6" s="1">
        <v>63</v>
      </c>
      <c r="D6" s="1">
        <v>81</v>
      </c>
      <c r="E6" s="1">
        <v>41</v>
      </c>
      <c r="F6" s="1">
        <v>65</v>
      </c>
      <c r="G6" s="1">
        <v>73</v>
      </c>
      <c r="H6" s="1">
        <f t="shared" si="0"/>
        <v>323</v>
      </c>
      <c r="I6" s="1">
        <f t="shared" si="1"/>
        <v>41</v>
      </c>
      <c r="J6" s="1">
        <f t="shared" si="2"/>
        <v>81</v>
      </c>
      <c r="K6" s="1">
        <f t="shared" si="3"/>
        <v>64.599999999999994</v>
      </c>
      <c r="L6" s="24" t="str">
        <f t="shared" si="4"/>
        <v>true</v>
      </c>
      <c r="M6" s="24" t="str">
        <f t="shared" si="5"/>
        <v>Fail</v>
      </c>
      <c r="N6" s="24" t="str">
        <f t="shared" si="6"/>
        <v>Pass</v>
      </c>
      <c r="O6" s="24" t="str">
        <f t="shared" si="7"/>
        <v>Pass</v>
      </c>
      <c r="P6" s="24" t="str">
        <f t="shared" si="8"/>
        <v>Pass</v>
      </c>
      <c r="Q6" s="24" t="str">
        <f t="shared" si="9"/>
        <v>Pass</v>
      </c>
      <c r="R6" s="24" t="str">
        <f t="shared" si="10"/>
        <v>pass</v>
      </c>
      <c r="S6" s="24" t="str">
        <f t="shared" si="11"/>
        <v>pass</v>
      </c>
      <c r="T6" s="24" t="str" cm="1">
        <f t="array" ref="T6">_xlfn.IFS(K6&gt;80,"A",K6&gt;60,"B",K6&gt;50,"C",K6&gt;40,"Fail")</f>
        <v>B</v>
      </c>
    </row>
    <row r="7" spans="1:20" ht="17" x14ac:dyDescent="0.5">
      <c r="A7" s="1">
        <v>6</v>
      </c>
      <c r="B7" s="5" t="s">
        <v>24</v>
      </c>
      <c r="C7" s="1">
        <v>77</v>
      </c>
      <c r="D7" s="1">
        <v>89</v>
      </c>
      <c r="E7" s="1">
        <v>76</v>
      </c>
      <c r="F7" s="1">
        <v>31</v>
      </c>
      <c r="G7" s="1">
        <v>70</v>
      </c>
      <c r="H7" s="1">
        <f t="shared" si="0"/>
        <v>343</v>
      </c>
      <c r="I7" s="1">
        <f t="shared" si="1"/>
        <v>31</v>
      </c>
      <c r="J7" s="1">
        <f t="shared" si="2"/>
        <v>89</v>
      </c>
      <c r="K7" s="1">
        <f t="shared" si="3"/>
        <v>68.599999999999994</v>
      </c>
      <c r="L7" s="24" t="str">
        <f t="shared" si="4"/>
        <v>true</v>
      </c>
      <c r="M7" s="24" t="str">
        <f t="shared" si="5"/>
        <v>Pass</v>
      </c>
      <c r="N7" s="24" t="str">
        <f t="shared" si="6"/>
        <v>Pass</v>
      </c>
      <c r="O7" s="24" t="str">
        <f t="shared" si="7"/>
        <v>Pass</v>
      </c>
      <c r="P7" s="24" t="str">
        <f t="shared" si="8"/>
        <v>Pass</v>
      </c>
      <c r="Q7" s="24" t="str">
        <f t="shared" si="9"/>
        <v>Fail</v>
      </c>
      <c r="R7" s="24" t="str">
        <f t="shared" si="10"/>
        <v>fail</v>
      </c>
      <c r="S7" s="24" t="str">
        <f t="shared" si="11"/>
        <v>pass</v>
      </c>
      <c r="T7" s="24" t="str" cm="1">
        <f t="array" ref="T7">_xlfn.IFS(K7&gt;80,"A",K7&gt;60,"B",K7&gt;50,"C",K7&gt;40,"Fail")</f>
        <v>B</v>
      </c>
    </row>
    <row r="8" spans="1:20" ht="17" x14ac:dyDescent="0.5">
      <c r="A8" s="1">
        <v>7</v>
      </c>
      <c r="B8" s="5" t="s">
        <v>23</v>
      </c>
      <c r="C8" s="1">
        <v>33</v>
      </c>
      <c r="D8" s="1">
        <v>49</v>
      </c>
      <c r="E8" s="1">
        <v>83</v>
      </c>
      <c r="F8" s="1">
        <v>30</v>
      </c>
      <c r="G8" s="1">
        <v>63</v>
      </c>
      <c r="H8" s="1">
        <f t="shared" si="0"/>
        <v>258</v>
      </c>
      <c r="I8" s="1">
        <f t="shared" si="1"/>
        <v>30</v>
      </c>
      <c r="J8" s="1">
        <f t="shared" si="2"/>
        <v>83</v>
      </c>
      <c r="K8" s="1">
        <f t="shared" si="3"/>
        <v>51.6</v>
      </c>
      <c r="L8" s="24" t="str">
        <f t="shared" si="4"/>
        <v>false</v>
      </c>
      <c r="M8" s="24" t="str">
        <f t="shared" si="5"/>
        <v>Pass</v>
      </c>
      <c r="N8" s="24" t="str">
        <f t="shared" si="6"/>
        <v>Fail</v>
      </c>
      <c r="O8" s="24" t="str">
        <f t="shared" si="7"/>
        <v>Pass</v>
      </c>
      <c r="P8" s="24" t="str">
        <f t="shared" si="8"/>
        <v>Pass</v>
      </c>
      <c r="Q8" s="24" t="str">
        <f t="shared" si="9"/>
        <v>Fail</v>
      </c>
      <c r="R8" s="24" t="str">
        <f t="shared" si="10"/>
        <v>fail</v>
      </c>
      <c r="S8" s="24" t="str">
        <f t="shared" si="11"/>
        <v>pass</v>
      </c>
      <c r="T8" s="24" t="str" cm="1">
        <f t="array" ref="T8">_xlfn.IFS(K8&gt;80,"A",K8&gt;60,"B",K8&gt;50,"C",K8&gt;40,"Fail")</f>
        <v>C</v>
      </c>
    </row>
    <row r="9" spans="1:20" ht="17" x14ac:dyDescent="0.5">
      <c r="A9" s="1">
        <v>8</v>
      </c>
      <c r="B9" s="5" t="s">
        <v>22</v>
      </c>
      <c r="C9" s="1">
        <v>46</v>
      </c>
      <c r="D9" s="1">
        <v>74</v>
      </c>
      <c r="E9" s="1">
        <v>47</v>
      </c>
      <c r="F9" s="1">
        <v>50</v>
      </c>
      <c r="G9" s="1">
        <v>54</v>
      </c>
      <c r="H9" s="1">
        <f t="shared" si="0"/>
        <v>271</v>
      </c>
      <c r="I9" s="1">
        <f t="shared" si="1"/>
        <v>46</v>
      </c>
      <c r="J9" s="1">
        <f t="shared" si="2"/>
        <v>74</v>
      </c>
      <c r="K9" s="1">
        <f t="shared" si="3"/>
        <v>54.2</v>
      </c>
      <c r="L9" s="24" t="str">
        <f t="shared" si="4"/>
        <v>false</v>
      </c>
      <c r="M9" s="24" t="str">
        <f t="shared" si="5"/>
        <v>Fail</v>
      </c>
      <c r="N9" s="24" t="str">
        <f t="shared" si="6"/>
        <v>Pass</v>
      </c>
      <c r="O9" s="24" t="str">
        <f t="shared" si="7"/>
        <v>Pass</v>
      </c>
      <c r="P9" s="24" t="str">
        <f t="shared" si="8"/>
        <v>Pass</v>
      </c>
      <c r="Q9" s="24" t="str">
        <f t="shared" si="9"/>
        <v>Fail</v>
      </c>
      <c r="R9" s="24" t="str">
        <f t="shared" si="10"/>
        <v>pass</v>
      </c>
      <c r="S9" s="24" t="str">
        <f t="shared" si="11"/>
        <v>pass</v>
      </c>
      <c r="T9" s="24" t="str" cm="1">
        <f t="array" ref="T9">_xlfn.IFS(K9&gt;80,"A",K9&gt;60,"B",K9&gt;50,"C",K9&gt;40,"Fail")</f>
        <v>C</v>
      </c>
    </row>
    <row r="10" spans="1:20" ht="17" x14ac:dyDescent="0.5">
      <c r="A10" s="1">
        <v>9</v>
      </c>
      <c r="B10" s="5" t="s">
        <v>21</v>
      </c>
      <c r="C10" s="1">
        <v>27</v>
      </c>
      <c r="D10" s="1">
        <v>61</v>
      </c>
      <c r="E10" s="1">
        <v>65</v>
      </c>
      <c r="F10" s="1">
        <v>29</v>
      </c>
      <c r="G10" s="1">
        <v>39</v>
      </c>
      <c r="H10" s="1">
        <f t="shared" si="0"/>
        <v>221</v>
      </c>
      <c r="I10" s="1">
        <f t="shared" si="1"/>
        <v>27</v>
      </c>
      <c r="J10" s="1">
        <f t="shared" si="2"/>
        <v>65</v>
      </c>
      <c r="K10" s="1">
        <f t="shared" si="3"/>
        <v>44.2</v>
      </c>
      <c r="L10" s="24" t="str">
        <f t="shared" si="4"/>
        <v>false</v>
      </c>
      <c r="M10" s="24" t="str">
        <f t="shared" si="5"/>
        <v>Pass</v>
      </c>
      <c r="N10" s="24" t="str">
        <f t="shared" si="6"/>
        <v>Pass</v>
      </c>
      <c r="O10" s="24" t="str">
        <f t="shared" si="7"/>
        <v>Fail</v>
      </c>
      <c r="P10" s="24" t="str">
        <f t="shared" si="8"/>
        <v>Fail</v>
      </c>
      <c r="Q10" s="24" t="str">
        <f t="shared" si="9"/>
        <v>Fail</v>
      </c>
      <c r="R10" s="24" t="str">
        <f t="shared" si="10"/>
        <v>fail</v>
      </c>
      <c r="S10" s="24" t="str">
        <f t="shared" si="11"/>
        <v>pass</v>
      </c>
      <c r="T10" s="24" t="str" cm="1">
        <f t="array" ref="T10">_xlfn.IFS(K10&gt;80,"A",K10&gt;60,"B",K10&gt;50,"C",K10&gt;40,"Fail")</f>
        <v>Fail</v>
      </c>
    </row>
    <row r="11" spans="1:20" ht="14.5" customHeight="1" thickBot="1" x14ac:dyDescent="0.55000000000000004">
      <c r="A11" s="8">
        <v>10</v>
      </c>
      <c r="B11" s="6" t="s">
        <v>20</v>
      </c>
      <c r="C11" s="1">
        <v>81</v>
      </c>
      <c r="D11" s="1">
        <v>50</v>
      </c>
      <c r="E11" s="1">
        <v>65</v>
      </c>
      <c r="F11" s="1">
        <v>33</v>
      </c>
      <c r="G11" s="1">
        <v>57</v>
      </c>
      <c r="H11" s="8">
        <f t="shared" si="0"/>
        <v>286</v>
      </c>
      <c r="I11" s="8">
        <f t="shared" si="1"/>
        <v>33</v>
      </c>
      <c r="J11" s="8">
        <f t="shared" si="2"/>
        <v>81</v>
      </c>
      <c r="K11" s="8">
        <f t="shared" si="3"/>
        <v>57.2</v>
      </c>
      <c r="L11" s="25" t="str">
        <f t="shared" si="4"/>
        <v>false</v>
      </c>
      <c r="M11" s="25" t="str">
        <f t="shared" si="5"/>
        <v>Pass</v>
      </c>
      <c r="N11" s="25" t="str">
        <f t="shared" si="6"/>
        <v>Fail</v>
      </c>
      <c r="O11" s="25" t="str">
        <f t="shared" si="7"/>
        <v>Pass</v>
      </c>
      <c r="P11" s="25" t="str">
        <f t="shared" si="8"/>
        <v>Pass</v>
      </c>
      <c r="Q11" s="25" t="str">
        <f t="shared" si="9"/>
        <v>Fail</v>
      </c>
      <c r="R11" s="25" t="str">
        <f t="shared" si="10"/>
        <v>fail</v>
      </c>
      <c r="S11" s="25" t="str">
        <f t="shared" si="11"/>
        <v>pass</v>
      </c>
      <c r="T11" s="25" t="str" cm="1">
        <f t="array" ref="T11">_xlfn.IFS(K11&gt;80,"A",K11&gt;60,"B",K11&gt;50,"C",K11&gt;40,"Fail")</f>
        <v>C</v>
      </c>
    </row>
    <row r="12" spans="1:20" x14ac:dyDescent="0.35">
      <c r="A12" s="10"/>
      <c r="B12" s="7" t="s">
        <v>7</v>
      </c>
      <c r="C12" s="26">
        <f>SUM(C2:C11)</f>
        <v>532</v>
      </c>
      <c r="D12" s="26">
        <f t="shared" ref="D12:G12" si="12">SUM(D2:D11)</f>
        <v>609</v>
      </c>
      <c r="E12" s="26">
        <f t="shared" si="12"/>
        <v>634</v>
      </c>
      <c r="F12" s="26">
        <f t="shared" si="12"/>
        <v>406</v>
      </c>
      <c r="G12" s="27">
        <f t="shared" si="12"/>
        <v>598</v>
      </c>
      <c r="H12" s="13"/>
      <c r="I12" s="14"/>
      <c r="J12" s="14"/>
      <c r="K12" s="14"/>
      <c r="L12" s="15"/>
      <c r="M12" s="15"/>
      <c r="N12" s="15"/>
      <c r="O12" s="15"/>
      <c r="P12" s="15"/>
      <c r="Q12" s="15"/>
      <c r="R12" s="15"/>
      <c r="S12" s="15"/>
      <c r="T12" s="16"/>
    </row>
    <row r="13" spans="1:20" x14ac:dyDescent="0.35">
      <c r="A13" s="11"/>
      <c r="B13" s="7" t="s">
        <v>8</v>
      </c>
      <c r="C13" s="26">
        <f>MIN(C2:C11)</f>
        <v>27</v>
      </c>
      <c r="D13" s="26">
        <f t="shared" ref="D13:G13" si="13">MIN(D2:D11)</f>
        <v>35</v>
      </c>
      <c r="E13" s="26">
        <f t="shared" si="13"/>
        <v>41</v>
      </c>
      <c r="F13" s="26">
        <f t="shared" si="13"/>
        <v>29</v>
      </c>
      <c r="G13" s="27">
        <f t="shared" si="13"/>
        <v>39</v>
      </c>
      <c r="H13" s="17"/>
      <c r="I13" s="9"/>
      <c r="J13" s="9"/>
      <c r="K13" s="9"/>
      <c r="L13" s="18"/>
      <c r="M13" s="18"/>
      <c r="N13" s="18"/>
      <c r="O13" s="18"/>
      <c r="P13" s="18"/>
      <c r="Q13" s="18"/>
      <c r="R13" s="18"/>
      <c r="S13" s="18"/>
      <c r="T13" s="19"/>
    </row>
    <row r="14" spans="1:20" x14ac:dyDescent="0.35">
      <c r="A14" s="11"/>
      <c r="B14" s="7" t="s">
        <v>9</v>
      </c>
      <c r="C14" s="26">
        <f>MAX(C2:C11)</f>
        <v>81</v>
      </c>
      <c r="D14" s="26">
        <f t="shared" ref="D14:G14" si="14">MAX(D2:D11)</f>
        <v>89</v>
      </c>
      <c r="E14" s="26">
        <f t="shared" si="14"/>
        <v>86</v>
      </c>
      <c r="F14" s="26">
        <f t="shared" si="14"/>
        <v>65</v>
      </c>
      <c r="G14" s="27">
        <f t="shared" si="14"/>
        <v>76</v>
      </c>
      <c r="H14" s="17"/>
      <c r="I14" s="9"/>
      <c r="J14" s="9"/>
      <c r="K14" s="9"/>
      <c r="L14" s="18"/>
      <c r="M14" s="18"/>
      <c r="N14" s="18"/>
      <c r="O14" s="18"/>
      <c r="P14" s="18"/>
      <c r="Q14" s="18"/>
      <c r="R14" s="18"/>
      <c r="S14" s="18"/>
      <c r="T14" s="19"/>
    </row>
    <row r="15" spans="1:20" x14ac:dyDescent="0.35">
      <c r="A15" s="12"/>
      <c r="B15" s="7" t="s">
        <v>10</v>
      </c>
      <c r="C15" s="26">
        <f>AVERAGE(C2:C11)</f>
        <v>53.2</v>
      </c>
      <c r="D15" s="26">
        <f t="shared" ref="D15:G15" si="15">AVERAGE(D2:D11)</f>
        <v>60.9</v>
      </c>
      <c r="E15" s="26">
        <f t="shared" si="15"/>
        <v>63.4</v>
      </c>
      <c r="F15" s="26">
        <f t="shared" si="15"/>
        <v>40.6</v>
      </c>
      <c r="G15" s="27">
        <f t="shared" si="15"/>
        <v>59.8</v>
      </c>
      <c r="H15" s="20"/>
      <c r="I15" s="21"/>
      <c r="J15" s="21"/>
      <c r="K15" s="21"/>
      <c r="L15" s="22"/>
      <c r="M15" s="22"/>
      <c r="N15" s="22"/>
      <c r="O15" s="22"/>
      <c r="P15" s="22"/>
      <c r="Q15" s="22"/>
      <c r="R15" s="22"/>
      <c r="S15" s="22"/>
      <c r="T15" s="23"/>
    </row>
  </sheetData>
  <conditionalFormatting sqref="B12:B15 B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vishwas9302821830@outlook.com</dc:creator>
  <cp:lastModifiedBy>Vishwas Sharma</cp:lastModifiedBy>
  <dcterms:created xsi:type="dcterms:W3CDTF">2026-07-20T06:34:09Z</dcterms:created>
  <dcterms:modified xsi:type="dcterms:W3CDTF">2026-09-11T17:39:32Z</dcterms:modified>
</cp:coreProperties>
</file>