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SHWAS SHARMA\Documents\Xcel_portfolio\Concepts\"/>
    </mc:Choice>
  </mc:AlternateContent>
  <xr:revisionPtr revIDLastSave="0" documentId="13_ncr:1_{D78A0B67-BF9E-4B1A-A46F-EB114E50179F}" xr6:coauthVersionLast="47" xr6:coauthVersionMax="47" xr10:uidLastSave="{00000000-0000-0000-0000-000000000000}"/>
  <bookViews>
    <workbookView xWindow="0" yWindow="10" windowWidth="19420" windowHeight="11020" xr2:uid="{5494DA74-FC50-4B2E-97A8-E9863E62A463}"/>
  </bookViews>
  <sheets>
    <sheet name="if and ifs" sheetId="12" r:id="rId1"/>
    <sheet name="mix_question" sheetId="11" r:id="rId2"/>
    <sheet name="count_fuction" sheetId="10" r:id="rId3"/>
    <sheet name="sumif and sumifs" sheetId="9" r:id="rId4"/>
    <sheet name="Basic functions" sheetId="7" r:id="rId5"/>
    <sheet name="Filter" sheetId="3" r:id="rId6"/>
    <sheet name="Filter (2)" sheetId="6" r:id="rId7"/>
    <sheet name="index" sheetId="5" r:id="rId8"/>
    <sheet name="Filter with multiple condition" sheetId="4" r:id="rId9"/>
    <sheet name="approximate_match" sheetId="2" r:id="rId10"/>
    <sheet name="conditions" sheetId="8" r:id="rId1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2" l="1"/>
  <c r="K2" i="12"/>
  <c r="R2" i="12"/>
  <c r="C3" i="12"/>
  <c r="K3" i="12"/>
  <c r="R3" i="12"/>
  <c r="C4" i="12"/>
  <c r="K4" i="12"/>
  <c r="R4" i="12"/>
  <c r="C5" i="12"/>
  <c r="K5" i="12"/>
  <c r="R5" i="12"/>
  <c r="C6" i="12"/>
  <c r="K6" i="12"/>
  <c r="R6" i="12"/>
  <c r="C12" i="12" a="1"/>
  <c r="C12" i="12" s="1"/>
  <c r="J12" i="12"/>
  <c r="C13" i="12" a="1"/>
  <c r="C13" i="12" s="1"/>
  <c r="J13" i="12"/>
  <c r="C14" i="12" a="1"/>
  <c r="C14" i="12" s="1"/>
  <c r="J14" i="12"/>
  <c r="C15" i="12" a="1"/>
  <c r="C15" i="12" s="1"/>
  <c r="J15" i="12"/>
  <c r="C16" i="12" a="1"/>
  <c r="C16" i="12" s="1"/>
  <c r="J16" i="12"/>
  <c r="G3" i="11"/>
  <c r="I3" i="11"/>
  <c r="G4" i="11"/>
  <c r="I4" i="11"/>
  <c r="G5" i="11"/>
  <c r="I5" i="11"/>
  <c r="G6" i="11"/>
  <c r="I6" i="11"/>
  <c r="G7" i="11"/>
  <c r="I7" i="11"/>
  <c r="G8" i="11"/>
  <c r="I8" i="11"/>
  <c r="G9" i="11"/>
  <c r="I9" i="11"/>
  <c r="I10" i="11"/>
  <c r="I11" i="11"/>
  <c r="I12" i="11"/>
  <c r="I13" i="11"/>
  <c r="I14" i="11"/>
  <c r="N2" i="10"/>
  <c r="U2" i="10"/>
  <c r="N3" i="10"/>
  <c r="U3" i="10"/>
  <c r="F4" i="10"/>
  <c r="N4" i="10"/>
  <c r="U4" i="10"/>
  <c r="F5" i="10"/>
  <c r="N5" i="10"/>
  <c r="U5" i="10"/>
  <c r="F6" i="10"/>
  <c r="N6" i="10"/>
  <c r="U6" i="10"/>
  <c r="F7" i="10"/>
  <c r="U7" i="10"/>
  <c r="N16" i="10"/>
  <c r="E17" i="10"/>
  <c r="N17" i="10"/>
  <c r="E18" i="10"/>
  <c r="N18" i="10"/>
  <c r="E19" i="10"/>
  <c r="N19" i="10"/>
  <c r="E20" i="10"/>
  <c r="N20" i="10"/>
  <c r="N21" i="10"/>
  <c r="G2" i="9"/>
  <c r="G3" i="9"/>
  <c r="G4" i="9"/>
  <c r="G5" i="9"/>
  <c r="G6" i="9"/>
  <c r="G7" i="9"/>
  <c r="G12" i="9"/>
  <c r="G13" i="9"/>
  <c r="G14" i="9"/>
  <c r="G15" i="9"/>
  <c r="G16" i="9"/>
  <c r="G17" i="9"/>
  <c r="G18" i="9"/>
  <c r="G19" i="9"/>
  <c r="G20" i="9"/>
  <c r="D2" i="8"/>
  <c r="E2" i="8"/>
  <c r="F2" i="8"/>
  <c r="G2" i="8" a="1"/>
  <c r="G2" i="8" s="1"/>
  <c r="H2" i="8"/>
  <c r="D3" i="8"/>
  <c r="E3" i="8"/>
  <c r="F3" i="8"/>
  <c r="G3" i="8" a="1"/>
  <c r="G3" i="8"/>
  <c r="H3" i="8"/>
  <c r="D4" i="8"/>
  <c r="E4" i="8"/>
  <c r="F4" i="8"/>
  <c r="G4" i="8" a="1"/>
  <c r="G4" i="8" s="1"/>
  <c r="H4" i="8"/>
  <c r="D5" i="8"/>
  <c r="E5" i="8"/>
  <c r="F5" i="8"/>
  <c r="G5" i="8" a="1"/>
  <c r="G5" i="8" s="1"/>
  <c r="H5" i="8"/>
  <c r="D6" i="8"/>
  <c r="E6" i="8"/>
  <c r="F6" i="8"/>
  <c r="G6" i="8" a="1"/>
  <c r="G6" i="8" s="1"/>
  <c r="H6" i="8"/>
  <c r="D7" i="8"/>
  <c r="E7" i="8"/>
  <c r="F7" i="8"/>
  <c r="G7" i="8" a="1"/>
  <c r="G7" i="8"/>
  <c r="H7" i="8"/>
  <c r="D8" i="8"/>
  <c r="E8" i="8"/>
  <c r="F8" i="8"/>
  <c r="G8" i="8" a="1"/>
  <c r="G8" i="8" s="1"/>
  <c r="H8" i="8"/>
  <c r="D9" i="8"/>
  <c r="E9" i="8"/>
  <c r="F9" i="8"/>
  <c r="G9" i="8" a="1"/>
  <c r="G9" i="8" s="1"/>
  <c r="H9" i="8"/>
  <c r="D10" i="8"/>
  <c r="E10" i="8"/>
  <c r="F10" i="8"/>
  <c r="G10" i="8" a="1"/>
  <c r="G10" i="8" s="1"/>
  <c r="H10" i="8"/>
  <c r="I4" i="7" a="1"/>
  <c r="I4" i="7" s="1"/>
  <c r="K4" i="7" a="1"/>
  <c r="K4" i="7" s="1"/>
  <c r="M4" i="7" a="1"/>
  <c r="M4" i="7" s="1"/>
  <c r="D13" i="7"/>
  <c r="D14" i="7"/>
  <c r="D15" i="7"/>
  <c r="D16" i="7"/>
  <c r="D17" i="7"/>
  <c r="D18" i="7" s="1"/>
  <c r="A2" i="6" a="1"/>
  <c r="A2" i="6" s="1"/>
  <c r="I2" i="5"/>
  <c r="I3" i="5"/>
  <c r="I4" i="5"/>
  <c r="I5" i="5"/>
  <c r="I6" i="5"/>
  <c r="I9" i="5"/>
  <c r="I12" i="5"/>
  <c r="I15" i="5"/>
  <c r="J3" i="4" a="1"/>
  <c r="J3" i="4" s="1"/>
  <c r="J4" i="4"/>
  <c r="K4" i="4"/>
  <c r="L4" i="4"/>
  <c r="J7" i="4" a="1"/>
  <c r="N7" i="4" s="1"/>
  <c r="L7" i="4"/>
  <c r="M7" i="4"/>
  <c r="J9" i="4"/>
  <c r="K9" i="4"/>
  <c r="J12" i="4" a="1"/>
  <c r="N12" i="4" s="1"/>
  <c r="J14" i="4" a="1"/>
  <c r="J14" i="4" s="1"/>
  <c r="K14" i="4"/>
  <c r="N14" i="4"/>
  <c r="J16" i="4" a="1"/>
  <c r="J16" i="4" s="1"/>
  <c r="J20" i="4" a="1"/>
  <c r="J20" i="4" s="1"/>
  <c r="J22" i="4" a="1"/>
  <c r="J22" i="4" s="1"/>
  <c r="J25" i="4" a="1"/>
  <c r="J25" i="4" s="1"/>
  <c r="G3" i="3" a="1"/>
  <c r="G3" i="3" s="1"/>
  <c r="G7" i="3" a="1"/>
  <c r="H7" i="3" s="1"/>
  <c r="G13" i="3" a="1"/>
  <c r="H14" i="3" s="1"/>
  <c r="G17" i="3" a="1"/>
  <c r="G17" i="3" s="1"/>
  <c r="G19" i="3" a="1"/>
  <c r="I19" i="3" s="1"/>
  <c r="D19" i="7" l="1"/>
  <c r="D21" i="7"/>
  <c r="D20" i="7"/>
  <c r="A8" i="6"/>
  <c r="A14" i="6"/>
  <c r="A6" i="6"/>
  <c r="A19" i="6"/>
  <c r="A11" i="6"/>
  <c r="A7" i="6"/>
  <c r="A4" i="6"/>
  <c r="A16" i="6"/>
  <c r="A15" i="6"/>
  <c r="A21" i="6"/>
  <c r="A13" i="6"/>
  <c r="A9" i="6"/>
  <c r="A20" i="6"/>
  <c r="A12" i="6"/>
  <c r="A18" i="6"/>
  <c r="A10" i="6"/>
  <c r="A3" i="6"/>
  <c r="F4" i="6" s="1" a="1"/>
  <c r="A17" i="6"/>
  <c r="A5" i="6"/>
  <c r="M12" i="4"/>
  <c r="K26" i="4"/>
  <c r="N22" i="4"/>
  <c r="N18" i="4"/>
  <c r="K17" i="4"/>
  <c r="L12" i="4"/>
  <c r="J26" i="4"/>
  <c r="M22" i="4"/>
  <c r="M18" i="4"/>
  <c r="J17" i="4"/>
  <c r="M14" i="4"/>
  <c r="K12" i="4"/>
  <c r="N8" i="4"/>
  <c r="K7" i="4"/>
  <c r="N3" i="4"/>
  <c r="N25" i="4"/>
  <c r="L22" i="4"/>
  <c r="L18" i="4"/>
  <c r="N16" i="4"/>
  <c r="L14" i="4"/>
  <c r="J12" i="4"/>
  <c r="M8" i="4"/>
  <c r="J7" i="4"/>
  <c r="M3" i="4"/>
  <c r="L26" i="4"/>
  <c r="L17" i="4"/>
  <c r="M25" i="4"/>
  <c r="K22" i="4"/>
  <c r="K18" i="4"/>
  <c r="M16" i="4"/>
  <c r="L3" i="4"/>
  <c r="L8" i="4"/>
  <c r="L25" i="4"/>
  <c r="J18" i="4"/>
  <c r="L16" i="4"/>
  <c r="N9" i="4"/>
  <c r="K8" i="4"/>
  <c r="N4" i="4"/>
  <c r="K3" i="4"/>
  <c r="N17" i="4"/>
  <c r="K16" i="4"/>
  <c r="M9" i="4"/>
  <c r="J8" i="4"/>
  <c r="M4" i="4"/>
  <c r="N26" i="4"/>
  <c r="K25" i="4"/>
  <c r="M26" i="4"/>
  <c r="M17" i="4"/>
  <c r="L9" i="4"/>
  <c r="H19" i="3"/>
  <c r="H16" i="3"/>
  <c r="H9" i="3"/>
  <c r="G19" i="3"/>
  <c r="G16" i="3"/>
  <c r="I4" i="3"/>
  <c r="I15" i="3"/>
  <c r="G13" i="3"/>
  <c r="I8" i="3"/>
  <c r="H4" i="3"/>
  <c r="H8" i="3"/>
  <c r="G4" i="3"/>
  <c r="I16" i="3"/>
  <c r="G14" i="3"/>
  <c r="I9" i="3"/>
  <c r="G7" i="3"/>
  <c r="I13" i="3"/>
  <c r="H13" i="3"/>
  <c r="G9" i="3"/>
  <c r="I17" i="3"/>
  <c r="H15" i="3"/>
  <c r="H17" i="3"/>
  <c r="G15" i="3"/>
  <c r="I10" i="3"/>
  <c r="G8" i="3"/>
  <c r="I3" i="3"/>
  <c r="I14" i="3"/>
  <c r="H10" i="3"/>
  <c r="I7" i="3"/>
  <c r="H3" i="3"/>
  <c r="G10" i="3"/>
  <c r="H6" i="6" l="1"/>
  <c r="F8" i="6"/>
  <c r="I9" i="6"/>
  <c r="F5" i="6"/>
  <c r="I6" i="6"/>
  <c r="G8" i="6"/>
  <c r="H5" i="6"/>
  <c r="F7" i="6"/>
  <c r="I8" i="6"/>
  <c r="F4" i="6"/>
  <c r="G7" i="6"/>
  <c r="G4" i="6"/>
  <c r="H7" i="6"/>
  <c r="F9" i="6"/>
  <c r="F6" i="6"/>
  <c r="I7" i="6"/>
  <c r="G6" i="6"/>
  <c r="H9" i="6"/>
  <c r="G5" i="6"/>
  <c r="H8" i="6"/>
  <c r="I5" i="6"/>
  <c r="H4" i="6"/>
  <c r="G9" i="6"/>
  <c r="I4" i="6"/>
  <c r="D1" i="2" l="1"/>
  <c r="G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<sst xmlns="http://schemas.openxmlformats.org/spreadsheetml/2006/main" count="449" uniqueCount="243">
  <si>
    <t>Jan</t>
  </si>
  <si>
    <t>Banana</t>
  </si>
  <si>
    <t>Mango</t>
  </si>
  <si>
    <t>Q: Find the sales figure for a given Product and Month using VLOOKUP + MATCH.</t>
  </si>
  <si>
    <t>Apple</t>
  </si>
  <si>
    <t>Mar</t>
  </si>
  <si>
    <t>Feb</t>
  </si>
  <si>
    <t>Product</t>
  </si>
  <si>
    <t>A</t>
  </si>
  <si>
    <t>B</t>
  </si>
  <si>
    <t>C</t>
  </si>
  <si>
    <t>D</t>
  </si>
  <si>
    <t>Given Marks:</t>
  </si>
  <si>
    <t>F</t>
  </si>
  <si>
    <t>Q: Find the Grade for a given Marks value using VLOOKUP with approximate match.</t>
  </si>
  <si>
    <t>Grade</t>
  </si>
  <si>
    <t>Marks</t>
  </si>
  <si>
    <t>Show IT department employees with salary above 55000</t>
  </si>
  <si>
    <t>Show employees  from sales department and salary greater tha 30000</t>
  </si>
  <si>
    <t>Show employee from both hr and it department</t>
  </si>
  <si>
    <t>Show employee with salary greater than 40000.</t>
  </si>
  <si>
    <t>IT</t>
  </si>
  <si>
    <t>Priti</t>
  </si>
  <si>
    <t>HR</t>
  </si>
  <si>
    <t>Sohan</t>
  </si>
  <si>
    <t>Neha</t>
  </si>
  <si>
    <t>Sales</t>
  </si>
  <si>
    <t>Mohit</t>
  </si>
  <si>
    <t>Show the list of employees from the sales department</t>
  </si>
  <si>
    <t>Riya</t>
  </si>
  <si>
    <t>Answers</t>
  </si>
  <si>
    <t>Questions</t>
  </si>
  <si>
    <t>Amit</t>
  </si>
  <si>
    <t>Salary</t>
  </si>
  <si>
    <t>Department</t>
  </si>
  <si>
    <t>Name</t>
  </si>
  <si>
    <t>Dynamic Filter (Using cell Value)</t>
  </si>
  <si>
    <t>Q8</t>
  </si>
  <si>
    <t>Filter Using Text Starts With "A"</t>
  </si>
  <si>
    <t>Q7</t>
  </si>
  <si>
    <t>IF NO data Found (Error Handling)</t>
  </si>
  <si>
    <t>Q5</t>
  </si>
  <si>
    <t>Multiple Condition (Dept = IT OR City = Delhi)</t>
  </si>
  <si>
    <t>Q4</t>
  </si>
  <si>
    <t>Multiple Condition (Dept = IT AND Salary &gt; 30000)</t>
  </si>
  <si>
    <t>Q3</t>
  </si>
  <si>
    <t>Filter Top Salary Employee</t>
  </si>
  <si>
    <t>Q6</t>
  </si>
  <si>
    <t>Filter Salary&gt;30000</t>
  </si>
  <si>
    <t>Q2</t>
  </si>
  <si>
    <t>Indore</t>
  </si>
  <si>
    <t>Karan</t>
  </si>
  <si>
    <t>EMP106</t>
  </si>
  <si>
    <t>Bhopal</t>
  </si>
  <si>
    <t>Finance</t>
  </si>
  <si>
    <t>Pooja</t>
  </si>
  <si>
    <t>EMP104</t>
  </si>
  <si>
    <t>Pune</t>
  </si>
  <si>
    <t>Ram</t>
  </si>
  <si>
    <t>EMP103</t>
  </si>
  <si>
    <t>Filter IT Department Employees</t>
  </si>
  <si>
    <t>Q1</t>
  </si>
  <si>
    <t>Mumbai</t>
  </si>
  <si>
    <t>EMP102</t>
  </si>
  <si>
    <t>Delhi</t>
  </si>
  <si>
    <t>EMP101</t>
  </si>
  <si>
    <t>City</t>
  </si>
  <si>
    <t>Dept</t>
  </si>
  <si>
    <t>Emp ID</t>
  </si>
  <si>
    <t>Math</t>
  </si>
  <si>
    <t>Rahul</t>
  </si>
  <si>
    <t>Find marks using two way lookup (Name+Subject).</t>
  </si>
  <si>
    <t>ID</t>
  </si>
  <si>
    <t>Priya</t>
  </si>
  <si>
    <t>Get marks based on row number from one cell and column number from another cell.</t>
  </si>
  <si>
    <t>English</t>
  </si>
  <si>
    <t>Combine Index with match to find Rahuls English marks.</t>
  </si>
  <si>
    <t>Use index to return Riya's Science marks dynamically.</t>
  </si>
  <si>
    <t>Find the value at Row 3,Column 2 using INDEX</t>
  </si>
  <si>
    <t>Retrieve the English marks of Neha.</t>
  </si>
  <si>
    <t>Aman</t>
  </si>
  <si>
    <t>Get the Science marks of Aman.</t>
  </si>
  <si>
    <t>Find the Math marks of Priya using INDEX.</t>
  </si>
  <si>
    <t>Answer</t>
  </si>
  <si>
    <t>Science</t>
  </si>
  <si>
    <t>YELLOW</t>
  </si>
  <si>
    <t>U</t>
  </si>
  <si>
    <t>RED</t>
  </si>
  <si>
    <t>T</t>
  </si>
  <si>
    <t>GREEN</t>
  </si>
  <si>
    <t>S</t>
  </si>
  <si>
    <t>R</t>
  </si>
  <si>
    <t>BLUE</t>
  </si>
  <si>
    <t>Q</t>
  </si>
  <si>
    <t>P</t>
  </si>
  <si>
    <t>O</t>
  </si>
  <si>
    <t>N</t>
  </si>
  <si>
    <t>M</t>
  </si>
  <si>
    <t>L</t>
  </si>
  <si>
    <t>K</t>
  </si>
  <si>
    <t>J</t>
  </si>
  <si>
    <t>I</t>
  </si>
  <si>
    <t>G</t>
  </si>
  <si>
    <t>E</t>
  </si>
  <si>
    <t>Select Group:</t>
  </si>
  <si>
    <t>Q: List all students in the selected Group, using FILTER.</t>
  </si>
  <si>
    <t>Score</t>
  </si>
  <si>
    <t>Group</t>
  </si>
  <si>
    <t>age by days</t>
  </si>
  <si>
    <t>age by months</t>
  </si>
  <si>
    <t>age</t>
  </si>
  <si>
    <t>Birth day</t>
  </si>
  <si>
    <t>date</t>
  </si>
  <si>
    <t>Now</t>
  </si>
  <si>
    <t>Today</t>
  </si>
  <si>
    <t>Join with space</t>
  </si>
  <si>
    <t>Join</t>
  </si>
  <si>
    <t>Singh</t>
  </si>
  <si>
    <t>Kumar</t>
  </si>
  <si>
    <t>DIVYANSH</t>
  </si>
  <si>
    <t>AJAY</t>
  </si>
  <si>
    <t>AMAN</t>
  </si>
  <si>
    <t>VEDIK</t>
  </si>
  <si>
    <t>VISHWAS</t>
  </si>
  <si>
    <t>Proper</t>
  </si>
  <si>
    <t>Lower</t>
  </si>
  <si>
    <t>Upper</t>
  </si>
  <si>
    <t>Maths</t>
  </si>
  <si>
    <t>Upper/Lower/proper</t>
  </si>
  <si>
    <t>Gopal sharma</t>
  </si>
  <si>
    <t>Deepak singh</t>
  </si>
  <si>
    <t>Ravi Verma</t>
  </si>
  <si>
    <t>Mohan patel</t>
  </si>
  <si>
    <t>Sunil singh</t>
  </si>
  <si>
    <t>Ali Asgar</t>
  </si>
  <si>
    <t>Kapil singh</t>
  </si>
  <si>
    <t>Sunil Grover</t>
  </si>
  <si>
    <t>Kapil Sharma</t>
  </si>
  <si>
    <t>IF</t>
  </si>
  <si>
    <t>Nested IF</t>
  </si>
  <si>
    <t>IF/AND</t>
  </si>
  <si>
    <t>IF/OR</t>
  </si>
  <si>
    <t>Different Product</t>
  </si>
  <si>
    <t>Total bill</t>
  </si>
  <si>
    <t>Costumer Name</t>
  </si>
  <si>
    <t>Q: Total Sales of Burgur orders with Qty &gt; 10 (SUMIFS).</t>
  </si>
  <si>
    <t>Q: Total Sales in the East region where Sales &gt; 4000 (SUMIFS).</t>
  </si>
  <si>
    <t>Q: Total Qty sold where Sales &gt; 5000 (SUMIF).</t>
  </si>
  <si>
    <t>Q: Total Sales of Pizza sold in the East region (SUMIFS).</t>
  </si>
  <si>
    <t>South</t>
  </si>
  <si>
    <t>Burgur</t>
  </si>
  <si>
    <t>Q: Total Sales of Burgur sold in the West region (SUMIFS).</t>
  </si>
  <si>
    <t>East</t>
  </si>
  <si>
    <t>Pizza</t>
  </si>
  <si>
    <t>Q: Total Sales where Sales &gt; 5000 (SUMIF).</t>
  </si>
  <si>
    <t>Pasta</t>
  </si>
  <si>
    <t>Q: Total Qty sold of Pizza (SUMIF).</t>
  </si>
  <si>
    <t>West</t>
  </si>
  <si>
    <t>Q: Total Sales in the East region (SUMIF).</t>
  </si>
  <si>
    <t>Q: Total Sales of Burgur (SUMIF).</t>
  </si>
  <si>
    <t>Qty</t>
  </si>
  <si>
    <t>Region</t>
  </si>
  <si>
    <t>Q: Average Salary of Male employees (AVERAGEIF).</t>
  </si>
  <si>
    <t>Female</t>
  </si>
  <si>
    <t>Q: Total Salary of employees whose name starts with 'M' (SUMIF, wildcard).</t>
  </si>
  <si>
    <t>Sneha</t>
  </si>
  <si>
    <t>Q: Total Salary of HR + IT departments combined (two SUMIFs added).</t>
  </si>
  <si>
    <t>Q: Total Salary of all employees earning more than 35000 (SUMIF).</t>
  </si>
  <si>
    <t>Male</t>
  </si>
  <si>
    <t>Mohan</t>
  </si>
  <si>
    <t>Q: Total Salary of Finance dept, Female employees (SUMIFS).</t>
  </si>
  <si>
    <t>Maya</t>
  </si>
  <si>
    <t>Q: Total Salary of the HR department (SUMIF).</t>
  </si>
  <si>
    <t>Gender</t>
  </si>
  <si>
    <t>Employee</t>
  </si>
  <si>
    <t>Q: Count North + Product='B' orders with Sales &gt; 6000 (COUNTIFS).</t>
  </si>
  <si>
    <t>North</t>
  </si>
  <si>
    <t>Q: Count blank Price cells (COUNTBLANK).</t>
  </si>
  <si>
    <t>Q: Count South orders with Sales &lt; 4000 (COUNTIFS).</t>
  </si>
  <si>
    <t>Q: Count all non-empty Qty entries, incl. text (COUNTA).</t>
  </si>
  <si>
    <t>Q: Count Product='A' orders with Sales &gt;= 5000 (COUNTIFS).</t>
  </si>
  <si>
    <t>Q: Count numeric Qty entries (COUNT).</t>
  </si>
  <si>
    <t>Q: Count orders with Sales &gt; 4000 (COUNTIF).</t>
  </si>
  <si>
    <t>count</t>
  </si>
  <si>
    <t>xyz</t>
  </si>
  <si>
    <t>Q: Count Region='North' AND Product='A' orders (COUNTIFS).</t>
  </si>
  <si>
    <t>Price</t>
  </si>
  <si>
    <t>Q: Count students scoring between 50 and 90 inclusive (COUNTIFS).</t>
  </si>
  <si>
    <t>Aditi</t>
  </si>
  <si>
    <t>Q: Count Male employees in IT dept (COUNTIFS).</t>
  </si>
  <si>
    <t>Q: Count students scoring below 50 (COUNTIF).</t>
  </si>
  <si>
    <t>Q: Count how many attendance entries are filled in (COUNTA).</t>
  </si>
  <si>
    <t>Absent</t>
  </si>
  <si>
    <t>Ravi</t>
  </si>
  <si>
    <t>Q: Count Female employees (COUNTIF).</t>
  </si>
  <si>
    <t>Q: Count Rohan's Maths entries scoring above 90 (COUNTIFS).</t>
  </si>
  <si>
    <t>Rohan</t>
  </si>
  <si>
    <t>Q: Count names starting with 'R' (COUNTIF, wildcard).</t>
  </si>
  <si>
    <t>Present</t>
  </si>
  <si>
    <t>Ritu</t>
  </si>
  <si>
    <t>Q: Count all non-empty cells in A1:D7 (COUNTA).</t>
  </si>
  <si>
    <t>Q: Count Neha's entries scoring above 60 (COUNTIFS).</t>
  </si>
  <si>
    <t>Q: Count employees whose Status = Absent (COUNTIF).</t>
  </si>
  <si>
    <t>Q: Count numeric cells in A1:D7 (COUNT).</t>
  </si>
  <si>
    <t>Q: Count how many Maths entries there are (COUNTIF).</t>
  </si>
  <si>
    <t>Q: Count how many times "Ravi" appears (COUNTIF).</t>
  </si>
  <si>
    <t>Q: Count students scoring above 80 (COUNTIF).</t>
  </si>
  <si>
    <t>Q: Count employees whose Status = Present (COUNTIF).</t>
  </si>
  <si>
    <t>Subject</t>
  </si>
  <si>
    <t>Student</t>
  </si>
  <si>
    <t>Status</t>
  </si>
  <si>
    <t>EmpID</t>
  </si>
  <si>
    <t>Find how many employees are in Pooja's Department AND Pooja's City (COUNTIFS, full sheet reference).</t>
  </si>
  <si>
    <t>Find total Salary of Present, Sales-dept employees in Amit's City (SUMIFS).</t>
  </si>
  <si>
    <t>Find how many employees are in Ravi's Department AND Amit's City (COUNTIFS).</t>
  </si>
  <si>
    <t>Find total Salary of Present employees in Pooja's Department (SUMIFS).</t>
  </si>
  <si>
    <t>Find total Bonus of Present employees in Pooja's City (SUMIFS).</t>
  </si>
  <si>
    <t>Find total Salary of employees in Neha's City AND Amit's Department (SUMIFS).</t>
  </si>
  <si>
    <t>Find total Salary of employees with Amit's Status (SUMIF).</t>
  </si>
  <si>
    <t>Simran</t>
  </si>
  <si>
    <t>Find total Salary of employees in Amit's Department (SUMIF).</t>
  </si>
  <si>
    <t>Find how many employees share Amit's City AND Status (COUNTIFS).</t>
  </si>
  <si>
    <t>Find how many employees share Amit's Status AND Department (COUNTIFS).</t>
  </si>
  <si>
    <t>Find how many employees are in the same Department as Amit (COUNTIF).</t>
  </si>
  <si>
    <t>Find how many employees have the same Status as Amit (COUNTIF).</t>
  </si>
  <si>
    <t>Question</t>
  </si>
  <si>
    <t>Salary&gt;20000?</t>
  </si>
  <si>
    <t>Bonus</t>
  </si>
  <si>
    <t>Bonus Eligibility (IF, Sales&gt;=5000)</t>
  </si>
  <si>
    <t>Salary Band (IFS)</t>
  </si>
  <si>
    <t>salary</t>
  </si>
  <si>
    <t>No</t>
  </si>
  <si>
    <t>Nikita</t>
  </si>
  <si>
    <t>Divyansh</t>
  </si>
  <si>
    <t>Yes</t>
  </si>
  <si>
    <t>Uma</t>
  </si>
  <si>
    <t>vedik</t>
  </si>
  <si>
    <t>Vishwas</t>
  </si>
  <si>
    <t>Pass/Fail (IF/AND, Marks&gt;=50 and Attendance&gt;=75)</t>
  </si>
  <si>
    <t>Attendence</t>
  </si>
  <si>
    <t>Pass/Fail (IF/OR, Marks&gt;=50 or Sports)</t>
  </si>
  <si>
    <t>Sports</t>
  </si>
  <si>
    <t>Pass/Fail (IF, Marks&gt;=50)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</si>
</sst>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charset val="1"/>
    </font>
    <font>
      <i/>
      <sz val="11"/>
      <name val="Calibri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sz val="10"/>
      <name val="Arial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sz val="18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rgb="FF666699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89013336588644"/>
        <bgColor rgb="FFD9E1F2"/>
      </patternFill>
    </fill>
    <fill>
      <patternFill patternType="solid">
        <fgColor theme="9" tint="0.79989013336588644"/>
        <bgColor rgb="FFDEEBF7"/>
      </patternFill>
    </fill>
    <fill>
      <patternFill patternType="solid">
        <fgColor theme="0"/>
        <bgColor rgb="FFE2F0D9"/>
      </patternFill>
    </fill>
    <fill>
      <patternFill patternType="solid">
        <fgColor rgb="FFD9E1F2"/>
        <bgColor rgb="FFDEEBF7"/>
      </patternFill>
    </fill>
  </fills>
  <borders count="3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/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97">
    <xf numFmtId="0" fontId="0" fillId="0" borderId="0" xfId="0"/>
    <xf numFmtId="0" fontId="1" fillId="0" borderId="0" xfId="1"/>
    <xf numFmtId="0" fontId="1" fillId="0" borderId="1" xfId="1" applyBorder="1"/>
    <xf numFmtId="0" fontId="1" fillId="2" borderId="2" xfId="1" applyFill="1" applyBorder="1"/>
    <xf numFmtId="0" fontId="2" fillId="0" borderId="3" xfId="1" applyFont="1" applyBorder="1"/>
    <xf numFmtId="0" fontId="1" fillId="0" borderId="4" xfId="1" applyBorder="1"/>
    <xf numFmtId="0" fontId="1" fillId="2" borderId="5" xfId="1" applyFill="1" applyBorder="1"/>
    <xf numFmtId="0" fontId="1" fillId="0" borderId="6" xfId="1" applyBorder="1"/>
    <xf numFmtId="0" fontId="3" fillId="3" borderId="7" xfId="1" applyFont="1" applyFill="1" applyBorder="1" applyAlignment="1">
      <alignment vertical="center" wrapText="1"/>
    </xf>
    <xf numFmtId="0" fontId="4" fillId="4" borderId="3" xfId="1" applyFont="1" applyFill="1" applyBorder="1" applyAlignment="1">
      <alignment horizontal="center" vertical="center" wrapText="1"/>
    </xf>
    <xf numFmtId="0" fontId="1" fillId="2" borderId="1" xfId="1" applyFill="1" applyBorder="1"/>
    <xf numFmtId="0" fontId="5" fillId="2" borderId="2" xfId="1" applyFont="1" applyFill="1" applyBorder="1" applyAlignment="1">
      <alignment horizontal="right"/>
    </xf>
    <xf numFmtId="0" fontId="2" fillId="0" borderId="8" xfId="1" applyFont="1" applyBorder="1"/>
    <xf numFmtId="0" fontId="3" fillId="3" borderId="7" xfId="1" applyFont="1" applyFill="1" applyBorder="1" applyAlignment="1">
      <alignment horizontal="left" vertical="center"/>
    </xf>
    <xf numFmtId="0" fontId="4" fillId="4" borderId="8" xfId="1" applyFont="1" applyFill="1" applyBorder="1" applyAlignment="1">
      <alignment horizontal="center" vertical="center" wrapText="1"/>
    </xf>
    <xf numFmtId="0" fontId="6" fillId="0" borderId="0" xfId="2"/>
    <xf numFmtId="0" fontId="7" fillId="0" borderId="0" xfId="2" applyFont="1"/>
    <xf numFmtId="0" fontId="8" fillId="0" borderId="3" xfId="2" applyFont="1" applyBorder="1"/>
    <xf numFmtId="0" fontId="8" fillId="0" borderId="3" xfId="2" applyFont="1" applyBorder="1" applyAlignment="1">
      <alignment vertical="center" wrapText="1"/>
    </xf>
    <xf numFmtId="0" fontId="7" fillId="0" borderId="9" xfId="2" applyFont="1" applyBorder="1"/>
    <xf numFmtId="0" fontId="7" fillId="0" borderId="10" xfId="2" applyFont="1" applyBorder="1"/>
    <xf numFmtId="0" fontId="7" fillId="0" borderId="11" xfId="2" applyFont="1" applyBorder="1"/>
    <xf numFmtId="0" fontId="7" fillId="0" borderId="12" xfId="2" applyFont="1" applyBorder="1"/>
    <xf numFmtId="0" fontId="9" fillId="5" borderId="3" xfId="2" applyFont="1" applyFill="1" applyBorder="1" applyAlignment="1">
      <alignment vertical="center" wrapText="1"/>
    </xf>
    <xf numFmtId="0" fontId="9" fillId="5" borderId="3" xfId="2" applyFont="1" applyFill="1" applyBorder="1"/>
    <xf numFmtId="0" fontId="7" fillId="0" borderId="13" xfId="2" applyFont="1" applyBorder="1"/>
    <xf numFmtId="0" fontId="10" fillId="4" borderId="3" xfId="2" applyFont="1" applyFill="1" applyBorder="1" applyAlignment="1">
      <alignment horizontal="center" vertical="center" wrapText="1"/>
    </xf>
    <xf numFmtId="0" fontId="7" fillId="0" borderId="3" xfId="2" applyFont="1" applyBorder="1"/>
    <xf numFmtId="0" fontId="7" fillId="0" borderId="3" xfId="2" applyFont="1" applyBorder="1" applyAlignment="1">
      <alignment vertical="center" wrapText="1"/>
    </xf>
    <xf numFmtId="0" fontId="9" fillId="0" borderId="3" xfId="2" applyFont="1" applyBorder="1"/>
    <xf numFmtId="0" fontId="7" fillId="0" borderId="1" xfId="2" applyFont="1" applyBorder="1"/>
    <xf numFmtId="0" fontId="7" fillId="0" borderId="14" xfId="2" applyFont="1" applyBorder="1"/>
    <xf numFmtId="0" fontId="7" fillId="0" borderId="15" xfId="2" applyFont="1" applyBorder="1"/>
    <xf numFmtId="0" fontId="7" fillId="0" borderId="16" xfId="2" applyFont="1" applyBorder="1"/>
    <xf numFmtId="0" fontId="7" fillId="0" borderId="4" xfId="2" applyFont="1" applyBorder="1"/>
    <xf numFmtId="0" fontId="7" fillId="0" borderId="17" xfId="2" applyFont="1" applyBorder="1"/>
    <xf numFmtId="0" fontId="7" fillId="0" borderId="18" xfId="2" applyFont="1" applyBorder="1"/>
    <xf numFmtId="0" fontId="7" fillId="0" borderId="6" xfId="2" applyFont="1" applyBorder="1"/>
    <xf numFmtId="0" fontId="7" fillId="0" borderId="19" xfId="2" applyFont="1" applyBorder="1"/>
    <xf numFmtId="0" fontId="9" fillId="5" borderId="19" xfId="2" applyFont="1" applyFill="1" applyBorder="1"/>
    <xf numFmtId="0" fontId="9" fillId="5" borderId="20" xfId="2" applyFont="1" applyFill="1" applyBorder="1"/>
    <xf numFmtId="0" fontId="7" fillId="0" borderId="21" xfId="2" applyFont="1" applyBorder="1"/>
    <xf numFmtId="0" fontId="7" fillId="0" borderId="22" xfId="2" applyFont="1" applyBorder="1"/>
    <xf numFmtId="0" fontId="7" fillId="0" borderId="23" xfId="2" applyFont="1" applyBorder="1"/>
    <xf numFmtId="0" fontId="7" fillId="0" borderId="24" xfId="2" applyFont="1" applyBorder="1"/>
    <xf numFmtId="0" fontId="7" fillId="0" borderId="25" xfId="2" applyFont="1" applyBorder="1"/>
    <xf numFmtId="0" fontId="7" fillId="0" borderId="26" xfId="2" applyFont="1" applyBorder="1"/>
    <xf numFmtId="0" fontId="8" fillId="0" borderId="3" xfId="2" applyFont="1" applyBorder="1" applyAlignment="1">
      <alignment horizontal="center"/>
    </xf>
    <xf numFmtId="0" fontId="9" fillId="5" borderId="3" xfId="2" applyFont="1" applyFill="1" applyBorder="1" applyAlignment="1">
      <alignment horizontal="center"/>
    </xf>
    <xf numFmtId="0" fontId="9" fillId="0" borderId="0" xfId="2" applyFont="1" applyAlignment="1">
      <alignment horizontal="right"/>
    </xf>
    <xf numFmtId="14" fontId="6" fillId="0" borderId="10" xfId="2" applyNumberFormat="1" applyBorder="1"/>
    <xf numFmtId="0" fontId="6" fillId="6" borderId="10" xfId="2" applyFill="1" applyBorder="1"/>
    <xf numFmtId="0" fontId="6" fillId="0" borderId="10" xfId="2" applyBorder="1"/>
    <xf numFmtId="22" fontId="6" fillId="0" borderId="10" xfId="2" applyNumberFormat="1" applyBorder="1"/>
    <xf numFmtId="0" fontId="6" fillId="0" borderId="27" xfId="2" applyBorder="1"/>
    <xf numFmtId="0" fontId="6" fillId="0" borderId="1" xfId="2" applyBorder="1"/>
    <xf numFmtId="0" fontId="6" fillId="0" borderId="2" xfId="2" applyBorder="1"/>
    <xf numFmtId="0" fontId="6" fillId="0" borderId="28" xfId="2" applyBorder="1"/>
    <xf numFmtId="0" fontId="6" fillId="0" borderId="4" xfId="2" applyBorder="1"/>
    <xf numFmtId="0" fontId="6" fillId="0" borderId="5" xfId="2" applyBorder="1"/>
    <xf numFmtId="0" fontId="6" fillId="0" borderId="29" xfId="2" applyBorder="1"/>
    <xf numFmtId="0" fontId="6" fillId="0" borderId="6" xfId="2" applyBorder="1"/>
    <xf numFmtId="0" fontId="6" fillId="0" borderId="7" xfId="2" applyBorder="1"/>
    <xf numFmtId="0" fontId="6" fillId="6" borderId="0" xfId="2" applyFill="1"/>
    <xf numFmtId="0" fontId="0" fillId="7" borderId="0" xfId="0" applyFill="1"/>
    <xf numFmtId="0" fontId="12" fillId="8" borderId="10" xfId="0" applyFont="1" applyFill="1" applyBorder="1"/>
    <xf numFmtId="0" fontId="12" fillId="9" borderId="10" xfId="0" applyFont="1" applyFill="1" applyBorder="1"/>
    <xf numFmtId="0" fontId="12" fillId="10" borderId="11" xfId="0" applyFont="1" applyFill="1" applyBorder="1"/>
    <xf numFmtId="0" fontId="12" fillId="10" borderId="13" xfId="0" applyFont="1" applyFill="1" applyBorder="1"/>
    <xf numFmtId="0" fontId="12" fillId="10" borderId="24" xfId="0" applyFont="1" applyFill="1" applyBorder="1"/>
    <xf numFmtId="0" fontId="11" fillId="0" borderId="0" xfId="2" applyFont="1" applyAlignment="1">
      <alignment horizontal="left" vertical="center" wrapText="1"/>
    </xf>
    <xf numFmtId="0" fontId="2" fillId="11" borderId="3" xfId="1" applyFont="1" applyFill="1" applyBorder="1" applyAlignment="1">
      <alignment horizontal="center"/>
    </xf>
    <xf numFmtId="0" fontId="3" fillId="11" borderId="3" xfId="1" applyFont="1" applyFill="1" applyBorder="1" applyAlignment="1">
      <alignment horizontal="left" vertical="center"/>
    </xf>
    <xf numFmtId="3" fontId="2" fillId="0" borderId="3" xfId="1" applyNumberFormat="1" applyFont="1" applyBorder="1"/>
    <xf numFmtId="0" fontId="1" fillId="0" borderId="3" xfId="1" applyBorder="1"/>
    <xf numFmtId="0" fontId="3" fillId="0" borderId="3" xfId="1" applyFont="1" applyBorder="1"/>
    <xf numFmtId="0" fontId="2" fillId="12" borderId="3" xfId="1" applyFont="1" applyFill="1" applyBorder="1" applyAlignment="1">
      <alignment horizontal="center"/>
    </xf>
    <xf numFmtId="0" fontId="3" fillId="12" borderId="3" xfId="1" applyFont="1" applyFill="1" applyBorder="1" applyAlignment="1">
      <alignment horizontal="left" vertical="center"/>
    </xf>
    <xf numFmtId="0" fontId="1" fillId="0" borderId="12" xfId="1" applyBorder="1"/>
    <xf numFmtId="0" fontId="1" fillId="0" borderId="10" xfId="1" applyBorder="1"/>
    <xf numFmtId="3" fontId="2" fillId="0" borderId="10" xfId="1" applyNumberFormat="1" applyFont="1" applyBorder="1"/>
    <xf numFmtId="0" fontId="2" fillId="0" borderId="10" xfId="1" applyFont="1" applyBorder="1"/>
    <xf numFmtId="0" fontId="3" fillId="0" borderId="10" xfId="1" applyFont="1" applyBorder="1" applyAlignment="1">
      <alignment horizontal="left" vertical="center" wrapText="1"/>
    </xf>
    <xf numFmtId="0" fontId="4" fillId="4" borderId="30" xfId="1" applyFont="1" applyFill="1" applyBorder="1" applyAlignment="1">
      <alignment horizontal="center" vertical="center" wrapText="1"/>
    </xf>
    <xf numFmtId="0" fontId="3" fillId="0" borderId="10" xfId="1" applyFont="1" applyBorder="1" applyAlignment="1">
      <alignment vertical="center" wrapText="1"/>
    </xf>
    <xf numFmtId="3" fontId="2" fillId="0" borderId="31" xfId="1" applyNumberFormat="1" applyFont="1" applyBorder="1"/>
    <xf numFmtId="0" fontId="3" fillId="0" borderId="10" xfId="1" applyFont="1" applyBorder="1"/>
    <xf numFmtId="0" fontId="1" fillId="13" borderId="10" xfId="1" applyFill="1" applyBorder="1"/>
    <xf numFmtId="0" fontId="4" fillId="4" borderId="3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vertical="center" wrapText="1"/>
    </xf>
    <xf numFmtId="0" fontId="2" fillId="0" borderId="3" xfId="1" applyFont="1" applyBorder="1" applyAlignment="1">
      <alignment horizontal="center" vertical="center"/>
    </xf>
    <xf numFmtId="0" fontId="2" fillId="0" borderId="0" xfId="1" applyFont="1" applyAlignment="1">
      <alignment vertical="center" wrapText="1"/>
    </xf>
    <xf numFmtId="0" fontId="2" fillId="0" borderId="10" xfId="1" applyFont="1" applyBorder="1" applyAlignment="1">
      <alignment horizontal="center"/>
    </xf>
    <xf numFmtId="0" fontId="5" fillId="14" borderId="0" xfId="1" applyFont="1" applyFill="1" applyAlignment="1">
      <alignment horizontal="center"/>
    </xf>
    <xf numFmtId="0" fontId="5" fillId="14" borderId="0" xfId="1" applyFont="1" applyFill="1" applyAlignment="1">
      <alignment horizontal="center"/>
    </xf>
    <xf numFmtId="0" fontId="5" fillId="14" borderId="10" xfId="1" applyFont="1" applyFill="1" applyBorder="1" applyAlignment="1">
      <alignment horizontal="center" wrapText="1"/>
    </xf>
    <xf numFmtId="0" fontId="4" fillId="4" borderId="10" xfId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8C8D6619-66B4-4DBB-9FE5-D685591ABB8C}"/>
    <cellStyle name="Normal 3" xfId="2" xr:uid="{9A776594-CF89-49D8-953B-34404FBA1E7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A2D9F-3756-4009-8C31-CF57B88A78F1}">
  <dimension ref="A1:R16"/>
  <sheetViews>
    <sheetView tabSelected="1" zoomScaleNormal="100" workbookViewId="0">
      <selection activeCell="E14" sqref="E14"/>
    </sheetView>
  </sheetViews>
  <sheetFormatPr defaultColWidth="8.6328125" defaultRowHeight="14.5" x14ac:dyDescent="0.35"/>
  <cols>
    <col min="1" max="1" width="12" style="1" customWidth="1"/>
    <col min="2" max="2" width="8" style="1" customWidth="1"/>
    <col min="3" max="3" width="26" style="1" customWidth="1"/>
    <col min="4" max="7" width="8.6328125" style="1"/>
    <col min="8" max="10" width="8" style="1" customWidth="1"/>
    <col min="11" max="11" width="32" style="1" customWidth="1"/>
    <col min="12" max="14" width="8.6328125" style="1"/>
    <col min="15" max="16" width="8" style="1" customWidth="1"/>
    <col min="17" max="17" width="12" style="1" customWidth="1"/>
    <col min="18" max="18" width="38" style="1" customWidth="1"/>
    <col min="19" max="16384" width="8.6328125" style="1"/>
  </cols>
  <sheetData>
    <row r="1" spans="1:18" ht="27.75" customHeight="1" x14ac:dyDescent="0.35">
      <c r="A1" s="9" t="s">
        <v>35</v>
      </c>
      <c r="B1" s="9" t="s">
        <v>16</v>
      </c>
      <c r="C1" s="9" t="s">
        <v>242</v>
      </c>
      <c r="H1" s="9" t="s">
        <v>35</v>
      </c>
      <c r="I1" s="9" t="s">
        <v>16</v>
      </c>
      <c r="J1" s="9" t="s">
        <v>241</v>
      </c>
      <c r="K1" s="9" t="s">
        <v>240</v>
      </c>
      <c r="O1" s="9" t="s">
        <v>35</v>
      </c>
      <c r="P1" s="9" t="s">
        <v>16</v>
      </c>
      <c r="Q1" s="9" t="s">
        <v>239</v>
      </c>
      <c r="R1" s="9" t="s">
        <v>238</v>
      </c>
    </row>
    <row r="2" spans="1:18" ht="14.25" customHeight="1" x14ac:dyDescent="0.35">
      <c r="A2" s="4" t="s">
        <v>237</v>
      </c>
      <c r="B2" s="4">
        <v>85</v>
      </c>
      <c r="C2" s="4" t="str">
        <f>IF(B2&gt;=50,"Pass","Fail")</f>
        <v>Pass</v>
      </c>
      <c r="H2" s="4" t="s">
        <v>8</v>
      </c>
      <c r="I2" s="4">
        <v>30</v>
      </c>
      <c r="J2" s="4" t="s">
        <v>234</v>
      </c>
      <c r="K2" s="4" t="str">
        <f>IF(OR(I2&gt;=50,J2="Yes"),"Pass","Fail")</f>
        <v>Pass</v>
      </c>
      <c r="O2" s="4" t="s">
        <v>8</v>
      </c>
      <c r="P2" s="4">
        <v>80</v>
      </c>
      <c r="Q2" s="4">
        <v>90</v>
      </c>
      <c r="R2" s="4" t="str">
        <f>IF(AND(P2&gt;=50,Q2&gt;=75),"Pass","Fail")</f>
        <v>Pass</v>
      </c>
    </row>
    <row r="3" spans="1:18" ht="14.25" customHeight="1" x14ac:dyDescent="0.35">
      <c r="A3" s="4" t="s">
        <v>236</v>
      </c>
      <c r="B3" s="4">
        <v>45</v>
      </c>
      <c r="C3" s="4" t="str">
        <f>IF(B3&gt;=50,"Pass","Fail")</f>
        <v>Fail</v>
      </c>
      <c r="H3" s="4" t="s">
        <v>9</v>
      </c>
      <c r="I3" s="4">
        <v>60</v>
      </c>
      <c r="J3" s="4" t="s">
        <v>231</v>
      </c>
      <c r="K3" s="4" t="str">
        <f>IF(OR(I3&gt;=50,J3="Yes"),"Pass","Fail")</f>
        <v>Pass</v>
      </c>
      <c r="O3" s="4" t="s">
        <v>9</v>
      </c>
      <c r="P3" s="4">
        <v>40</v>
      </c>
      <c r="Q3" s="4">
        <v>95</v>
      </c>
      <c r="R3" s="4" t="str">
        <f>IF(AND(P3&gt;=50,Q3&gt;=75),"Pass","Fail")</f>
        <v>Fail</v>
      </c>
    </row>
    <row r="4" spans="1:18" ht="14.25" customHeight="1" x14ac:dyDescent="0.35">
      <c r="A4" s="4" t="s">
        <v>235</v>
      </c>
      <c r="B4" s="4">
        <v>60</v>
      </c>
      <c r="C4" s="4" t="str">
        <f>IF(B4&gt;=50,"Pass","Fail")</f>
        <v>Pass</v>
      </c>
      <c r="H4" s="4" t="s">
        <v>10</v>
      </c>
      <c r="I4" s="4">
        <v>40</v>
      </c>
      <c r="J4" s="4" t="s">
        <v>234</v>
      </c>
      <c r="K4" s="4" t="str">
        <f>IF(OR(I4&gt;=50,J4="Yes"),"Pass","Fail")</f>
        <v>Pass</v>
      </c>
      <c r="O4" s="4" t="s">
        <v>10</v>
      </c>
      <c r="P4" s="4">
        <v>70</v>
      </c>
      <c r="Q4" s="4">
        <v>60</v>
      </c>
      <c r="R4" s="4" t="str">
        <f>IF(AND(P4&gt;=50,Q4&gt;=75),"Pass","Fail")</f>
        <v>Fail</v>
      </c>
    </row>
    <row r="5" spans="1:18" ht="14.25" customHeight="1" x14ac:dyDescent="0.35">
      <c r="A5" s="4" t="s">
        <v>233</v>
      </c>
      <c r="B5" s="4">
        <v>30</v>
      </c>
      <c r="C5" s="4" t="str">
        <f>IF(B5&gt;=50,"Pass","Fail")</f>
        <v>Fail</v>
      </c>
      <c r="H5" s="4" t="s">
        <v>11</v>
      </c>
      <c r="I5" s="4">
        <v>80</v>
      </c>
      <c r="J5" s="4" t="s">
        <v>231</v>
      </c>
      <c r="K5" s="4" t="str">
        <f>IF(OR(I5&gt;=50,J5="Yes"),"Pass","Fail")</f>
        <v>Pass</v>
      </c>
      <c r="O5" s="4" t="s">
        <v>11</v>
      </c>
      <c r="P5" s="4">
        <v>55</v>
      </c>
      <c r="Q5" s="4">
        <v>85</v>
      </c>
      <c r="R5" s="4" t="str">
        <f>IF(AND(P5&gt;=50,Q5&gt;=75),"Pass","Fail")</f>
        <v>Pass</v>
      </c>
    </row>
    <row r="6" spans="1:18" ht="14.25" customHeight="1" x14ac:dyDescent="0.35">
      <c r="A6" s="4" t="s">
        <v>232</v>
      </c>
      <c r="B6" s="4">
        <v>75</v>
      </c>
      <c r="C6" s="4" t="str">
        <f>IF(B6&gt;=50,"Pass","Fail")</f>
        <v>Pass</v>
      </c>
      <c r="H6" s="4" t="s">
        <v>103</v>
      </c>
      <c r="I6" s="4">
        <v>20</v>
      </c>
      <c r="J6" s="4" t="s">
        <v>231</v>
      </c>
      <c r="K6" s="4" t="str">
        <f>IF(OR(I6&gt;=50,J6="Yes"),"Pass","Fail")</f>
        <v>Fail</v>
      </c>
      <c r="O6" s="4" t="s">
        <v>103</v>
      </c>
      <c r="P6" s="4">
        <v>30</v>
      </c>
      <c r="Q6" s="4">
        <v>50</v>
      </c>
      <c r="R6" s="4" t="str">
        <f>IF(AND(P6&gt;=50,Q6&gt;=75),"Pass","Fail")</f>
        <v>Fail</v>
      </c>
    </row>
    <row r="11" spans="1:18" ht="68.25" customHeight="1" x14ac:dyDescent="0.35">
      <c r="A11" s="9" t="s">
        <v>174</v>
      </c>
      <c r="B11" s="9" t="s">
        <v>230</v>
      </c>
      <c r="C11" s="9" t="s">
        <v>229</v>
      </c>
      <c r="H11" s="9" t="s">
        <v>174</v>
      </c>
      <c r="I11" s="9" t="s">
        <v>26</v>
      </c>
      <c r="J11" s="9" t="s">
        <v>228</v>
      </c>
    </row>
    <row r="12" spans="1:18" ht="14.25" customHeight="1" x14ac:dyDescent="0.35">
      <c r="A12" s="4" t="s">
        <v>8</v>
      </c>
      <c r="B12" s="73">
        <v>10000</v>
      </c>
      <c r="C12" s="4" t="str">
        <f t="array" ref="C12">_xlfn.IFS(B12&gt;=30000,"High",B12&gt;=20000,"Medium",B12&lt;20000,"Low")</f>
        <v>Low</v>
      </c>
      <c r="H12" s="4" t="s">
        <v>8</v>
      </c>
      <c r="I12" s="73">
        <v>5000</v>
      </c>
      <c r="J12" s="4" t="str">
        <f>IF(I12&gt;=5000,"Bonus","No Bonus")</f>
        <v>Bonus</v>
      </c>
    </row>
    <row r="13" spans="1:18" ht="14.25" customHeight="1" x14ac:dyDescent="0.35">
      <c r="A13" s="4" t="s">
        <v>9</v>
      </c>
      <c r="B13" s="73">
        <v>25000</v>
      </c>
      <c r="C13" s="4" t="str">
        <f t="array" ref="C13">_xlfn.IFS(B13&gt;=30000,"High",B13&gt;=20000,"Medium",B13&lt;20000,"Low")</f>
        <v>Medium</v>
      </c>
      <c r="H13" s="4" t="s">
        <v>9</v>
      </c>
      <c r="I13" s="73">
        <v>2000</v>
      </c>
      <c r="J13" s="4" t="str">
        <f>IF(I13&gt;=5000,"Bonus","No Bonus")</f>
        <v>No Bonus</v>
      </c>
    </row>
    <row r="14" spans="1:18" ht="14.25" customHeight="1" x14ac:dyDescent="0.35">
      <c r="A14" s="4" t="s">
        <v>10</v>
      </c>
      <c r="B14" s="73">
        <v>40000</v>
      </c>
      <c r="C14" s="4" t="str">
        <f t="array" ref="C14">_xlfn.IFS(B14&gt;=30000,"High",B14&gt;=20000,"Medium",B14&lt;20000,"Low")</f>
        <v>High</v>
      </c>
      <c r="H14" s="4" t="s">
        <v>10</v>
      </c>
      <c r="I14" s="73">
        <v>8000</v>
      </c>
      <c r="J14" s="4" t="str">
        <f>IF(I14&gt;=5000,"Bonus","No Bonus")</f>
        <v>Bonus</v>
      </c>
    </row>
    <row r="15" spans="1:18" ht="14.25" customHeight="1" x14ac:dyDescent="0.35">
      <c r="A15" s="4" t="s">
        <v>11</v>
      </c>
      <c r="B15" s="73">
        <v>15000</v>
      </c>
      <c r="C15" s="4" t="str">
        <f t="array" ref="C15">_xlfn.IFS(B15&gt;=30000,"High",B15&gt;=20000,"Medium",B15&lt;20000,"Low")</f>
        <v>Low</v>
      </c>
      <c r="H15" s="4" t="s">
        <v>11</v>
      </c>
      <c r="I15" s="73">
        <v>1500</v>
      </c>
      <c r="J15" s="4" t="str">
        <f>IF(I15&gt;=5000,"Bonus","No Bonus")</f>
        <v>No Bonus</v>
      </c>
    </row>
    <row r="16" spans="1:18" ht="14.25" customHeight="1" x14ac:dyDescent="0.35">
      <c r="A16" s="4" t="s">
        <v>103</v>
      </c>
      <c r="B16" s="73">
        <v>30000</v>
      </c>
      <c r="C16" s="4" t="str">
        <f t="array" ref="C16">_xlfn.IFS(B16&gt;=30000,"High",B16&gt;=20000,"Medium",B16&lt;20000,"Low")</f>
        <v>High</v>
      </c>
      <c r="H16" s="4" t="s">
        <v>103</v>
      </c>
      <c r="I16" s="73">
        <v>6000</v>
      </c>
      <c r="J16" s="4" t="str">
        <f>IF(I16&gt;=5000,"Bonus","No Bonus")</f>
        <v>Bonus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DEFB5-3E64-4D31-A8CA-DC3BE6E47861}">
  <dimension ref="A2:L14"/>
  <sheetViews>
    <sheetView topLeftCell="D7" zoomScaleNormal="100" workbookViewId="0">
      <selection activeCell="E11" sqref="E11"/>
    </sheetView>
  </sheetViews>
  <sheetFormatPr defaultColWidth="8.6328125" defaultRowHeight="14.5" x14ac:dyDescent="0.35"/>
  <cols>
    <col min="1" max="1" width="10" style="1" customWidth="1"/>
    <col min="2" max="2" width="12" style="1" customWidth="1"/>
    <col min="3" max="3" width="10" style="1" customWidth="1"/>
    <col min="4" max="4" width="9" style="1" customWidth="1"/>
    <col min="5" max="5" width="8" style="1" customWidth="1"/>
    <col min="6" max="6" width="10" style="1" customWidth="1"/>
    <col min="7" max="8" width="12" style="1" customWidth="1"/>
    <col min="9" max="9" width="10" style="1" customWidth="1"/>
    <col min="10" max="10" width="8.6328125" style="1"/>
    <col min="11" max="12" width="24" style="1" customWidth="1"/>
    <col min="13" max="21" width="1.81640625" style="1" customWidth="1"/>
    <col min="22" max="43" width="2.81640625" style="1" customWidth="1"/>
    <col min="44" max="16384" width="8.6328125" style="1"/>
  </cols>
  <sheetData>
    <row r="2" spans="1:12" ht="14.25" customHeight="1" x14ac:dyDescent="0.35">
      <c r="A2" s="96" t="s">
        <v>35</v>
      </c>
      <c r="B2" s="96" t="s">
        <v>34</v>
      </c>
      <c r="C2" s="96" t="s">
        <v>210</v>
      </c>
      <c r="D2" s="96" t="s">
        <v>33</v>
      </c>
      <c r="E2" s="96" t="s">
        <v>227</v>
      </c>
      <c r="F2" s="96" t="s">
        <v>66</v>
      </c>
      <c r="G2" s="95" t="s">
        <v>226</v>
      </c>
      <c r="I2" s="94" t="s">
        <v>83</v>
      </c>
      <c r="K2" s="93" t="s">
        <v>225</v>
      </c>
      <c r="L2" s="93"/>
    </row>
    <row r="3" spans="1:12" ht="30" customHeight="1" x14ac:dyDescent="0.35">
      <c r="A3" s="81" t="s">
        <v>32</v>
      </c>
      <c r="B3" s="81" t="s">
        <v>26</v>
      </c>
      <c r="C3" s="81" t="s">
        <v>198</v>
      </c>
      <c r="D3" s="80">
        <v>20000</v>
      </c>
      <c r="E3" s="80">
        <v>2000</v>
      </c>
      <c r="F3" s="81" t="s">
        <v>53</v>
      </c>
      <c r="G3" s="92" t="str">
        <f>IF(D3&gt;20000,"True","False")</f>
        <v>False</v>
      </c>
      <c r="I3" s="90">
        <f>COUNTIF(C3:C9,C3)</f>
        <v>5</v>
      </c>
      <c r="K3" s="89" t="s">
        <v>224</v>
      </c>
      <c r="L3" s="89"/>
    </row>
    <row r="4" spans="1:12" ht="30" customHeight="1" x14ac:dyDescent="0.35">
      <c r="A4" s="81" t="s">
        <v>25</v>
      </c>
      <c r="B4" s="81" t="s">
        <v>23</v>
      </c>
      <c r="C4" s="81" t="s">
        <v>192</v>
      </c>
      <c r="D4" s="80">
        <v>25000</v>
      </c>
      <c r="E4" s="80">
        <v>3000</v>
      </c>
      <c r="F4" s="81" t="s">
        <v>50</v>
      </c>
      <c r="G4" s="92" t="str">
        <f>IF(D4&gt;20000,"True","False")</f>
        <v>True</v>
      </c>
      <c r="I4" s="90">
        <f>COUNTIF(B3:B9,B3)</f>
        <v>3</v>
      </c>
      <c r="K4" s="89" t="s">
        <v>223</v>
      </c>
      <c r="L4" s="89"/>
    </row>
    <row r="5" spans="1:12" ht="30" customHeight="1" x14ac:dyDescent="0.35">
      <c r="A5" s="81" t="s">
        <v>193</v>
      </c>
      <c r="B5" s="81" t="s">
        <v>26</v>
      </c>
      <c r="C5" s="81" t="s">
        <v>198</v>
      </c>
      <c r="D5" s="80">
        <v>18000</v>
      </c>
      <c r="E5" s="80">
        <v>1500</v>
      </c>
      <c r="F5" s="81" t="s">
        <v>53</v>
      </c>
      <c r="G5" s="92" t="str">
        <f>IF(D5&gt;20000,"True","False")</f>
        <v>False</v>
      </c>
      <c r="I5" s="90">
        <f>COUNTIFS(C3:C9,C3,B3:B9,B3)</f>
        <v>2</v>
      </c>
      <c r="K5" s="89" t="s">
        <v>222</v>
      </c>
      <c r="L5" s="89"/>
    </row>
    <row r="6" spans="1:12" ht="30" customHeight="1" x14ac:dyDescent="0.35">
      <c r="A6" s="81" t="s">
        <v>55</v>
      </c>
      <c r="B6" s="81" t="s">
        <v>21</v>
      </c>
      <c r="C6" s="81" t="s">
        <v>198</v>
      </c>
      <c r="D6" s="80">
        <v>30000</v>
      </c>
      <c r="E6" s="80">
        <v>4000</v>
      </c>
      <c r="F6" s="81" t="s">
        <v>64</v>
      </c>
      <c r="G6" s="92" t="str">
        <f>IF(D6&gt;20000,"True","False")</f>
        <v>True</v>
      </c>
      <c r="I6" s="90">
        <f>COUNTIFS(F3:F9,F3,C3:C9,C3)</f>
        <v>3</v>
      </c>
      <c r="K6" s="89" t="s">
        <v>221</v>
      </c>
      <c r="L6" s="89"/>
    </row>
    <row r="7" spans="1:12" ht="30" customHeight="1" x14ac:dyDescent="0.35">
      <c r="A7" s="81" t="s">
        <v>51</v>
      </c>
      <c r="B7" s="81" t="s">
        <v>23</v>
      </c>
      <c r="C7" s="81" t="s">
        <v>198</v>
      </c>
      <c r="D7" s="80">
        <v>22000</v>
      </c>
      <c r="E7" s="80">
        <v>2000</v>
      </c>
      <c r="F7" s="81" t="s">
        <v>53</v>
      </c>
      <c r="G7" s="92" t="str">
        <f>IF(D7&gt;20000,"True","False")</f>
        <v>True</v>
      </c>
      <c r="I7" s="90">
        <f>SUMIF(B3:B9,B3,D3:D9)</f>
        <v>59000</v>
      </c>
      <c r="K7" s="89" t="s">
        <v>220</v>
      </c>
      <c r="L7" s="89"/>
    </row>
    <row r="8" spans="1:12" ht="30" customHeight="1" x14ac:dyDescent="0.35">
      <c r="A8" s="81" t="s">
        <v>219</v>
      </c>
      <c r="B8" s="81" t="s">
        <v>26</v>
      </c>
      <c r="C8" s="81" t="s">
        <v>192</v>
      </c>
      <c r="D8" s="80">
        <v>21000</v>
      </c>
      <c r="E8" s="80">
        <v>2500</v>
      </c>
      <c r="F8" s="81" t="s">
        <v>50</v>
      </c>
      <c r="G8" s="92" t="str">
        <f>IF(D8&gt;20000,"True","False")</f>
        <v>True</v>
      </c>
      <c r="I8" s="90">
        <f>SUMIF(C3:C9,C3,D3:D9)</f>
        <v>118000</v>
      </c>
      <c r="K8" s="89" t="s">
        <v>218</v>
      </c>
      <c r="L8" s="89"/>
    </row>
    <row r="9" spans="1:12" ht="30" customHeight="1" x14ac:dyDescent="0.35">
      <c r="A9" s="81" t="s">
        <v>27</v>
      </c>
      <c r="B9" s="81" t="s">
        <v>21</v>
      </c>
      <c r="C9" s="81" t="s">
        <v>198</v>
      </c>
      <c r="D9" s="80">
        <v>28000</v>
      </c>
      <c r="E9" s="80">
        <v>3500</v>
      </c>
      <c r="F9" s="81" t="s">
        <v>64</v>
      </c>
      <c r="G9" s="92" t="str">
        <f>IF(D9&gt;20000,"True","False")</f>
        <v>True</v>
      </c>
      <c r="I9" s="90">
        <f>SUMIFS(D3:D9,F3:F9,F3,B3:B9,B4)</f>
        <v>22000</v>
      </c>
      <c r="K9" s="89" t="s">
        <v>217</v>
      </c>
      <c r="L9" s="89"/>
    </row>
    <row r="10" spans="1:12" ht="30" customHeight="1" x14ac:dyDescent="0.35">
      <c r="G10" s="91"/>
      <c r="I10" s="90">
        <f>SUMIFS(E3:E9,C3:C9,C3,F3:F9,F6)</f>
        <v>7500</v>
      </c>
      <c r="K10" s="89" t="s">
        <v>216</v>
      </c>
      <c r="L10" s="89"/>
    </row>
    <row r="11" spans="1:12" ht="30" customHeight="1" x14ac:dyDescent="0.35">
      <c r="G11" s="91"/>
      <c r="I11" s="90">
        <f>SUMIFS(D3:D9,B3:B9,B6,C3:C9,C3)</f>
        <v>58000</v>
      </c>
      <c r="K11" s="89" t="s">
        <v>215</v>
      </c>
      <c r="L11" s="89"/>
    </row>
    <row r="12" spans="1:12" ht="30" customHeight="1" x14ac:dyDescent="0.35">
      <c r="G12" s="91"/>
      <c r="I12" s="90">
        <f>COUNTIFS(B3:B9,B5,F3:F9,F3)</f>
        <v>2</v>
      </c>
      <c r="K12" s="89" t="s">
        <v>214</v>
      </c>
      <c r="L12" s="89"/>
    </row>
    <row r="13" spans="1:12" ht="30" customHeight="1" x14ac:dyDescent="0.35">
      <c r="G13" s="91"/>
      <c r="I13" s="90">
        <f>SUMIFS(D3:D9,C3:C9,C3,B3:B9,B3,F3:F9,F3)</f>
        <v>38000</v>
      </c>
      <c r="K13" s="89" t="s">
        <v>213</v>
      </c>
      <c r="L13" s="89"/>
    </row>
    <row r="14" spans="1:12" ht="30" customHeight="1" x14ac:dyDescent="0.35">
      <c r="G14" s="91"/>
      <c r="I14" s="90">
        <f>COUNTIFS(mix_question!C3:C9,mix_question!C3,mix_question!B3:B9,mix_question!B6,mix_question!F3:F9,mix_question!F6)</f>
        <v>2</v>
      </c>
      <c r="K14" s="89" t="s">
        <v>212</v>
      </c>
      <c r="L14" s="89"/>
    </row>
  </sheetData>
  <mergeCells count="13">
    <mergeCell ref="K13:L13"/>
    <mergeCell ref="K14:L14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  <mergeCell ref="K12:L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81181-385F-4483-99AA-E82D715EEBD6}">
  <dimension ref="A1:U21"/>
  <sheetViews>
    <sheetView topLeftCell="F12" zoomScale="69" zoomScaleNormal="100" workbookViewId="0">
      <selection activeCell="M32" sqref="M32"/>
    </sheetView>
  </sheetViews>
  <sheetFormatPr defaultColWidth="8.6328125" defaultRowHeight="14.5" x14ac:dyDescent="0.35"/>
  <cols>
    <col min="1" max="1" width="10" style="1" customWidth="1"/>
    <col min="2" max="2" width="12" style="1" customWidth="1"/>
    <col min="3" max="4" width="8" style="1" customWidth="1"/>
    <col min="5" max="5" width="41.90625" style="1" bestFit="1" customWidth="1"/>
    <col min="6" max="6" width="2.81640625" style="1" bestFit="1" customWidth="1"/>
    <col min="7" max="9" width="8.6328125" style="1"/>
    <col min="10" max="11" width="7" style="1" customWidth="1"/>
    <col min="12" max="12" width="8" style="1" customWidth="1"/>
    <col min="13" max="13" width="52.26953125" style="1" bestFit="1" customWidth="1"/>
    <col min="14" max="14" width="1.81640625" style="1" bestFit="1" customWidth="1"/>
    <col min="15" max="15" width="7" style="1" customWidth="1"/>
    <col min="16" max="17" width="8" style="1" customWidth="1"/>
    <col min="18" max="18" width="7" style="1" customWidth="1"/>
    <col min="19" max="19" width="8" style="1" customWidth="1"/>
    <col min="20" max="20" width="47.6328125" style="1" bestFit="1" customWidth="1"/>
    <col min="21" max="21" width="1.81640625" style="1" bestFit="1" customWidth="1"/>
    <col min="22" max="16384" width="8.6328125" style="1"/>
  </cols>
  <sheetData>
    <row r="1" spans="1:21" ht="14.25" customHeight="1" x14ac:dyDescent="0.35">
      <c r="A1" s="83" t="s">
        <v>174</v>
      </c>
      <c r="B1" s="83" t="s">
        <v>34</v>
      </c>
      <c r="C1" s="83" t="s">
        <v>173</v>
      </c>
      <c r="D1" s="9" t="s">
        <v>33</v>
      </c>
      <c r="J1" s="83" t="s">
        <v>211</v>
      </c>
      <c r="K1" s="83" t="s">
        <v>35</v>
      </c>
      <c r="L1" s="88" t="s">
        <v>210</v>
      </c>
      <c r="Q1" s="83" t="s">
        <v>209</v>
      </c>
      <c r="R1" s="83" t="s">
        <v>208</v>
      </c>
      <c r="S1" s="83" t="s">
        <v>16</v>
      </c>
    </row>
    <row r="2" spans="1:21" ht="27.75" customHeight="1" x14ac:dyDescent="0.35">
      <c r="A2" s="81" t="s">
        <v>32</v>
      </c>
      <c r="B2" s="81" t="s">
        <v>23</v>
      </c>
      <c r="C2" s="81" t="s">
        <v>168</v>
      </c>
      <c r="D2" s="85">
        <v>30000</v>
      </c>
      <c r="J2" s="81">
        <v>101</v>
      </c>
      <c r="K2" s="81" t="s">
        <v>193</v>
      </c>
      <c r="L2" s="81" t="s">
        <v>198</v>
      </c>
      <c r="M2" s="87" t="s">
        <v>207</v>
      </c>
      <c r="N2" s="79">
        <f>COUNTIF(L2:L6,L4)</f>
        <v>3</v>
      </c>
      <c r="Q2" s="81" t="s">
        <v>188</v>
      </c>
      <c r="R2" s="81" t="s">
        <v>127</v>
      </c>
      <c r="S2" s="81">
        <v>78</v>
      </c>
      <c r="T2" s="84" t="s">
        <v>206</v>
      </c>
      <c r="U2" s="79">
        <f>COUNTIF(S2:S7,"&gt;80")</f>
        <v>3</v>
      </c>
    </row>
    <row r="3" spans="1:21" ht="27.75" customHeight="1" x14ac:dyDescent="0.35">
      <c r="A3" s="81" t="s">
        <v>171</v>
      </c>
      <c r="B3" s="81" t="s">
        <v>23</v>
      </c>
      <c r="C3" s="81" t="s">
        <v>163</v>
      </c>
      <c r="D3" s="85">
        <v>28000</v>
      </c>
      <c r="J3" s="81">
        <v>102</v>
      </c>
      <c r="K3" s="81" t="s">
        <v>25</v>
      </c>
      <c r="L3" s="81" t="s">
        <v>192</v>
      </c>
      <c r="M3" s="79" t="s">
        <v>205</v>
      </c>
      <c r="N3" s="79">
        <f>COUNTIF(K2:K6,K6)</f>
        <v>2</v>
      </c>
      <c r="Q3" s="81" t="s">
        <v>196</v>
      </c>
      <c r="R3" s="81" t="s">
        <v>84</v>
      </c>
      <c r="S3" s="81">
        <v>90</v>
      </c>
      <c r="T3" s="84" t="s">
        <v>204</v>
      </c>
      <c r="U3" s="79">
        <f>COUNTIF(R2:R7,R2)</f>
        <v>3</v>
      </c>
    </row>
    <row r="4" spans="1:21" ht="27.75" customHeight="1" x14ac:dyDescent="0.35">
      <c r="A4" s="81" t="s">
        <v>169</v>
      </c>
      <c r="B4" s="81" t="s">
        <v>21</v>
      </c>
      <c r="C4" s="81" t="s">
        <v>168</v>
      </c>
      <c r="D4" s="85">
        <v>45000</v>
      </c>
      <c r="E4" s="79" t="s">
        <v>203</v>
      </c>
      <c r="F4" s="79">
        <f>COUNT(A1:D7)</f>
        <v>6</v>
      </c>
      <c r="J4" s="81">
        <v>103</v>
      </c>
      <c r="K4" s="81" t="s">
        <v>80</v>
      </c>
      <c r="L4" s="81" t="s">
        <v>198</v>
      </c>
      <c r="M4" s="79" t="s">
        <v>202</v>
      </c>
      <c r="N4" s="79">
        <f>COUNTIF(L2:L6,L3)</f>
        <v>2</v>
      </c>
      <c r="Q4" s="81" t="s">
        <v>25</v>
      </c>
      <c r="R4" s="81" t="s">
        <v>127</v>
      </c>
      <c r="S4" s="81">
        <v>55</v>
      </c>
      <c r="T4" s="84" t="s">
        <v>201</v>
      </c>
      <c r="U4" s="79">
        <f>COUNTIFS(Q2:Q7,Q4,S2:S7,"&gt;60")</f>
        <v>1</v>
      </c>
    </row>
    <row r="5" spans="1:21" ht="36" customHeight="1" x14ac:dyDescent="0.35">
      <c r="A5" s="81" t="s">
        <v>29</v>
      </c>
      <c r="B5" s="81" t="s">
        <v>54</v>
      </c>
      <c r="C5" s="81" t="s">
        <v>163</v>
      </c>
      <c r="D5" s="85">
        <v>35000</v>
      </c>
      <c r="E5" s="79" t="s">
        <v>200</v>
      </c>
      <c r="F5" s="79">
        <f>COUNTA(A1:D7)</f>
        <v>28</v>
      </c>
      <c r="J5" s="81">
        <v>104</v>
      </c>
      <c r="K5" s="81" t="s">
        <v>199</v>
      </c>
      <c r="L5" s="81" t="s">
        <v>198</v>
      </c>
      <c r="M5" s="86" t="s">
        <v>197</v>
      </c>
      <c r="N5" s="79">
        <f>COUNTIF(K2:K6,"R*")</f>
        <v>3</v>
      </c>
      <c r="Q5" s="81" t="s">
        <v>196</v>
      </c>
      <c r="R5" s="81" t="s">
        <v>127</v>
      </c>
      <c r="S5" s="81">
        <v>92</v>
      </c>
      <c r="T5" s="84" t="s">
        <v>195</v>
      </c>
      <c r="U5" s="79">
        <f>COUNTIFS(Q2:Q7,Q3,R2:R7,R2,S2:S7,"&gt;90")</f>
        <v>1</v>
      </c>
    </row>
    <row r="6" spans="1:21" ht="27.75" customHeight="1" x14ac:dyDescent="0.35">
      <c r="A6" s="81" t="s">
        <v>165</v>
      </c>
      <c r="B6" s="81" t="s">
        <v>21</v>
      </c>
      <c r="C6" s="81" t="s">
        <v>163</v>
      </c>
      <c r="D6" s="85">
        <v>40000</v>
      </c>
      <c r="E6" s="79" t="s">
        <v>194</v>
      </c>
      <c r="F6" s="79">
        <f>COUNTIF(C2:C7,C5)</f>
        <v>4</v>
      </c>
      <c r="J6" s="81">
        <v>105</v>
      </c>
      <c r="K6" s="81" t="s">
        <v>193</v>
      </c>
      <c r="L6" s="81" t="s">
        <v>192</v>
      </c>
      <c r="M6" s="86" t="s">
        <v>191</v>
      </c>
      <c r="N6" s="79">
        <f>COUNTA(L2:L6)</f>
        <v>5</v>
      </c>
      <c r="Q6" s="81" t="s">
        <v>25</v>
      </c>
      <c r="R6" s="81" t="s">
        <v>75</v>
      </c>
      <c r="S6" s="81">
        <v>81</v>
      </c>
      <c r="T6" s="84" t="s">
        <v>190</v>
      </c>
      <c r="U6" s="79">
        <f>COUNTIF(S2:S7,"&lt;50")</f>
        <v>1</v>
      </c>
    </row>
    <row r="7" spans="1:21" ht="36" customHeight="1" x14ac:dyDescent="0.35">
      <c r="A7" s="81" t="s">
        <v>25</v>
      </c>
      <c r="B7" s="81" t="s">
        <v>54</v>
      </c>
      <c r="C7" s="81" t="s">
        <v>163</v>
      </c>
      <c r="D7" s="85">
        <v>37000</v>
      </c>
      <c r="E7" s="79" t="s">
        <v>189</v>
      </c>
      <c r="F7" s="79">
        <f>COUNTIFS(C2:C7,C4,B2:B7,B3)</f>
        <v>1</v>
      </c>
      <c r="Q7" s="81" t="s">
        <v>188</v>
      </c>
      <c r="R7" s="81" t="s">
        <v>84</v>
      </c>
      <c r="S7" s="81">
        <v>49</v>
      </c>
      <c r="T7" s="84" t="s">
        <v>187</v>
      </c>
      <c r="U7" s="79">
        <f>COUNTIFS(S2:S7,"&gt;=50",S2:S7,"&lt;=90")</f>
        <v>4</v>
      </c>
    </row>
    <row r="15" spans="1:21" ht="27.75" customHeight="1" x14ac:dyDescent="0.35">
      <c r="A15" s="83" t="s">
        <v>7</v>
      </c>
      <c r="B15" s="83" t="s">
        <v>160</v>
      </c>
      <c r="C15" s="9" t="s">
        <v>186</v>
      </c>
      <c r="J15" s="83" t="s">
        <v>161</v>
      </c>
      <c r="K15" s="83" t="s">
        <v>7</v>
      </c>
      <c r="L15" s="83" t="s">
        <v>26</v>
      </c>
    </row>
    <row r="16" spans="1:21" ht="36" customHeight="1" x14ac:dyDescent="0.35">
      <c r="A16" s="81" t="s">
        <v>8</v>
      </c>
      <c r="B16" s="81">
        <v>10</v>
      </c>
      <c r="C16" s="79">
        <v>200</v>
      </c>
      <c r="J16" s="81" t="s">
        <v>176</v>
      </c>
      <c r="K16" s="81" t="s">
        <v>8</v>
      </c>
      <c r="L16" s="80">
        <v>5000</v>
      </c>
      <c r="M16" s="82" t="s">
        <v>185</v>
      </c>
      <c r="N16" s="79">
        <f>COUNTIF(J16:J21,J16)</f>
        <v>3</v>
      </c>
    </row>
    <row r="17" spans="1:14" ht="27.75" customHeight="1" x14ac:dyDescent="0.35">
      <c r="A17" s="81" t="s">
        <v>9</v>
      </c>
      <c r="B17" s="81" t="s">
        <v>184</v>
      </c>
      <c r="C17" s="79">
        <v>150</v>
      </c>
      <c r="D17" s="79" t="s">
        <v>183</v>
      </c>
      <c r="E17" s="79">
        <f>COUNT(B16:B20)</f>
        <v>4</v>
      </c>
      <c r="J17" s="81" t="s">
        <v>149</v>
      </c>
      <c r="K17" s="81" t="s">
        <v>9</v>
      </c>
      <c r="L17" s="80">
        <v>3000</v>
      </c>
      <c r="M17" s="82" t="s">
        <v>182</v>
      </c>
      <c r="N17" s="79">
        <f>COUNTIFS(J16:J21,J16,K16:K21,K16)</f>
        <v>2</v>
      </c>
    </row>
    <row r="18" spans="1:14" ht="36" customHeight="1" x14ac:dyDescent="0.35">
      <c r="A18" s="81" t="s">
        <v>10</v>
      </c>
      <c r="B18" s="81">
        <v>25</v>
      </c>
      <c r="C18" s="79">
        <v>300</v>
      </c>
      <c r="D18" s="79" t="s">
        <v>181</v>
      </c>
      <c r="E18" s="79">
        <f>COUNT(C16:C20)</f>
        <v>4</v>
      </c>
      <c r="J18" s="81" t="s">
        <v>176</v>
      </c>
      <c r="K18" s="81" t="s">
        <v>8</v>
      </c>
      <c r="L18" s="80">
        <v>6000</v>
      </c>
      <c r="M18" s="82" t="s">
        <v>180</v>
      </c>
      <c r="N18" s="79">
        <f>COUNTIF(L16:L21,"&gt;4000")</f>
        <v>4</v>
      </c>
    </row>
    <row r="19" spans="1:14" ht="27.75" customHeight="1" x14ac:dyDescent="0.35">
      <c r="A19" s="81" t="s">
        <v>11</v>
      </c>
      <c r="B19" s="81">
        <v>0</v>
      </c>
      <c r="C19" s="79">
        <v>400</v>
      </c>
      <c r="D19" s="79" t="s">
        <v>179</v>
      </c>
      <c r="E19" s="79">
        <f>COUNTA(B16:B20)</f>
        <v>5</v>
      </c>
      <c r="J19" s="81" t="s">
        <v>152</v>
      </c>
      <c r="K19" s="81" t="s">
        <v>10</v>
      </c>
      <c r="L19" s="80">
        <v>2000</v>
      </c>
      <c r="M19" s="82" t="s">
        <v>178</v>
      </c>
      <c r="N19" s="79">
        <f>COUNTIFS(K16:K21,K16,L16:L21,"&gt;=5000")</f>
        <v>3</v>
      </c>
    </row>
    <row r="20" spans="1:14" ht="41.25" customHeight="1" x14ac:dyDescent="0.35">
      <c r="A20" s="81" t="s">
        <v>103</v>
      </c>
      <c r="B20" s="81">
        <v>15</v>
      </c>
      <c r="C20" s="79"/>
      <c r="D20" s="79" t="s">
        <v>177</v>
      </c>
      <c r="E20" s="79">
        <f>COUNTBLANK(C16:C20)</f>
        <v>1</v>
      </c>
      <c r="J20" s="81" t="s">
        <v>176</v>
      </c>
      <c r="K20" s="81" t="s">
        <v>9</v>
      </c>
      <c r="L20" s="80">
        <v>7000</v>
      </c>
      <c r="M20" s="82" t="s">
        <v>175</v>
      </c>
      <c r="N20" s="79">
        <f>COUNTIFS(J16:J21,J17,L16:L21,"&lt;4000")</f>
        <v>1</v>
      </c>
    </row>
    <row r="21" spans="1:14" ht="14.25" customHeight="1" x14ac:dyDescent="0.35">
      <c r="J21" s="81" t="s">
        <v>149</v>
      </c>
      <c r="K21" s="81" t="s">
        <v>8</v>
      </c>
      <c r="L21" s="80">
        <v>5000</v>
      </c>
      <c r="M21" s="79"/>
      <c r="N21" s="79">
        <f>COUNTIFS(J16:J21,J16,K16:K21,K17,L16:L21,"&gt;6000")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3EEB-69DC-41D7-8498-8542E8631996}">
  <dimension ref="A1:G20"/>
  <sheetViews>
    <sheetView zoomScaleNormal="100" workbookViewId="0">
      <selection activeCell="F7" sqref="F7:G7"/>
    </sheetView>
  </sheetViews>
  <sheetFormatPr defaultColWidth="8.6328125" defaultRowHeight="14.5" x14ac:dyDescent="0.35"/>
  <cols>
    <col min="1" max="3" width="10" style="1" customWidth="1"/>
    <col min="4" max="4" width="7" style="1" customWidth="1"/>
    <col min="5" max="5" width="8.6328125" style="1"/>
    <col min="6" max="6" width="46" style="1" customWidth="1"/>
    <col min="7" max="7" width="12" style="1" customWidth="1"/>
    <col min="8" max="8" width="8.6328125" style="1"/>
    <col min="9" max="9" width="10" style="1" customWidth="1"/>
    <col min="10" max="10" width="12" style="1" customWidth="1"/>
    <col min="11" max="16384" width="8.6328125" style="1"/>
  </cols>
  <sheetData>
    <row r="1" spans="1:7" ht="27.75" customHeight="1" x14ac:dyDescent="0.35">
      <c r="A1" s="9" t="s">
        <v>174</v>
      </c>
      <c r="B1" s="9" t="s">
        <v>34</v>
      </c>
      <c r="C1" s="9" t="s">
        <v>173</v>
      </c>
      <c r="D1" s="9" t="s">
        <v>33</v>
      </c>
    </row>
    <row r="2" spans="1:7" x14ac:dyDescent="0.35">
      <c r="A2" s="4" t="s">
        <v>32</v>
      </c>
      <c r="B2" s="4" t="s">
        <v>23</v>
      </c>
      <c r="C2" s="4" t="s">
        <v>168</v>
      </c>
      <c r="D2" s="73">
        <v>30000</v>
      </c>
      <c r="E2" s="78"/>
      <c r="F2" s="77" t="s">
        <v>172</v>
      </c>
      <c r="G2" s="76">
        <f>SUMIF(B2:B7,B2,D2:D7)</f>
        <v>58000</v>
      </c>
    </row>
    <row r="3" spans="1:7" x14ac:dyDescent="0.35">
      <c r="A3" s="4" t="s">
        <v>171</v>
      </c>
      <c r="B3" s="4" t="s">
        <v>23</v>
      </c>
      <c r="C3" s="4" t="s">
        <v>163</v>
      </c>
      <c r="D3" s="73">
        <v>28000</v>
      </c>
      <c r="F3" s="77" t="s">
        <v>170</v>
      </c>
      <c r="G3" s="76">
        <f>SUMIFS(D2:D7,B2:B7,"Finance",C2:C7,"Female")</f>
        <v>72000</v>
      </c>
    </row>
    <row r="4" spans="1:7" x14ac:dyDescent="0.35">
      <c r="A4" s="4" t="s">
        <v>169</v>
      </c>
      <c r="B4" s="4" t="s">
        <v>21</v>
      </c>
      <c r="C4" s="4" t="s">
        <v>168</v>
      </c>
      <c r="D4" s="73">
        <v>45000</v>
      </c>
      <c r="F4" s="77" t="s">
        <v>167</v>
      </c>
      <c r="G4" s="76">
        <f>SUMIF(D2:D7,"&gt;35000",D2:D7)</f>
        <v>122000</v>
      </c>
    </row>
    <row r="5" spans="1:7" x14ac:dyDescent="0.35">
      <c r="A5" s="4" t="s">
        <v>29</v>
      </c>
      <c r="B5" s="4" t="s">
        <v>54</v>
      </c>
      <c r="C5" s="4" t="s">
        <v>163</v>
      </c>
      <c r="D5" s="73">
        <v>35000</v>
      </c>
      <c r="F5" s="77" t="s">
        <v>166</v>
      </c>
      <c r="G5" s="76">
        <f>SUMIF(B2:B7,"HR",D2:D7)+SUMIF(B2:B7,"IT",D2:D7)</f>
        <v>143000</v>
      </c>
    </row>
    <row r="6" spans="1:7" x14ac:dyDescent="0.35">
      <c r="A6" s="4" t="s">
        <v>165</v>
      </c>
      <c r="B6" s="4" t="s">
        <v>21</v>
      </c>
      <c r="C6" s="4" t="s">
        <v>163</v>
      </c>
      <c r="D6" s="73">
        <v>40000</v>
      </c>
      <c r="F6" s="77" t="s">
        <v>164</v>
      </c>
      <c r="G6" s="76">
        <f>SUMIF(A2:A7,"m*",D2:D7)</f>
        <v>73000</v>
      </c>
    </row>
    <row r="7" spans="1:7" ht="14.25" customHeight="1" x14ac:dyDescent="0.35">
      <c r="A7" s="4" t="s">
        <v>25</v>
      </c>
      <c r="B7" s="4" t="s">
        <v>54</v>
      </c>
      <c r="C7" s="4" t="s">
        <v>163</v>
      </c>
      <c r="D7" s="73">
        <v>37000</v>
      </c>
      <c r="F7" s="75" t="s">
        <v>162</v>
      </c>
      <c r="G7" s="74">
        <f>AVERAGEIF(C2:C7,C4,D2:D7)</f>
        <v>37500</v>
      </c>
    </row>
    <row r="11" spans="1:7" ht="14.25" customHeight="1" x14ac:dyDescent="0.35">
      <c r="A11" s="9" t="s">
        <v>7</v>
      </c>
      <c r="B11" s="9" t="s">
        <v>161</v>
      </c>
      <c r="C11" s="9" t="s">
        <v>26</v>
      </c>
      <c r="D11" s="9" t="s">
        <v>160</v>
      </c>
    </row>
    <row r="12" spans="1:7" x14ac:dyDescent="0.35">
      <c r="A12" s="4" t="s">
        <v>150</v>
      </c>
      <c r="B12" s="4" t="s">
        <v>152</v>
      </c>
      <c r="C12" s="73">
        <v>5000</v>
      </c>
      <c r="D12" s="4">
        <v>10</v>
      </c>
      <c r="F12" s="72" t="s">
        <v>159</v>
      </c>
      <c r="G12" s="71">
        <f>SUMIF(A12:A17,"Burgur",C12:C17)</f>
        <v>16500</v>
      </c>
    </row>
    <row r="13" spans="1:7" x14ac:dyDescent="0.35">
      <c r="A13" s="4" t="s">
        <v>153</v>
      </c>
      <c r="B13" s="4" t="s">
        <v>157</v>
      </c>
      <c r="C13" s="73">
        <v>7000</v>
      </c>
      <c r="D13" s="4">
        <v>15</v>
      </c>
      <c r="F13" s="72" t="s">
        <v>158</v>
      </c>
      <c r="G13" s="71">
        <f>SUMIF(B12:B17,"East",C12:C17)</f>
        <v>15500</v>
      </c>
    </row>
    <row r="14" spans="1:7" x14ac:dyDescent="0.35">
      <c r="A14" s="4" t="s">
        <v>150</v>
      </c>
      <c r="B14" s="4" t="s">
        <v>157</v>
      </c>
      <c r="C14" s="73">
        <v>6000</v>
      </c>
      <c r="D14" s="4">
        <v>12</v>
      </c>
      <c r="F14" s="72" t="s">
        <v>156</v>
      </c>
      <c r="G14" s="71">
        <f>SUMIF(A12:A17,"Pizza",D12:D17)</f>
        <v>29</v>
      </c>
    </row>
    <row r="15" spans="1:7" x14ac:dyDescent="0.35">
      <c r="A15" s="4" t="s">
        <v>155</v>
      </c>
      <c r="B15" s="4" t="s">
        <v>152</v>
      </c>
      <c r="C15" s="73">
        <v>4000</v>
      </c>
      <c r="D15" s="4">
        <v>8</v>
      </c>
      <c r="F15" s="72" t="s">
        <v>154</v>
      </c>
      <c r="G15" s="71">
        <f>SUMIF(C12:C17,"&gt;5000",C12:C17)</f>
        <v>25000</v>
      </c>
    </row>
    <row r="16" spans="1:7" x14ac:dyDescent="0.35">
      <c r="A16" s="4" t="s">
        <v>153</v>
      </c>
      <c r="B16" s="4" t="s">
        <v>152</v>
      </c>
      <c r="C16" s="73">
        <v>6500</v>
      </c>
      <c r="D16" s="4">
        <v>14</v>
      </c>
      <c r="F16" s="72" t="s">
        <v>151</v>
      </c>
      <c r="G16" s="71">
        <f>SUMIFS(C12:C17,A12:A17,"Burgur",B12:B17,"West")</f>
        <v>6000</v>
      </c>
    </row>
    <row r="17" spans="1:7" x14ac:dyDescent="0.35">
      <c r="A17" s="4" t="s">
        <v>150</v>
      </c>
      <c r="B17" s="4" t="s">
        <v>149</v>
      </c>
      <c r="C17" s="73">
        <v>5500</v>
      </c>
      <c r="D17" s="4">
        <v>11</v>
      </c>
      <c r="F17" s="72" t="s">
        <v>148</v>
      </c>
      <c r="G17" s="71">
        <f>SUMIFS(C12:C17,A12:A17,A13,B12:B17,B15)</f>
        <v>6500</v>
      </c>
    </row>
    <row r="18" spans="1:7" x14ac:dyDescent="0.35">
      <c r="F18" s="72" t="s">
        <v>147</v>
      </c>
      <c r="G18" s="71">
        <f>SUMIF(C12:C17,"&gt;5000",D12:D17)</f>
        <v>52</v>
      </c>
    </row>
    <row r="19" spans="1:7" x14ac:dyDescent="0.35">
      <c r="F19" s="72" t="s">
        <v>146</v>
      </c>
      <c r="G19" s="71">
        <f>SUMIFS(C12:C17,B12:B17,B15,C12:C17,"&gt;4000")</f>
        <v>11500</v>
      </c>
    </row>
    <row r="20" spans="1:7" x14ac:dyDescent="0.35">
      <c r="F20" s="72" t="s">
        <v>145</v>
      </c>
      <c r="G20" s="71">
        <f>SUMIFS(C12:C17,D12:D17,"&gt;10",A12:A17,A14)</f>
        <v>11500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1B86-25FA-4BB3-B26F-7F646CF8E109}">
  <dimension ref="A1:M21"/>
  <sheetViews>
    <sheetView workbookViewId="0">
      <selection activeCell="C13" sqref="C13:D21"/>
    </sheetView>
  </sheetViews>
  <sheetFormatPr defaultRowHeight="12.5" x14ac:dyDescent="0.25"/>
  <cols>
    <col min="1" max="1" width="17.1796875" style="15" bestFit="1" customWidth="1"/>
    <col min="2" max="2" width="8.7265625" style="15"/>
    <col min="3" max="3" width="13.1796875" style="15" bestFit="1" customWidth="1"/>
    <col min="4" max="4" width="15.81640625" style="15" bestFit="1" customWidth="1"/>
    <col min="5" max="5" width="6" style="15" bestFit="1" customWidth="1"/>
    <col min="6" max="6" width="7.08984375" style="15" bestFit="1" customWidth="1"/>
    <col min="7" max="7" width="6.453125" style="15" bestFit="1" customWidth="1"/>
    <col min="8" max="8" width="8.7265625" style="15"/>
    <col min="9" max="9" width="9.81640625" style="15" bestFit="1" customWidth="1"/>
    <col min="10" max="10" width="8.7265625" style="15"/>
    <col min="11" max="11" width="7.6328125" style="15" bestFit="1" customWidth="1"/>
    <col min="12" max="12" width="8.7265625" style="15"/>
    <col min="13" max="13" width="7.90625" style="15" bestFit="1" customWidth="1"/>
    <col min="14" max="16384" width="8.7265625" style="15"/>
  </cols>
  <sheetData>
    <row r="1" spans="1:13" x14ac:dyDescent="0.25">
      <c r="A1" s="63" t="s">
        <v>128</v>
      </c>
      <c r="B1" s="63"/>
    </row>
    <row r="2" spans="1:13" ht="13" thickBot="1" x14ac:dyDescent="0.3"/>
    <row r="3" spans="1:13" x14ac:dyDescent="0.25">
      <c r="C3" s="52" t="s">
        <v>72</v>
      </c>
      <c r="D3" s="52" t="s">
        <v>35</v>
      </c>
      <c r="E3" s="52" t="s">
        <v>127</v>
      </c>
      <c r="F3" s="52" t="s">
        <v>84</v>
      </c>
      <c r="G3" s="52" t="s">
        <v>75</v>
      </c>
      <c r="I3" s="62" t="s">
        <v>126</v>
      </c>
      <c r="J3" s="61"/>
      <c r="K3" s="60" t="s">
        <v>125</v>
      </c>
      <c r="M3" s="60" t="s">
        <v>124</v>
      </c>
    </row>
    <row r="4" spans="1:13" x14ac:dyDescent="0.25">
      <c r="C4" s="52">
        <v>101</v>
      </c>
      <c r="D4" s="52" t="s">
        <v>123</v>
      </c>
      <c r="E4" s="52">
        <v>82</v>
      </c>
      <c r="F4" s="52">
        <v>47</v>
      </c>
      <c r="G4" s="52">
        <v>32</v>
      </c>
      <c r="I4" s="59" t="str" cm="1">
        <f t="array" ref="I4:I8">UPPER(D4:D8)</f>
        <v>VISHWAS</v>
      </c>
      <c r="J4" s="58"/>
      <c r="K4" s="57" t="str" cm="1">
        <f t="array" ref="K4:K8">LOWER(D4:D8)</f>
        <v>vishwas</v>
      </c>
      <c r="M4" s="57" t="str" cm="1">
        <f t="array" ref="M4:M9">PROPER(D4:D9)</f>
        <v>Vishwas</v>
      </c>
    </row>
    <row r="5" spans="1:13" x14ac:dyDescent="0.25">
      <c r="C5" s="52">
        <v>102</v>
      </c>
      <c r="D5" s="52" t="s">
        <v>122</v>
      </c>
      <c r="E5" s="52">
        <v>59</v>
      </c>
      <c r="F5" s="52">
        <v>13</v>
      </c>
      <c r="G5" s="52">
        <v>67</v>
      </c>
      <c r="I5" s="59" t="str">
        <v>VEDIK</v>
      </c>
      <c r="J5" s="58"/>
      <c r="K5" s="57" t="str">
        <v>vedik</v>
      </c>
      <c r="M5" s="57" t="str">
        <v>Vedik</v>
      </c>
    </row>
    <row r="6" spans="1:13" x14ac:dyDescent="0.25">
      <c r="C6" s="52">
        <v>103</v>
      </c>
      <c r="D6" s="52" t="s">
        <v>121</v>
      </c>
      <c r="E6" s="52">
        <v>19</v>
      </c>
      <c r="F6" s="52">
        <v>78</v>
      </c>
      <c r="G6" s="52">
        <v>51</v>
      </c>
      <c r="I6" s="59" t="str">
        <v>AMAN</v>
      </c>
      <c r="J6" s="58"/>
      <c r="K6" s="57" t="str">
        <v>aman</v>
      </c>
      <c r="M6" s="57" t="str">
        <v>Aman</v>
      </c>
    </row>
    <row r="7" spans="1:13" x14ac:dyDescent="0.25">
      <c r="C7" s="52">
        <v>104</v>
      </c>
      <c r="D7" s="52" t="s">
        <v>120</v>
      </c>
      <c r="E7" s="52">
        <v>92</v>
      </c>
      <c r="F7" s="52">
        <v>15</v>
      </c>
      <c r="G7" s="52">
        <v>41</v>
      </c>
      <c r="I7" s="59" t="str">
        <v>AJAY</v>
      </c>
      <c r="J7" s="58"/>
      <c r="K7" s="57" t="str">
        <v>ajay</v>
      </c>
      <c r="M7" s="57" t="str">
        <v>Ajay</v>
      </c>
    </row>
    <row r="8" spans="1:13" ht="13" thickBot="1" x14ac:dyDescent="0.3">
      <c r="C8" s="52">
        <v>105</v>
      </c>
      <c r="D8" s="52" t="s">
        <v>119</v>
      </c>
      <c r="E8" s="52">
        <v>52</v>
      </c>
      <c r="F8" s="52">
        <v>30</v>
      </c>
      <c r="G8" s="52">
        <v>16</v>
      </c>
      <c r="I8" s="56" t="str">
        <v>DIVYANSH</v>
      </c>
      <c r="J8" s="55"/>
      <c r="K8" s="54" t="str">
        <v>divyansh</v>
      </c>
      <c r="M8" s="54" t="str">
        <v>Divyansh</v>
      </c>
    </row>
    <row r="9" spans="1:13" x14ac:dyDescent="0.25">
      <c r="M9" s="15" t="str">
        <v/>
      </c>
    </row>
    <row r="12" spans="1:13" x14ac:dyDescent="0.25">
      <c r="D12" s="15" t="s">
        <v>58</v>
      </c>
      <c r="E12" s="15" t="s">
        <v>118</v>
      </c>
      <c r="F12" s="15" t="s">
        <v>117</v>
      </c>
    </row>
    <row r="13" spans="1:13" x14ac:dyDescent="0.25">
      <c r="C13" s="51" t="s">
        <v>116</v>
      </c>
      <c r="D13" s="52" t="str">
        <f>D12&amp;E12&amp;F12</f>
        <v>RamKumarSingh</v>
      </c>
    </row>
    <row r="14" spans="1:13" x14ac:dyDescent="0.25">
      <c r="C14" s="51" t="s">
        <v>115</v>
      </c>
      <c r="D14" s="52" t="str">
        <f>D12&amp;" "&amp;E12&amp;" "&amp;" "&amp;F12</f>
        <v>Ram Kumar  Singh</v>
      </c>
    </row>
    <row r="15" spans="1:13" x14ac:dyDescent="0.25">
      <c r="C15" s="51" t="s">
        <v>114</v>
      </c>
      <c r="D15" s="50">
        <f ca="1">TODAY()</f>
        <v>46278</v>
      </c>
    </row>
    <row r="16" spans="1:13" x14ac:dyDescent="0.25">
      <c r="C16" s="51" t="s">
        <v>113</v>
      </c>
      <c r="D16" s="53">
        <f ca="1">NOW()</f>
        <v>46278.471532523145</v>
      </c>
    </row>
    <row r="17" spans="3:4" x14ac:dyDescent="0.25">
      <c r="C17" s="51" t="s">
        <v>112</v>
      </c>
      <c r="D17" s="50">
        <f>DATE(2006,8,17)</f>
        <v>38946</v>
      </c>
    </row>
    <row r="18" spans="3:4" x14ac:dyDescent="0.25">
      <c r="C18" s="51" t="s">
        <v>111</v>
      </c>
      <c r="D18" s="52" t="str">
        <f>TEXT(D17,"dddd")</f>
        <v>Thursday</v>
      </c>
    </row>
    <row r="19" spans="3:4" x14ac:dyDescent="0.25">
      <c r="C19" s="51" t="s">
        <v>110</v>
      </c>
      <c r="D19" s="52">
        <f ca="1">DATEDIF(D17,D15,"y")</f>
        <v>20</v>
      </c>
    </row>
    <row r="20" spans="3:4" x14ac:dyDescent="0.25">
      <c r="C20" s="51" t="s">
        <v>109</v>
      </c>
      <c r="D20" s="52">
        <f ca="1">DATEDIF(D17,D15,"m")</f>
        <v>240</v>
      </c>
    </row>
    <row r="21" spans="3:4" x14ac:dyDescent="0.25">
      <c r="C21" s="51" t="s">
        <v>108</v>
      </c>
      <c r="D21" s="50">
        <f ca="1">DATEDIF(D17,D15,"d")</f>
        <v>7332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1076-561E-490B-B197-906FBF5C6BC9}">
  <dimension ref="A1:I20"/>
  <sheetViews>
    <sheetView zoomScaleNormal="100" workbookViewId="0">
      <selection activeCell="K14" sqref="K14"/>
    </sheetView>
  </sheetViews>
  <sheetFormatPr defaultColWidth="8.6328125" defaultRowHeight="14.5" x14ac:dyDescent="0.35"/>
  <cols>
    <col min="1" max="1" width="6" style="16" customWidth="1"/>
    <col min="2" max="2" width="11.08984375" style="16" bestFit="1" customWidth="1"/>
    <col min="3" max="3" width="5.81640625" style="16" bestFit="1" customWidth="1"/>
    <col min="4" max="4" width="9" style="16" customWidth="1"/>
    <col min="5" max="5" width="1.81640625" style="16" bestFit="1" customWidth="1"/>
    <col min="6" max="6" width="59.90625" style="16" bestFit="1" customWidth="1"/>
    <col min="7" max="7" width="7.90625" style="16" bestFit="1" customWidth="1"/>
    <col min="8" max="8" width="10.90625" style="16" bestFit="1" customWidth="1"/>
    <col min="9" max="9" width="5.81640625" style="16" bestFit="1" customWidth="1"/>
    <col min="10" max="16384" width="8.6328125" style="15"/>
  </cols>
  <sheetData>
    <row r="1" spans="1:9" ht="27.75" customHeight="1" x14ac:dyDescent="0.35">
      <c r="A1" s="26" t="s">
        <v>35</v>
      </c>
      <c r="B1" s="26" t="s">
        <v>34</v>
      </c>
      <c r="C1" s="26" t="s">
        <v>33</v>
      </c>
      <c r="D1" s="26"/>
      <c r="F1" s="26"/>
      <c r="G1" s="26"/>
      <c r="H1" s="26"/>
      <c r="I1" s="26"/>
    </row>
    <row r="2" spans="1:9" ht="14.25" customHeight="1" x14ac:dyDescent="0.35">
      <c r="A2" s="17" t="s">
        <v>32</v>
      </c>
      <c r="B2" s="17" t="s">
        <v>26</v>
      </c>
      <c r="C2" s="17">
        <v>35000</v>
      </c>
      <c r="D2" s="17"/>
      <c r="E2" s="25"/>
      <c r="F2" s="24" t="s">
        <v>31</v>
      </c>
      <c r="G2" s="23" t="s">
        <v>30</v>
      </c>
      <c r="H2" s="17"/>
      <c r="I2" s="17"/>
    </row>
    <row r="3" spans="1:9" ht="14.25" customHeight="1" x14ac:dyDescent="0.35">
      <c r="A3" s="17" t="s">
        <v>29</v>
      </c>
      <c r="B3" s="17" t="s">
        <v>23</v>
      </c>
      <c r="C3" s="17">
        <v>45000</v>
      </c>
      <c r="D3" s="17"/>
      <c r="E3" s="20">
        <v>1</v>
      </c>
      <c r="F3" s="17" t="s">
        <v>28</v>
      </c>
      <c r="G3" s="18" t="str">
        <f t="array" ref="G3:I4">_xlfn._xlws.FILTER(A1:C7,B1:B7="Sales")</f>
        <v>Amit</v>
      </c>
      <c r="H3" s="17" t="str">
        <v>Sales</v>
      </c>
      <c r="I3" s="17">
        <v>35000</v>
      </c>
    </row>
    <row r="4" spans="1:9" ht="14.25" customHeight="1" x14ac:dyDescent="0.35">
      <c r="A4" s="17" t="s">
        <v>27</v>
      </c>
      <c r="B4" s="17" t="s">
        <v>26</v>
      </c>
      <c r="C4" s="17">
        <v>30000</v>
      </c>
      <c r="D4" s="17"/>
      <c r="E4" s="21"/>
      <c r="F4" s="17"/>
      <c r="G4" s="18" t="str">
        <v>Mohit</v>
      </c>
      <c r="H4" s="17" t="str">
        <v>Sales</v>
      </c>
      <c r="I4" s="17">
        <v>30000</v>
      </c>
    </row>
    <row r="5" spans="1:9" ht="14.25" customHeight="1" x14ac:dyDescent="0.35">
      <c r="A5" s="17" t="s">
        <v>25</v>
      </c>
      <c r="B5" s="17" t="s">
        <v>21</v>
      </c>
      <c r="C5" s="17">
        <v>55000</v>
      </c>
      <c r="D5" s="17"/>
      <c r="E5" s="21"/>
      <c r="F5" s="17"/>
      <c r="G5" s="18"/>
      <c r="H5" s="17"/>
      <c r="I5" s="17"/>
    </row>
    <row r="6" spans="1:9" ht="14.25" customHeight="1" x14ac:dyDescent="0.35">
      <c r="A6" s="17" t="s">
        <v>24</v>
      </c>
      <c r="B6" s="17" t="s">
        <v>23</v>
      </c>
      <c r="C6" s="17">
        <v>40000</v>
      </c>
      <c r="D6" s="17"/>
      <c r="E6" s="21"/>
      <c r="F6" s="17"/>
      <c r="G6" s="18"/>
      <c r="H6" s="17"/>
      <c r="I6" s="17"/>
    </row>
    <row r="7" spans="1:9" ht="14.25" customHeight="1" x14ac:dyDescent="0.35">
      <c r="A7" s="20" t="s">
        <v>22</v>
      </c>
      <c r="B7" s="20" t="s">
        <v>21</v>
      </c>
      <c r="C7" s="22">
        <v>60000</v>
      </c>
      <c r="E7" s="20">
        <v>2</v>
      </c>
      <c r="F7" s="17" t="s">
        <v>20</v>
      </c>
      <c r="G7" s="18" t="str">
        <f t="array" ref="G7:I10">_xlfn._xlws.FILTER(A1:C7,C1:C7&gt;40000)</f>
        <v>Name</v>
      </c>
      <c r="H7" s="17" t="str">
        <v>Department</v>
      </c>
      <c r="I7" s="17" t="str">
        <v>Salary</v>
      </c>
    </row>
    <row r="8" spans="1:9" ht="14.25" customHeight="1" x14ac:dyDescent="0.35">
      <c r="E8" s="21"/>
      <c r="F8" s="17"/>
      <c r="G8" s="18" t="str">
        <v>Riya</v>
      </c>
      <c r="H8" s="17" t="str">
        <v>HR</v>
      </c>
      <c r="I8" s="17">
        <v>45000</v>
      </c>
    </row>
    <row r="9" spans="1:9" ht="14.25" customHeight="1" x14ac:dyDescent="0.35">
      <c r="E9" s="21"/>
      <c r="F9" s="17"/>
      <c r="G9" s="18" t="str">
        <v>Neha</v>
      </c>
      <c r="H9" s="17" t="str">
        <v>IT</v>
      </c>
      <c r="I9" s="17">
        <v>55000</v>
      </c>
    </row>
    <row r="10" spans="1:9" ht="14.25" customHeight="1" x14ac:dyDescent="0.35">
      <c r="E10" s="21"/>
      <c r="F10" s="17"/>
      <c r="G10" s="18" t="str">
        <v>Priti</v>
      </c>
      <c r="H10" s="17" t="str">
        <v>IT</v>
      </c>
      <c r="I10" s="17">
        <v>60000</v>
      </c>
    </row>
    <row r="11" spans="1:9" ht="14.25" customHeight="1" x14ac:dyDescent="0.35">
      <c r="E11" s="21"/>
      <c r="F11" s="17"/>
      <c r="G11" s="18"/>
      <c r="H11" s="17"/>
      <c r="I11" s="17"/>
    </row>
    <row r="12" spans="1:9" ht="14.25" customHeight="1" x14ac:dyDescent="0.35">
      <c r="E12" s="21"/>
      <c r="F12" s="17"/>
      <c r="G12" s="18"/>
      <c r="H12" s="17"/>
      <c r="I12" s="17"/>
    </row>
    <row r="13" spans="1:9" ht="14.25" customHeight="1" x14ac:dyDescent="0.35">
      <c r="E13" s="20">
        <v>3</v>
      </c>
      <c r="F13" s="17" t="s">
        <v>19</v>
      </c>
      <c r="G13" s="18" t="str">
        <f t="array" ref="G13:I16">_xlfn._xlws.FILTER(A1:C7,(B1:B7="HR")+(B1:B7="IT"))</f>
        <v>Riya</v>
      </c>
      <c r="H13" s="17" t="str">
        <v>HR</v>
      </c>
      <c r="I13" s="17">
        <v>45000</v>
      </c>
    </row>
    <row r="14" spans="1:9" ht="14.25" customHeight="1" x14ac:dyDescent="0.35">
      <c r="E14" s="21"/>
      <c r="F14" s="17"/>
      <c r="G14" s="18" t="str">
        <v>Neha</v>
      </c>
      <c r="H14" s="17" t="str">
        <v>IT</v>
      </c>
      <c r="I14" s="17">
        <v>55000</v>
      </c>
    </row>
    <row r="15" spans="1:9" ht="14.25" customHeight="1" x14ac:dyDescent="0.35">
      <c r="E15" s="21"/>
      <c r="F15" s="17"/>
      <c r="G15" s="18" t="str">
        <v>Sohan</v>
      </c>
      <c r="H15" s="17" t="str">
        <v>HR</v>
      </c>
      <c r="I15" s="17">
        <v>40000</v>
      </c>
    </row>
    <row r="16" spans="1:9" ht="14.25" customHeight="1" x14ac:dyDescent="0.35">
      <c r="E16" s="19"/>
      <c r="F16" s="17"/>
      <c r="G16" s="18" t="str">
        <v>Priti</v>
      </c>
      <c r="H16" s="17" t="str">
        <v>IT</v>
      </c>
      <c r="I16" s="17">
        <v>60000</v>
      </c>
    </row>
    <row r="17" spans="5:9" ht="14.25" customHeight="1" x14ac:dyDescent="0.35">
      <c r="E17" s="20">
        <v>4</v>
      </c>
      <c r="F17" s="17" t="s">
        <v>18</v>
      </c>
      <c r="G17" s="18" t="str">
        <f t="array" ref="G17:I17">_xlfn._xlws.FILTER(A1:C7,(B1:B7="Sales")*(C1:C7&gt;30000))</f>
        <v>Amit</v>
      </c>
      <c r="H17" s="17" t="str">
        <v>Sales</v>
      </c>
      <c r="I17" s="17">
        <v>35000</v>
      </c>
    </row>
    <row r="18" spans="5:9" ht="14.25" customHeight="1" x14ac:dyDescent="0.35">
      <c r="E18" s="19"/>
      <c r="F18" s="17"/>
      <c r="G18" s="18"/>
      <c r="H18" s="17"/>
      <c r="I18" s="17"/>
    </row>
    <row r="19" spans="5:9" ht="14.25" customHeight="1" x14ac:dyDescent="0.35">
      <c r="E19" s="20">
        <v>5</v>
      </c>
      <c r="F19" s="17" t="s">
        <v>17</v>
      </c>
      <c r="G19" s="18" t="str">
        <f t="array" ref="G19:I19">_xlfn._xlws.FILTER(A1:C7,(B1:B7="IT")*(C1:C7&gt;55000))</f>
        <v>Priti</v>
      </c>
      <c r="H19" s="17" t="str">
        <v>IT</v>
      </c>
      <c r="I19" s="17">
        <v>60000</v>
      </c>
    </row>
    <row r="20" spans="5:9" ht="14.25" customHeight="1" x14ac:dyDescent="0.35">
      <c r="E20" s="19"/>
      <c r="F20" s="17"/>
      <c r="G20" s="18"/>
      <c r="H20" s="17"/>
      <c r="I20" s="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67955-C821-4BC2-931F-07F693E43CEB}">
  <dimension ref="A1:I21"/>
  <sheetViews>
    <sheetView zoomScale="64" zoomScaleNormal="100" workbookViewId="0">
      <selection activeCell="H4" sqref="H4"/>
    </sheetView>
  </sheetViews>
  <sheetFormatPr defaultColWidth="8.6328125" defaultRowHeight="14.5" x14ac:dyDescent="0.35"/>
  <cols>
    <col min="1" max="1" width="6" style="16" customWidth="1"/>
    <col min="2" max="3" width="10" style="16" customWidth="1"/>
    <col min="4" max="4" width="8" style="16" customWidth="1"/>
    <col min="5" max="5" width="14" style="16" customWidth="1"/>
    <col min="6" max="6" width="10" style="16" customWidth="1"/>
    <col min="7" max="7" width="8" style="16" customWidth="1"/>
    <col min="8" max="8" width="10" style="16" customWidth="1"/>
    <col min="9" max="9" width="7" style="16" customWidth="1"/>
    <col min="10" max="16384" width="8.6328125" style="15"/>
  </cols>
  <sheetData>
    <row r="1" spans="1:9" ht="14.25" customHeight="1" x14ac:dyDescent="0.35">
      <c r="A1" s="26" t="s">
        <v>72</v>
      </c>
      <c r="B1" s="26" t="s">
        <v>35</v>
      </c>
      <c r="C1" s="26" t="s">
        <v>107</v>
      </c>
      <c r="D1" s="26" t="s">
        <v>106</v>
      </c>
    </row>
    <row r="2" spans="1:9" ht="27.75" customHeight="1" x14ac:dyDescent="0.35">
      <c r="A2" s="17">
        <f t="array" ref="A2:A21">_xlfn.SEQUENCE(20)</f>
        <v>1</v>
      </c>
      <c r="B2" s="17" t="s">
        <v>8</v>
      </c>
      <c r="C2" s="17" t="s">
        <v>87</v>
      </c>
      <c r="D2" s="17">
        <v>8</v>
      </c>
      <c r="F2" s="70" t="s">
        <v>105</v>
      </c>
      <c r="G2" s="70"/>
      <c r="H2" s="70"/>
      <c r="I2" s="70"/>
    </row>
    <row r="3" spans="1:9" ht="14.25" customHeight="1" x14ac:dyDescent="0.35">
      <c r="A3" s="17">
        <v>2</v>
      </c>
      <c r="B3" s="17" t="s">
        <v>9</v>
      </c>
      <c r="C3" s="17" t="s">
        <v>92</v>
      </c>
      <c r="D3" s="17">
        <v>8</v>
      </c>
      <c r="E3" s="49" t="s">
        <v>104</v>
      </c>
      <c r="F3" s="48" t="s">
        <v>92</v>
      </c>
    </row>
    <row r="4" spans="1:9" ht="14.25" customHeight="1" x14ac:dyDescent="0.35">
      <c r="A4" s="17">
        <v>3</v>
      </c>
      <c r="B4" s="17" t="s">
        <v>10</v>
      </c>
      <c r="C4" s="17" t="s">
        <v>85</v>
      </c>
      <c r="D4" s="17">
        <v>8</v>
      </c>
      <c r="F4" s="47">
        <f t="array" ref="F4:I9">_xlfn._xlws.FILTER(A1:D21,C1:C21=F3)</f>
        <v>2</v>
      </c>
      <c r="G4" s="47" t="str">
        <v>B</v>
      </c>
      <c r="H4" s="47" t="str">
        <v>BLUE</v>
      </c>
      <c r="I4" s="47">
        <v>8</v>
      </c>
    </row>
    <row r="5" spans="1:9" ht="14.25" customHeight="1" x14ac:dyDescent="0.35">
      <c r="A5" s="17">
        <v>4</v>
      </c>
      <c r="B5" s="17" t="s">
        <v>11</v>
      </c>
      <c r="C5" s="17" t="s">
        <v>89</v>
      </c>
      <c r="D5" s="17">
        <v>8</v>
      </c>
      <c r="F5" s="47">
        <v>6</v>
      </c>
      <c r="G5" s="47" t="str">
        <v>F</v>
      </c>
      <c r="H5" s="47" t="str">
        <v>BLUE</v>
      </c>
      <c r="I5" s="47">
        <v>11</v>
      </c>
    </row>
    <row r="6" spans="1:9" ht="14.25" customHeight="1" x14ac:dyDescent="0.35">
      <c r="A6" s="17">
        <v>5</v>
      </c>
      <c r="B6" s="17" t="s">
        <v>103</v>
      </c>
      <c r="C6" s="17" t="s">
        <v>87</v>
      </c>
      <c r="D6" s="17">
        <v>6</v>
      </c>
      <c r="F6" s="47">
        <v>8</v>
      </c>
      <c r="G6" s="47" t="str">
        <v>I</v>
      </c>
      <c r="H6" s="47" t="str">
        <v>BLUE</v>
      </c>
      <c r="I6" s="47">
        <v>6</v>
      </c>
    </row>
    <row r="7" spans="1:9" ht="14.25" customHeight="1" x14ac:dyDescent="0.35">
      <c r="A7" s="17">
        <v>6</v>
      </c>
      <c r="B7" s="17" t="s">
        <v>13</v>
      </c>
      <c r="C7" s="17" t="s">
        <v>92</v>
      </c>
      <c r="D7" s="17">
        <v>11</v>
      </c>
      <c r="F7" s="47">
        <v>12</v>
      </c>
      <c r="G7" s="47" t="str">
        <v>M</v>
      </c>
      <c r="H7" s="47" t="str">
        <v>BLUE</v>
      </c>
      <c r="I7" s="47">
        <v>6</v>
      </c>
    </row>
    <row r="8" spans="1:9" ht="14.25" customHeight="1" x14ac:dyDescent="0.35">
      <c r="A8" s="17">
        <v>7</v>
      </c>
      <c r="B8" s="17" t="s">
        <v>102</v>
      </c>
      <c r="C8" s="17" t="s">
        <v>87</v>
      </c>
      <c r="D8" s="17">
        <v>5</v>
      </c>
      <c r="F8" s="47">
        <v>15</v>
      </c>
      <c r="G8" s="47" t="str">
        <v>P</v>
      </c>
      <c r="H8" s="47" t="str">
        <v>BLUE</v>
      </c>
      <c r="I8" s="47">
        <v>4</v>
      </c>
    </row>
    <row r="9" spans="1:9" ht="14.25" customHeight="1" x14ac:dyDescent="0.35">
      <c r="A9" s="17">
        <v>8</v>
      </c>
      <c r="B9" s="17" t="s">
        <v>101</v>
      </c>
      <c r="C9" s="17" t="s">
        <v>92</v>
      </c>
      <c r="D9" s="17">
        <v>6</v>
      </c>
      <c r="F9" s="47">
        <v>16</v>
      </c>
      <c r="G9" s="47" t="str">
        <v>Q</v>
      </c>
      <c r="H9" s="47" t="str">
        <v>BLUE</v>
      </c>
      <c r="I9" s="47">
        <v>7</v>
      </c>
    </row>
    <row r="10" spans="1:9" ht="14.25" customHeight="1" x14ac:dyDescent="0.35">
      <c r="A10" s="17">
        <v>9</v>
      </c>
      <c r="B10" s="17" t="s">
        <v>100</v>
      </c>
      <c r="C10" s="17" t="s">
        <v>89</v>
      </c>
      <c r="D10" s="17">
        <v>11</v>
      </c>
    </row>
    <row r="11" spans="1:9" ht="14.25" customHeight="1" x14ac:dyDescent="0.35">
      <c r="A11" s="17">
        <v>10</v>
      </c>
      <c r="B11" s="17" t="s">
        <v>99</v>
      </c>
      <c r="C11" s="17" t="s">
        <v>85</v>
      </c>
      <c r="D11" s="17">
        <v>7</v>
      </c>
    </row>
    <row r="12" spans="1:9" ht="14.25" customHeight="1" x14ac:dyDescent="0.35">
      <c r="A12" s="17">
        <v>11</v>
      </c>
      <c r="B12" s="17" t="s">
        <v>98</v>
      </c>
      <c r="C12" s="17" t="s">
        <v>89</v>
      </c>
      <c r="D12" s="17">
        <v>2</v>
      </c>
    </row>
    <row r="13" spans="1:9" ht="14.25" customHeight="1" x14ac:dyDescent="0.35">
      <c r="A13" s="17">
        <v>12</v>
      </c>
      <c r="B13" s="17" t="s">
        <v>97</v>
      </c>
      <c r="C13" s="17" t="s">
        <v>92</v>
      </c>
      <c r="D13" s="17">
        <v>6</v>
      </c>
    </row>
    <row r="14" spans="1:9" ht="14.25" customHeight="1" x14ac:dyDescent="0.35">
      <c r="A14" s="17">
        <v>13</v>
      </c>
      <c r="B14" s="17" t="s">
        <v>96</v>
      </c>
      <c r="C14" s="17" t="s">
        <v>87</v>
      </c>
      <c r="D14" s="17">
        <v>4</v>
      </c>
    </row>
    <row r="15" spans="1:9" ht="14.25" customHeight="1" x14ac:dyDescent="0.35">
      <c r="A15" s="17">
        <v>14</v>
      </c>
      <c r="B15" s="17" t="s">
        <v>95</v>
      </c>
      <c r="C15" s="17" t="s">
        <v>85</v>
      </c>
      <c r="D15" s="17">
        <v>3</v>
      </c>
    </row>
    <row r="16" spans="1:9" ht="14.25" customHeight="1" x14ac:dyDescent="0.35">
      <c r="A16" s="17">
        <v>15</v>
      </c>
      <c r="B16" s="17" t="s">
        <v>94</v>
      </c>
      <c r="C16" s="17" t="s">
        <v>92</v>
      </c>
      <c r="D16" s="17">
        <v>4</v>
      </c>
    </row>
    <row r="17" spans="1:4" ht="14.25" customHeight="1" x14ac:dyDescent="0.35">
      <c r="A17" s="17">
        <v>16</v>
      </c>
      <c r="B17" s="17" t="s">
        <v>93</v>
      </c>
      <c r="C17" s="17" t="s">
        <v>92</v>
      </c>
      <c r="D17" s="17">
        <v>7</v>
      </c>
    </row>
    <row r="18" spans="1:4" ht="14.25" customHeight="1" x14ac:dyDescent="0.35">
      <c r="A18" s="17">
        <v>17</v>
      </c>
      <c r="B18" s="17" t="s">
        <v>91</v>
      </c>
      <c r="C18" s="17" t="s">
        <v>87</v>
      </c>
      <c r="D18" s="17">
        <v>6</v>
      </c>
    </row>
    <row r="19" spans="1:4" ht="14.25" customHeight="1" x14ac:dyDescent="0.35">
      <c r="A19" s="17">
        <v>18</v>
      </c>
      <c r="B19" s="17" t="s">
        <v>90</v>
      </c>
      <c r="C19" s="17" t="s">
        <v>89</v>
      </c>
      <c r="D19" s="17">
        <v>6</v>
      </c>
    </row>
    <row r="20" spans="1:4" ht="14.25" customHeight="1" x14ac:dyDescent="0.35">
      <c r="A20" s="17">
        <v>19</v>
      </c>
      <c r="B20" s="17" t="s">
        <v>88</v>
      </c>
      <c r="C20" s="17" t="s">
        <v>87</v>
      </c>
      <c r="D20" s="17">
        <v>7</v>
      </c>
    </row>
    <row r="21" spans="1:4" ht="14.25" customHeight="1" x14ac:dyDescent="0.35">
      <c r="A21" s="17">
        <v>20</v>
      </c>
      <c r="B21" s="17" t="s">
        <v>86</v>
      </c>
      <c r="C21" s="17" t="s">
        <v>85</v>
      </c>
      <c r="D21" s="17">
        <v>8</v>
      </c>
    </row>
  </sheetData>
  <mergeCells count="1">
    <mergeCell ref="F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54DD6-712C-4076-81EE-50940DB44804}">
  <dimension ref="A1:M17"/>
  <sheetViews>
    <sheetView zoomScaleNormal="100" workbookViewId="0">
      <selection activeCell="A2" sqref="A2"/>
    </sheetView>
  </sheetViews>
  <sheetFormatPr defaultColWidth="8.6328125" defaultRowHeight="14.5" x14ac:dyDescent="0.35"/>
  <cols>
    <col min="1" max="1" width="6" style="16" customWidth="1"/>
    <col min="2" max="2" width="10" style="16" customWidth="1"/>
    <col min="3" max="3" width="8" style="16" customWidth="1"/>
    <col min="4" max="5" width="9" style="16" customWidth="1"/>
    <col min="6" max="6" width="8.6328125" style="15"/>
    <col min="7" max="7" width="4" style="16" customWidth="1"/>
    <col min="8" max="8" width="42" style="16" customWidth="1"/>
    <col min="9" max="9" width="10" style="16" customWidth="1"/>
    <col min="10" max="12" width="8.6328125" style="15"/>
    <col min="13" max="13" width="7.08984375" style="16" customWidth="1"/>
    <col min="14" max="16384" width="8.6328125" style="15"/>
  </cols>
  <sheetData>
    <row r="1" spans="1:9" ht="14.25" customHeight="1" x14ac:dyDescent="0.35">
      <c r="A1" s="26" t="s">
        <v>72</v>
      </c>
      <c r="B1" s="26" t="s">
        <v>35</v>
      </c>
      <c r="C1" s="26" t="s">
        <v>69</v>
      </c>
      <c r="D1" s="26" t="s">
        <v>84</v>
      </c>
      <c r="E1" s="26" t="s">
        <v>75</v>
      </c>
      <c r="G1" s="20"/>
      <c r="H1" s="26" t="s">
        <v>31</v>
      </c>
      <c r="I1" s="26" t="s">
        <v>83</v>
      </c>
    </row>
    <row r="2" spans="1:9" ht="14.25" customHeight="1" x14ac:dyDescent="0.35">
      <c r="A2" s="17">
        <v>101</v>
      </c>
      <c r="B2" s="17" t="s">
        <v>70</v>
      </c>
      <c r="C2" s="17">
        <v>70</v>
      </c>
      <c r="D2" s="17">
        <v>61</v>
      </c>
      <c r="E2" s="17">
        <v>98</v>
      </c>
      <c r="G2" s="20">
        <v>1</v>
      </c>
      <c r="H2" s="18" t="s">
        <v>82</v>
      </c>
      <c r="I2" s="17">
        <f>INDEX(B1:E6,3,2)</f>
        <v>75</v>
      </c>
    </row>
    <row r="3" spans="1:9" ht="14.25" customHeight="1" x14ac:dyDescent="0.35">
      <c r="A3" s="17">
        <v>102</v>
      </c>
      <c r="B3" s="17" t="s">
        <v>73</v>
      </c>
      <c r="C3" s="17">
        <v>75</v>
      </c>
      <c r="D3" s="17">
        <v>71</v>
      </c>
      <c r="E3" s="17">
        <v>74</v>
      </c>
      <c r="G3" s="20">
        <v>2</v>
      </c>
      <c r="H3" s="18" t="s">
        <v>81</v>
      </c>
      <c r="I3" s="17">
        <f>INDEX(B1:E6,4,3)</f>
        <v>77</v>
      </c>
    </row>
    <row r="4" spans="1:9" ht="14.25" customHeight="1" x14ac:dyDescent="0.35">
      <c r="A4" s="17">
        <v>103</v>
      </c>
      <c r="B4" s="17" t="s">
        <v>80</v>
      </c>
      <c r="C4" s="17">
        <v>68</v>
      </c>
      <c r="D4" s="17">
        <v>77</v>
      </c>
      <c r="E4" s="17">
        <v>61</v>
      </c>
      <c r="G4" s="20">
        <v>3</v>
      </c>
      <c r="H4" s="18" t="s">
        <v>79</v>
      </c>
      <c r="I4" s="17">
        <f>INDEX(A1:E6,5,5)</f>
        <v>68</v>
      </c>
    </row>
    <row r="5" spans="1:9" ht="14.25" customHeight="1" x14ac:dyDescent="0.35">
      <c r="A5" s="17">
        <v>104</v>
      </c>
      <c r="B5" s="17" t="s">
        <v>25</v>
      </c>
      <c r="C5" s="17">
        <v>71</v>
      </c>
      <c r="D5" s="17">
        <v>63</v>
      </c>
      <c r="E5" s="17">
        <v>68</v>
      </c>
      <c r="G5" s="25">
        <v>4</v>
      </c>
      <c r="H5" s="18" t="s">
        <v>78</v>
      </c>
      <c r="I5" s="17" t="str">
        <f>INDEX(A1:E6,3,2)</f>
        <v>Priya</v>
      </c>
    </row>
    <row r="6" spans="1:9" ht="27.75" customHeight="1" x14ac:dyDescent="0.35">
      <c r="A6" s="17">
        <v>105</v>
      </c>
      <c r="B6" s="17" t="s">
        <v>29</v>
      </c>
      <c r="C6" s="17">
        <v>68</v>
      </c>
      <c r="D6" s="17">
        <v>71</v>
      </c>
      <c r="E6" s="17">
        <v>86</v>
      </c>
      <c r="G6" s="44">
        <v>5</v>
      </c>
      <c r="H6" s="18" t="s">
        <v>77</v>
      </c>
      <c r="I6" s="17">
        <f>INDEX(A1:E6,MATCH(H7,B1:B6,0),4)</f>
        <v>71</v>
      </c>
    </row>
    <row r="7" spans="1:9" ht="14.25" customHeight="1" x14ac:dyDescent="0.35">
      <c r="G7" s="43"/>
      <c r="H7" s="17" t="s">
        <v>29</v>
      </c>
      <c r="I7" s="17"/>
    </row>
    <row r="8" spans="1:9" ht="14.25" customHeight="1" x14ac:dyDescent="0.35">
      <c r="G8" s="42"/>
      <c r="H8" s="46"/>
      <c r="I8" s="45"/>
    </row>
    <row r="9" spans="1:9" ht="27.75" customHeight="1" x14ac:dyDescent="0.35">
      <c r="G9" s="44">
        <v>6</v>
      </c>
      <c r="H9" s="18" t="s">
        <v>76</v>
      </c>
      <c r="I9" s="17">
        <f>INDEX(A1:E6,MATCH(H10,B1:B6,0),MATCH(H11,A1:E1,0))</f>
        <v>98</v>
      </c>
    </row>
    <row r="10" spans="1:9" ht="14.25" customHeight="1" x14ac:dyDescent="0.35">
      <c r="G10" s="43"/>
      <c r="H10" s="17" t="s">
        <v>70</v>
      </c>
      <c r="I10" s="17"/>
    </row>
    <row r="11" spans="1:9" ht="14.25" customHeight="1" x14ac:dyDescent="0.35">
      <c r="G11" s="42"/>
      <c r="H11" s="17" t="s">
        <v>75</v>
      </c>
      <c r="I11" s="17"/>
    </row>
    <row r="12" spans="1:9" ht="27.75" customHeight="1" x14ac:dyDescent="0.35">
      <c r="G12" s="44">
        <v>7</v>
      </c>
      <c r="H12" s="18" t="s">
        <v>74</v>
      </c>
      <c r="I12" s="17">
        <f>INDEX(A1:E6,MATCH(H13,B1:B6,0),MATCH(H14,A1:E1,0))</f>
        <v>102</v>
      </c>
    </row>
    <row r="13" spans="1:9" ht="14.25" customHeight="1" x14ac:dyDescent="0.35">
      <c r="G13" s="43"/>
      <c r="H13" s="17" t="s">
        <v>73</v>
      </c>
      <c r="I13" s="17"/>
    </row>
    <row r="14" spans="1:9" ht="14.25" customHeight="1" x14ac:dyDescent="0.35">
      <c r="G14" s="42"/>
      <c r="H14" s="17" t="s">
        <v>72</v>
      </c>
      <c r="I14" s="17"/>
    </row>
    <row r="15" spans="1:9" ht="27.75" customHeight="1" x14ac:dyDescent="0.35">
      <c r="G15" s="44">
        <v>8</v>
      </c>
      <c r="H15" s="18" t="s">
        <v>71</v>
      </c>
      <c r="I15" s="17">
        <f>INDEX(A1:E6,MATCH(H16,B1:B6,0),MATCH(H17,A1:E1,0))</f>
        <v>70</v>
      </c>
    </row>
    <row r="16" spans="1:9" ht="14.25" customHeight="1" x14ac:dyDescent="0.35">
      <c r="G16" s="43"/>
      <c r="H16" s="17" t="s">
        <v>70</v>
      </c>
      <c r="I16" s="17"/>
    </row>
    <row r="17" spans="7:9" ht="14.25" customHeight="1" x14ac:dyDescent="0.35">
      <c r="G17" s="42"/>
      <c r="H17" s="17" t="s">
        <v>69</v>
      </c>
      <c r="I17" s="1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8AA7-E19C-4A2B-93C4-F984A24E6CF2}">
  <dimension ref="A1:O26"/>
  <sheetViews>
    <sheetView zoomScale="69" zoomScaleNormal="100" workbookViewId="0"/>
  </sheetViews>
  <sheetFormatPr defaultColWidth="8.6328125" defaultRowHeight="14.5" x14ac:dyDescent="0.35"/>
  <cols>
    <col min="1" max="1" width="9" style="16" customWidth="1"/>
    <col min="2" max="3" width="8" style="16" customWidth="1"/>
    <col min="4" max="4" width="9" style="16" customWidth="1"/>
    <col min="5" max="5" width="10" style="16" customWidth="1"/>
    <col min="6" max="7" width="8.6328125" style="15"/>
    <col min="8" max="8" width="5" style="16" customWidth="1"/>
    <col min="9" max="9" width="32" style="16" customWidth="1"/>
    <col min="10" max="10" width="10" style="16" customWidth="1"/>
    <col min="11" max="11" width="8" style="16" customWidth="1"/>
    <col min="12" max="12" width="9" style="16" customWidth="1"/>
    <col min="13" max="15" width="10" style="16" customWidth="1"/>
    <col min="16" max="16384" width="8.6328125" style="15"/>
  </cols>
  <sheetData>
    <row r="1" spans="1:14" ht="14.25" customHeight="1" x14ac:dyDescent="0.35">
      <c r="A1" s="26" t="s">
        <v>68</v>
      </c>
      <c r="B1" s="26" t="s">
        <v>35</v>
      </c>
      <c r="C1" s="26" t="s">
        <v>67</v>
      </c>
      <c r="D1" s="26" t="s">
        <v>33</v>
      </c>
      <c r="E1" s="26" t="s">
        <v>66</v>
      </c>
      <c r="H1" s="41"/>
      <c r="I1" s="40" t="s">
        <v>31</v>
      </c>
      <c r="J1" s="39" t="s">
        <v>30</v>
      </c>
      <c r="K1" s="38"/>
      <c r="L1" s="38"/>
      <c r="M1" s="38"/>
      <c r="N1" s="37"/>
    </row>
    <row r="2" spans="1:14" ht="15" customHeight="1" thickBot="1" x14ac:dyDescent="0.4">
      <c r="A2" s="17" t="s">
        <v>65</v>
      </c>
      <c r="B2" s="17" t="s">
        <v>32</v>
      </c>
      <c r="C2" s="17" t="s">
        <v>23</v>
      </c>
      <c r="D2" s="17">
        <v>25000</v>
      </c>
      <c r="E2" s="17" t="s">
        <v>64</v>
      </c>
      <c r="H2" s="33"/>
      <c r="I2" s="32"/>
      <c r="J2" s="31"/>
      <c r="K2" s="31"/>
      <c r="L2" s="31"/>
      <c r="M2" s="31"/>
      <c r="N2" s="30"/>
    </row>
    <row r="3" spans="1:14" ht="14.25" customHeight="1" x14ac:dyDescent="0.35">
      <c r="A3" s="17" t="s">
        <v>63</v>
      </c>
      <c r="B3" s="17" t="s">
        <v>25</v>
      </c>
      <c r="C3" s="17" t="s">
        <v>21</v>
      </c>
      <c r="D3" s="17">
        <v>32000</v>
      </c>
      <c r="E3" s="17" t="s">
        <v>62</v>
      </c>
      <c r="H3" s="29" t="s">
        <v>61</v>
      </c>
      <c r="I3" s="28" t="s">
        <v>60</v>
      </c>
      <c r="J3" s="27" t="str">
        <f t="array" ref="J3:N4">_xlfn._xlws.FILTER(A1:E6,C1:C6="IT")</f>
        <v>EMP102</v>
      </c>
      <c r="K3" s="27" t="str">
        <v>Neha</v>
      </c>
      <c r="L3" s="27" t="str">
        <v>IT</v>
      </c>
      <c r="M3" s="27">
        <v>32000</v>
      </c>
      <c r="N3" s="27" t="str">
        <v>Mumbai</v>
      </c>
    </row>
    <row r="4" spans="1:14" ht="14.25" customHeight="1" x14ac:dyDescent="0.35">
      <c r="A4" s="17" t="s">
        <v>59</v>
      </c>
      <c r="B4" s="17" t="s">
        <v>58</v>
      </c>
      <c r="C4" s="17" t="s">
        <v>26</v>
      </c>
      <c r="D4" s="17">
        <v>28000</v>
      </c>
      <c r="E4" s="17" t="s">
        <v>57</v>
      </c>
      <c r="H4" s="36"/>
      <c r="I4" s="35"/>
      <c r="J4" s="16" t="str">
        <v>EMP106</v>
      </c>
      <c r="K4" s="16" t="str">
        <v>Karan</v>
      </c>
      <c r="L4" s="16" t="str">
        <v>IT</v>
      </c>
      <c r="M4" s="16">
        <v>30000</v>
      </c>
      <c r="N4" s="34" t="str">
        <v>Indore</v>
      </c>
    </row>
    <row r="5" spans="1:14" ht="14.25" customHeight="1" x14ac:dyDescent="0.35">
      <c r="A5" s="17" t="s">
        <v>56</v>
      </c>
      <c r="B5" s="17" t="s">
        <v>55</v>
      </c>
      <c r="C5" s="17" t="s">
        <v>54</v>
      </c>
      <c r="D5" s="17">
        <v>35000</v>
      </c>
      <c r="E5" s="17" t="s">
        <v>53</v>
      </c>
      <c r="H5" s="36"/>
      <c r="I5" s="35"/>
      <c r="N5" s="34"/>
    </row>
    <row r="6" spans="1:14" ht="15" customHeight="1" thickBot="1" x14ac:dyDescent="0.4">
      <c r="A6" s="17" t="s">
        <v>52</v>
      </c>
      <c r="B6" s="17" t="s">
        <v>51</v>
      </c>
      <c r="C6" s="17" t="s">
        <v>21</v>
      </c>
      <c r="D6" s="17">
        <v>30000</v>
      </c>
      <c r="E6" s="17" t="s">
        <v>50</v>
      </c>
      <c r="H6" s="33"/>
      <c r="I6" s="32"/>
      <c r="J6" s="31"/>
      <c r="K6" s="31"/>
      <c r="L6" s="31"/>
      <c r="M6" s="31"/>
      <c r="N6" s="30"/>
    </row>
    <row r="7" spans="1:14" ht="14.25" customHeight="1" x14ac:dyDescent="0.35">
      <c r="H7" s="29" t="s">
        <v>49</v>
      </c>
      <c r="I7" s="28" t="s">
        <v>48</v>
      </c>
      <c r="J7" s="27" t="str">
        <f t="array" ref="J7:N9">_xlfn._xlws.FILTER(A1:E6,D1:D6&gt;30000)</f>
        <v>Emp ID</v>
      </c>
      <c r="K7" s="27" t="str">
        <v>Name</v>
      </c>
      <c r="L7" s="27" t="str">
        <v>Dept</v>
      </c>
      <c r="M7" s="27" t="str">
        <v>Salary</v>
      </c>
      <c r="N7" s="27" t="str">
        <v>City</v>
      </c>
    </row>
    <row r="8" spans="1:14" ht="14.25" customHeight="1" x14ac:dyDescent="0.35">
      <c r="H8" s="27"/>
      <c r="I8" s="27"/>
      <c r="J8" s="27" t="str">
        <v>EMP102</v>
      </c>
      <c r="K8" s="27" t="str">
        <v>Neha</v>
      </c>
      <c r="L8" s="27" t="str">
        <v>IT</v>
      </c>
      <c r="M8" s="27">
        <v>32000</v>
      </c>
      <c r="N8" s="27" t="str">
        <v>Mumbai</v>
      </c>
    </row>
    <row r="9" spans="1:14" ht="14.25" customHeight="1" x14ac:dyDescent="0.35">
      <c r="H9" s="27"/>
      <c r="I9" s="27"/>
      <c r="J9" s="27" t="str">
        <v>EMP104</v>
      </c>
      <c r="K9" s="27" t="str">
        <v>Pooja</v>
      </c>
      <c r="L9" s="27" t="str">
        <v>Finance</v>
      </c>
      <c r="M9" s="27">
        <v>35000</v>
      </c>
      <c r="N9" s="27" t="str">
        <v>Bhopal</v>
      </c>
    </row>
    <row r="10" spans="1:14" ht="14.25" customHeight="1" x14ac:dyDescent="0.35">
      <c r="H10" s="36"/>
      <c r="I10" s="35"/>
      <c r="N10" s="34"/>
    </row>
    <row r="11" spans="1:14" ht="15" customHeight="1" thickBot="1" x14ac:dyDescent="0.4">
      <c r="H11" s="33"/>
      <c r="I11" s="32"/>
      <c r="J11" s="31"/>
      <c r="K11" s="31"/>
      <c r="L11" s="31"/>
      <c r="M11" s="31"/>
      <c r="N11" s="30"/>
    </row>
    <row r="12" spans="1:14" ht="14.25" customHeight="1" x14ac:dyDescent="0.35">
      <c r="H12" s="29" t="s">
        <v>47</v>
      </c>
      <c r="I12" s="28" t="s">
        <v>46</v>
      </c>
      <c r="J12" s="27" t="str">
        <f t="array" ref="J12:N12">_xlfn._xlws.FILTER(A1:E6,D1:D6=LARGE(D1:D6,1))</f>
        <v>EMP104</v>
      </c>
      <c r="K12" s="27" t="str">
        <v>Pooja</v>
      </c>
      <c r="L12" s="27" t="str">
        <v>Finance</v>
      </c>
      <c r="M12" s="27">
        <v>35000</v>
      </c>
      <c r="N12" s="27" t="str">
        <v>Bhopal</v>
      </c>
    </row>
    <row r="13" spans="1:14" ht="15" customHeight="1" thickBot="1" x14ac:dyDescent="0.4">
      <c r="H13" s="33"/>
      <c r="I13" s="32"/>
      <c r="J13" s="31"/>
      <c r="K13" s="31"/>
      <c r="L13" s="31"/>
      <c r="M13" s="31"/>
      <c r="N13" s="30"/>
    </row>
    <row r="14" spans="1:14" ht="27.75" customHeight="1" x14ac:dyDescent="0.35">
      <c r="H14" s="29" t="s">
        <v>45</v>
      </c>
      <c r="I14" s="28" t="s">
        <v>44</v>
      </c>
      <c r="J14" s="27" t="str">
        <f t="array" ref="J14:N14">_xlfn._xlws.FILTER(A1:E6,(C1:C6="IT")*(D1:D6&gt;30000))</f>
        <v>EMP102</v>
      </c>
      <c r="K14" s="27" t="str">
        <v>Neha</v>
      </c>
      <c r="L14" s="27" t="str">
        <v>IT</v>
      </c>
      <c r="M14" s="27">
        <v>32000</v>
      </c>
      <c r="N14" s="27" t="str">
        <v>Mumbai</v>
      </c>
    </row>
    <row r="15" spans="1:14" ht="15" customHeight="1" thickBot="1" x14ac:dyDescent="0.4">
      <c r="H15" s="33"/>
      <c r="I15" s="32"/>
      <c r="J15" s="31"/>
      <c r="K15" s="31"/>
      <c r="L15" s="31"/>
      <c r="M15" s="31"/>
      <c r="N15" s="30"/>
    </row>
    <row r="16" spans="1:14" ht="27.75" customHeight="1" x14ac:dyDescent="0.35">
      <c r="H16" s="29" t="s">
        <v>43</v>
      </c>
      <c r="I16" s="28" t="s">
        <v>42</v>
      </c>
      <c r="J16" s="27" t="str">
        <f t="array" ref="J16:N18">_xlfn._xlws.FILTER(A1:E6,(C1:C6="IT")+(E1:E6="Delhi"))</f>
        <v>EMP101</v>
      </c>
      <c r="K16" s="27" t="str">
        <v>Amit</v>
      </c>
      <c r="L16" s="27" t="str">
        <v>HR</v>
      </c>
      <c r="M16" s="27">
        <v>25000</v>
      </c>
      <c r="N16" s="27" t="str">
        <v>Delhi</v>
      </c>
    </row>
    <row r="17" spans="8:14" ht="14.25" customHeight="1" x14ac:dyDescent="0.35">
      <c r="H17" s="27"/>
      <c r="I17" s="27"/>
      <c r="J17" s="27" t="str">
        <v>EMP102</v>
      </c>
      <c r="K17" s="27" t="str">
        <v>Neha</v>
      </c>
      <c r="L17" s="27" t="str">
        <v>IT</v>
      </c>
      <c r="M17" s="27">
        <v>32000</v>
      </c>
      <c r="N17" s="27" t="str">
        <v>Mumbai</v>
      </c>
    </row>
    <row r="18" spans="8:14" ht="14.25" customHeight="1" x14ac:dyDescent="0.35">
      <c r="H18" s="27"/>
      <c r="I18" s="27"/>
      <c r="J18" s="27" t="str">
        <v>EMP106</v>
      </c>
      <c r="K18" s="27" t="str">
        <v>Karan</v>
      </c>
      <c r="L18" s="27" t="str">
        <v>IT</v>
      </c>
      <c r="M18" s="27">
        <v>30000</v>
      </c>
      <c r="N18" s="27" t="str">
        <v>Indore</v>
      </c>
    </row>
    <row r="19" spans="8:14" ht="15" customHeight="1" thickBot="1" x14ac:dyDescent="0.4">
      <c r="H19" s="33"/>
      <c r="I19" s="32"/>
      <c r="J19" s="31"/>
      <c r="K19" s="31"/>
      <c r="L19" s="31"/>
      <c r="M19" s="31"/>
      <c r="N19" s="30"/>
    </row>
    <row r="20" spans="8:14" ht="14.25" customHeight="1" x14ac:dyDescent="0.35">
      <c r="H20" s="29" t="s">
        <v>41</v>
      </c>
      <c r="I20" s="28" t="s">
        <v>40</v>
      </c>
      <c r="J20" s="27" t="str">
        <f t="array" ref="J20">_xlfn._xlws.FILTER(A1:E6,E1:E6="Chennai","NOT FOUND")</f>
        <v>NOT FOUND</v>
      </c>
      <c r="K20" s="27"/>
      <c r="L20" s="27"/>
      <c r="M20" s="27"/>
      <c r="N20" s="27"/>
    </row>
    <row r="21" spans="8:14" ht="15" customHeight="1" thickBot="1" x14ac:dyDescent="0.4">
      <c r="H21" s="33"/>
      <c r="I21" s="32"/>
      <c r="J21" s="31"/>
      <c r="K21" s="31"/>
      <c r="L21" s="31"/>
      <c r="M21" s="31"/>
      <c r="N21" s="30"/>
    </row>
    <row r="22" spans="8:14" ht="14.25" customHeight="1" x14ac:dyDescent="0.35">
      <c r="H22" s="29" t="s">
        <v>39</v>
      </c>
      <c r="I22" s="28" t="s">
        <v>38</v>
      </c>
      <c r="J22" s="27" t="str">
        <f t="array" ref="J22:N22">_xlfn._xlws.FILTER(A1:E6,LEFT(B1:B6,1)="A")</f>
        <v>EMP101</v>
      </c>
      <c r="K22" s="27" t="str">
        <v>Amit</v>
      </c>
      <c r="L22" s="27" t="str">
        <v>HR</v>
      </c>
      <c r="M22" s="27">
        <v>25000</v>
      </c>
      <c r="N22" s="27" t="str">
        <v>Delhi</v>
      </c>
    </row>
    <row r="23" spans="8:14" ht="14.25" customHeight="1" x14ac:dyDescent="0.35">
      <c r="H23" s="36"/>
      <c r="I23" s="35"/>
      <c r="N23" s="34"/>
    </row>
    <row r="24" spans="8:14" ht="15" customHeight="1" thickBot="1" x14ac:dyDescent="0.4">
      <c r="H24" s="33"/>
      <c r="I24" s="32"/>
      <c r="J24" s="31"/>
      <c r="K24" s="31"/>
      <c r="L24" s="31"/>
      <c r="M24" s="31"/>
      <c r="N24" s="30"/>
    </row>
    <row r="25" spans="8:14" ht="14.25" customHeight="1" x14ac:dyDescent="0.35">
      <c r="H25" s="29" t="s">
        <v>37</v>
      </c>
      <c r="I25" s="28" t="s">
        <v>36</v>
      </c>
      <c r="J25" s="27" t="str">
        <f t="array" ref="J25:N26">_xlfn._xlws.FILTER(A1:E6,C1:C6=I26)</f>
        <v>EMP102</v>
      </c>
      <c r="K25" s="27" t="str">
        <v>Neha</v>
      </c>
      <c r="L25" s="27" t="str">
        <v>IT</v>
      </c>
      <c r="M25" s="27">
        <v>32000</v>
      </c>
      <c r="N25" s="27" t="str">
        <v>Mumbai</v>
      </c>
    </row>
    <row r="26" spans="8:14" ht="15" customHeight="1" x14ac:dyDescent="0.35">
      <c r="H26" s="27"/>
      <c r="I26" s="28" t="s">
        <v>21</v>
      </c>
      <c r="J26" s="27" t="str">
        <v>EMP106</v>
      </c>
      <c r="K26" s="27" t="str">
        <v>Karan</v>
      </c>
      <c r="L26" s="27" t="str">
        <v>IT</v>
      </c>
      <c r="M26" s="27">
        <v>30000</v>
      </c>
      <c r="N26" s="27" t="str">
        <v>Indore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0FB64-B819-4F03-968A-364C730BC8CC}">
  <dimension ref="A1:G13"/>
  <sheetViews>
    <sheetView zoomScale="82" zoomScaleNormal="100" workbookViewId="0">
      <selection activeCell="F8" sqref="F8"/>
    </sheetView>
  </sheetViews>
  <sheetFormatPr defaultColWidth="8.6328125" defaultRowHeight="14.5" x14ac:dyDescent="0.35"/>
  <cols>
    <col min="1" max="1" width="10" style="1" customWidth="1"/>
    <col min="2" max="2" width="8" style="1" customWidth="1"/>
    <col min="3" max="3" width="70.26953125" style="1" bestFit="1" customWidth="1"/>
    <col min="4" max="4" width="10" style="1" customWidth="1"/>
    <col min="5" max="5" width="8.6328125" style="1"/>
    <col min="6" max="6" width="68.08984375" style="1" bestFit="1" customWidth="1"/>
    <col min="7" max="7" width="4" style="1" bestFit="1" customWidth="1"/>
    <col min="8" max="16384" width="8.6328125" style="1"/>
  </cols>
  <sheetData>
    <row r="1" spans="1:7" ht="51" customHeight="1" x14ac:dyDescent="0.35">
      <c r="A1" s="9" t="s">
        <v>16</v>
      </c>
      <c r="B1" s="14" t="s">
        <v>15</v>
      </c>
      <c r="C1" s="13" t="s">
        <v>14</v>
      </c>
      <c r="D1" s="7" t="str">
        <f>VLOOKUP(D2,A1:B6,2,1)</f>
        <v>B</v>
      </c>
    </row>
    <row r="2" spans="1:7" ht="14.25" customHeight="1" thickBot="1" x14ac:dyDescent="0.4">
      <c r="A2" s="4">
        <v>0</v>
      </c>
      <c r="B2" s="12" t="s">
        <v>13</v>
      </c>
      <c r="C2" s="11" t="s">
        <v>12</v>
      </c>
      <c r="D2" s="10">
        <v>82</v>
      </c>
    </row>
    <row r="3" spans="1:7" ht="14.25" customHeight="1" x14ac:dyDescent="0.35">
      <c r="A3" s="4">
        <v>40</v>
      </c>
      <c r="B3" s="4" t="s">
        <v>11</v>
      </c>
    </row>
    <row r="4" spans="1:7" ht="14.25" customHeight="1" x14ac:dyDescent="0.35">
      <c r="A4" s="4">
        <v>60</v>
      </c>
      <c r="B4" s="4" t="s">
        <v>10</v>
      </c>
    </row>
    <row r="5" spans="1:7" ht="14.25" customHeight="1" x14ac:dyDescent="0.35">
      <c r="A5" s="4">
        <v>75</v>
      </c>
      <c r="B5" s="4" t="s">
        <v>9</v>
      </c>
    </row>
    <row r="6" spans="1:7" ht="14.25" customHeight="1" x14ac:dyDescent="0.35">
      <c r="A6" s="4">
        <v>90</v>
      </c>
      <c r="B6" s="4" t="s">
        <v>8</v>
      </c>
    </row>
    <row r="8" spans="1:7" ht="68.25" customHeight="1" x14ac:dyDescent="0.35"/>
    <row r="9" spans="1:7" ht="14.25" customHeight="1" x14ac:dyDescent="0.35"/>
    <row r="10" spans="1:7" ht="14.25" customHeight="1" thickBot="1" x14ac:dyDescent="0.4">
      <c r="A10" s="9" t="s">
        <v>7</v>
      </c>
      <c r="B10" s="9" t="s">
        <v>0</v>
      </c>
      <c r="C10" s="9" t="s">
        <v>6</v>
      </c>
      <c r="D10" s="9" t="s">
        <v>5</v>
      </c>
    </row>
    <row r="11" spans="1:7" x14ac:dyDescent="0.35">
      <c r="A11" s="4" t="s">
        <v>4</v>
      </c>
      <c r="B11" s="4">
        <v>110</v>
      </c>
      <c r="C11" s="4">
        <v>105</v>
      </c>
      <c r="D11" s="4">
        <v>106</v>
      </c>
      <c r="F11" s="8" t="s">
        <v>3</v>
      </c>
      <c r="G11" s="7">
        <f>VLOOKUP(F12,A10:D13,MATCH(F13,A10:D10,0),0)</f>
        <v>110</v>
      </c>
    </row>
    <row r="12" spans="1:7" x14ac:dyDescent="0.35">
      <c r="A12" s="4" t="s">
        <v>2</v>
      </c>
      <c r="B12" s="4">
        <v>110</v>
      </c>
      <c r="C12" s="4">
        <v>104</v>
      </c>
      <c r="D12" s="4">
        <v>105</v>
      </c>
      <c r="F12" s="6" t="s">
        <v>2</v>
      </c>
      <c r="G12" s="5"/>
    </row>
    <row r="13" spans="1:7" ht="14.25" customHeight="1" thickBot="1" x14ac:dyDescent="0.4">
      <c r="A13" s="4" t="s">
        <v>1</v>
      </c>
      <c r="B13" s="4">
        <v>103</v>
      </c>
      <c r="C13" s="4">
        <v>100</v>
      </c>
      <c r="D13" s="4">
        <v>106</v>
      </c>
      <c r="F13" s="3" t="s">
        <v>0</v>
      </c>
      <c r="G13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1E857-C61C-4876-8EC4-54E8C7146BF1}">
  <dimension ref="A1:H12"/>
  <sheetViews>
    <sheetView workbookViewId="0">
      <selection activeCell="J4" sqref="J4"/>
    </sheetView>
  </sheetViews>
  <sheetFormatPr defaultRowHeight="14.5" x14ac:dyDescent="0.35"/>
  <cols>
    <col min="1" max="1" width="27.453125" customWidth="1"/>
    <col min="2" max="2" width="13.36328125" customWidth="1"/>
    <col min="3" max="3" width="24.6328125" customWidth="1"/>
    <col min="4" max="4" width="8.6328125" customWidth="1"/>
    <col min="5" max="5" width="8.81640625" customWidth="1"/>
    <col min="6" max="6" width="11" customWidth="1"/>
    <col min="7" max="7" width="13.90625" customWidth="1"/>
  </cols>
  <sheetData>
    <row r="1" spans="1:8" ht="23.5" x14ac:dyDescent="0.55000000000000004">
      <c r="A1" s="68" t="s">
        <v>144</v>
      </c>
      <c r="B1" s="68" t="s">
        <v>143</v>
      </c>
      <c r="C1" s="68" t="s">
        <v>142</v>
      </c>
      <c r="D1" s="68" t="s">
        <v>138</v>
      </c>
      <c r="E1" s="68" t="s">
        <v>141</v>
      </c>
      <c r="F1" s="69" t="s">
        <v>140</v>
      </c>
      <c r="G1" s="68" t="s">
        <v>139</v>
      </c>
      <c r="H1" s="67" t="s">
        <v>138</v>
      </c>
    </row>
    <row r="2" spans="1:8" ht="23.5" x14ac:dyDescent="0.55000000000000004">
      <c r="A2" s="66" t="s">
        <v>137</v>
      </c>
      <c r="B2" s="65">
        <v>11668</v>
      </c>
      <c r="C2" s="65">
        <v>6</v>
      </c>
      <c r="D2" s="65" t="str">
        <f t="shared" ref="D2:D10" si="0">IF(B2&gt;5000,"10%","0")</f>
        <v>10%</v>
      </c>
      <c r="E2" s="65" t="str">
        <f>IF(OR(B2&gt;10000,C2&gt;4),"20%","0")</f>
        <v>20%</v>
      </c>
      <c r="F2" s="65" t="str">
        <f t="shared" ref="F2:F10" si="1">IF(AND(B2&gt;20000,C2&gt;9),"30%","0")</f>
        <v>0</v>
      </c>
      <c r="G2" s="65" t="str" cm="1">
        <f t="array" ref="G2">_xlfn.IFS(B2&gt;20000,"A",B2&gt;10000,"B",B2&lt;10000,"C")</f>
        <v>B</v>
      </c>
      <c r="H2" s="65" t="str">
        <f t="shared" ref="H2:H10" si="2">IF(B2&gt;20000,"A",IF(B2&gt;10000,"B",IF(B2&lt;10000,"C")))</f>
        <v>B</v>
      </c>
    </row>
    <row r="3" spans="1:8" ht="23.5" x14ac:dyDescent="0.55000000000000004">
      <c r="A3" s="66" t="s">
        <v>136</v>
      </c>
      <c r="B3" s="65">
        <v>43316</v>
      </c>
      <c r="C3" s="65">
        <v>6</v>
      </c>
      <c r="D3" s="65" t="str">
        <f t="shared" si="0"/>
        <v>10%</v>
      </c>
      <c r="E3" s="65" t="str">
        <f t="shared" ref="E3:E10" si="3">IF(OR(B3&gt;10000,C3&gt;4),"20%")</f>
        <v>20%</v>
      </c>
      <c r="F3" s="65" t="str">
        <f t="shared" si="1"/>
        <v>0</v>
      </c>
      <c r="G3" s="65" t="str" cm="1">
        <f t="array" ref="G3">_xlfn.IFS(B3&gt;20000,"A",B3&gt;10000,"B",B3&lt;10000,"C")</f>
        <v>A</v>
      </c>
      <c r="H3" s="65" t="str">
        <f t="shared" si="2"/>
        <v>A</v>
      </c>
    </row>
    <row r="4" spans="1:8" ht="23.5" x14ac:dyDescent="0.55000000000000004">
      <c r="A4" s="66" t="s">
        <v>135</v>
      </c>
      <c r="B4" s="65">
        <v>13951</v>
      </c>
      <c r="C4" s="65">
        <v>4</v>
      </c>
      <c r="D4" s="65" t="str">
        <f t="shared" si="0"/>
        <v>10%</v>
      </c>
      <c r="E4" s="65" t="str">
        <f t="shared" si="3"/>
        <v>20%</v>
      </c>
      <c r="F4" s="65" t="str">
        <f t="shared" si="1"/>
        <v>0</v>
      </c>
      <c r="G4" s="65" t="str" cm="1">
        <f t="array" ref="G4">_xlfn.IFS(B4&gt;20000,"A",B4&gt;10000,"B",B4&lt;10000,"C")</f>
        <v>B</v>
      </c>
      <c r="H4" s="65" t="str">
        <f t="shared" si="2"/>
        <v>B</v>
      </c>
    </row>
    <row r="5" spans="1:8" ht="23.5" x14ac:dyDescent="0.55000000000000004">
      <c r="A5" s="66" t="s">
        <v>134</v>
      </c>
      <c r="B5" s="65">
        <v>10488</v>
      </c>
      <c r="C5" s="65">
        <v>14</v>
      </c>
      <c r="D5" s="65" t="str">
        <f t="shared" si="0"/>
        <v>10%</v>
      </c>
      <c r="E5" s="65" t="str">
        <f t="shared" si="3"/>
        <v>20%</v>
      </c>
      <c r="F5" s="65" t="str">
        <f t="shared" si="1"/>
        <v>0</v>
      </c>
      <c r="G5" s="65" t="str" cm="1">
        <f t="array" ref="G5">_xlfn.IFS(B5&gt;20000,"A",B5&gt;10000,"B",B5&lt;10000,"C")</f>
        <v>B</v>
      </c>
      <c r="H5" s="65" t="str">
        <f t="shared" si="2"/>
        <v>B</v>
      </c>
    </row>
    <row r="6" spans="1:8" ht="23.5" x14ac:dyDescent="0.55000000000000004">
      <c r="A6" s="66" t="s">
        <v>133</v>
      </c>
      <c r="B6" s="65">
        <v>33641</v>
      </c>
      <c r="C6" s="65">
        <v>10</v>
      </c>
      <c r="D6" s="65" t="str">
        <f t="shared" si="0"/>
        <v>10%</v>
      </c>
      <c r="E6" s="65" t="str">
        <f t="shared" si="3"/>
        <v>20%</v>
      </c>
      <c r="F6" s="65" t="str">
        <f t="shared" si="1"/>
        <v>30%</v>
      </c>
      <c r="G6" s="65" t="str" cm="1">
        <f t="array" ref="G6">_xlfn.IFS(B6&gt;20000,"A",B6&gt;10000,"B",B6&lt;10000,"C")</f>
        <v>A</v>
      </c>
      <c r="H6" s="65" t="str">
        <f t="shared" si="2"/>
        <v>A</v>
      </c>
    </row>
    <row r="7" spans="1:8" ht="23.5" x14ac:dyDescent="0.55000000000000004">
      <c r="A7" s="66" t="s">
        <v>132</v>
      </c>
      <c r="B7" s="65">
        <v>26146</v>
      </c>
      <c r="C7" s="65">
        <v>15</v>
      </c>
      <c r="D7" s="65" t="str">
        <f t="shared" si="0"/>
        <v>10%</v>
      </c>
      <c r="E7" s="65" t="str">
        <f t="shared" si="3"/>
        <v>20%</v>
      </c>
      <c r="F7" s="65" t="str">
        <f t="shared" si="1"/>
        <v>30%</v>
      </c>
      <c r="G7" s="65" t="str" cm="1">
        <f t="array" ref="G7">_xlfn.IFS(B7&gt;20000,"A",B7&gt;10000,"B",B7&lt;10000,"C")</f>
        <v>A</v>
      </c>
      <c r="H7" s="65" t="str">
        <f t="shared" si="2"/>
        <v>A</v>
      </c>
    </row>
    <row r="8" spans="1:8" ht="23.5" x14ac:dyDescent="0.55000000000000004">
      <c r="A8" s="66" t="s">
        <v>131</v>
      </c>
      <c r="B8" s="65">
        <v>30080</v>
      </c>
      <c r="C8" s="65">
        <v>4</v>
      </c>
      <c r="D8" s="65" t="str">
        <f t="shared" si="0"/>
        <v>10%</v>
      </c>
      <c r="E8" s="65" t="str">
        <f t="shared" si="3"/>
        <v>20%</v>
      </c>
      <c r="F8" s="65" t="str">
        <f t="shared" si="1"/>
        <v>0</v>
      </c>
      <c r="G8" s="65" t="str" cm="1">
        <f t="array" ref="G8">_xlfn.IFS(B8&gt;20000,"A",B8&gt;10000,"B",B8&lt;10000,"C")</f>
        <v>A</v>
      </c>
      <c r="H8" s="65" t="str">
        <f t="shared" si="2"/>
        <v>A</v>
      </c>
    </row>
    <row r="9" spans="1:8" ht="23.5" x14ac:dyDescent="0.55000000000000004">
      <c r="A9" s="66" t="s">
        <v>130</v>
      </c>
      <c r="B9" s="65">
        <v>32446</v>
      </c>
      <c r="C9" s="65">
        <v>13</v>
      </c>
      <c r="D9" s="65" t="str">
        <f t="shared" si="0"/>
        <v>10%</v>
      </c>
      <c r="E9" s="65" t="str">
        <f t="shared" si="3"/>
        <v>20%</v>
      </c>
      <c r="F9" s="65" t="str">
        <f t="shared" si="1"/>
        <v>30%</v>
      </c>
      <c r="G9" s="65" t="str" cm="1">
        <f t="array" ref="G9">_xlfn.IFS(B9&gt;20000,"A",B9&gt;10000,"B",B9&lt;10000,"C")</f>
        <v>A</v>
      </c>
      <c r="H9" s="65" t="str">
        <f t="shared" si="2"/>
        <v>A</v>
      </c>
    </row>
    <row r="10" spans="1:8" ht="23.5" x14ac:dyDescent="0.55000000000000004">
      <c r="A10" s="66" t="s">
        <v>129</v>
      </c>
      <c r="B10" s="65">
        <v>13153</v>
      </c>
      <c r="C10" s="65">
        <v>8</v>
      </c>
      <c r="D10" s="65" t="str">
        <f t="shared" si="0"/>
        <v>10%</v>
      </c>
      <c r="E10" s="65" t="str">
        <f t="shared" si="3"/>
        <v>20%</v>
      </c>
      <c r="F10" s="65" t="str">
        <f t="shared" si="1"/>
        <v>0</v>
      </c>
      <c r="G10" s="65" t="str" cm="1">
        <f t="array" ref="G10">_xlfn.IFS(B10&gt;20000,"A",B10&gt;10000,"B",B10&lt;10000,"C")</f>
        <v>B</v>
      </c>
      <c r="H10" s="65" t="str">
        <f t="shared" si="2"/>
        <v>B</v>
      </c>
    </row>
    <row r="11" spans="1:8" x14ac:dyDescent="0.35">
      <c r="A11" s="64"/>
    </row>
    <row r="12" spans="1:8" x14ac:dyDescent="0.35">
      <c r="A12" s="6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if and ifs</vt:lpstr>
      <vt:lpstr>mix_question</vt:lpstr>
      <vt:lpstr>count_fuction</vt:lpstr>
      <vt:lpstr>sumif and sumifs</vt:lpstr>
      <vt:lpstr>Basic functions</vt:lpstr>
      <vt:lpstr>Filter</vt:lpstr>
      <vt:lpstr>Filter (2)</vt:lpstr>
      <vt:lpstr>index</vt:lpstr>
      <vt:lpstr>Filter with multiple condition</vt:lpstr>
      <vt:lpstr>approximate_match</vt:lpstr>
      <vt:lpstr>conditions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Vishwas Sharma</dc:creator>
  <cp:lastModifiedBy>Vishwas Sharma</cp:lastModifiedBy>
  <dcterms:created xsi:type="dcterms:W3CDTF">2026-09-11T16:46:55Z</dcterms:created>
  <dcterms:modified xsi:type="dcterms:W3CDTF">2026-09-13T06:31:47Z</dcterms:modified>
</cp:coreProperties>
</file>