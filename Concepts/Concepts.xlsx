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S SHARMA\Documents\Xcel_portfolio\Concepts\"/>
    </mc:Choice>
  </mc:AlternateContent>
  <xr:revisionPtr revIDLastSave="0" documentId="13_ncr:1_{829B67DF-8262-4704-8ECB-D637F611BE61}" xr6:coauthVersionLast="47" xr6:coauthVersionMax="47" xr10:uidLastSave="{00000000-0000-0000-0000-000000000000}"/>
  <bookViews>
    <workbookView xWindow="-110" yWindow="-110" windowWidth="19420" windowHeight="11020" firstSheet="3" activeTab="6" xr2:uid="{5494DA74-FC50-4B2E-97A8-E9863E62A463}"/>
  </bookViews>
  <sheets>
    <sheet name="Basic functions" sheetId="7" r:id="rId1"/>
    <sheet name="Filter" sheetId="3" r:id="rId2"/>
    <sheet name="Filter (2)" sheetId="6" r:id="rId3"/>
    <sheet name="index" sheetId="5" r:id="rId4"/>
    <sheet name="Filter with multiple condition" sheetId="4" r:id="rId5"/>
    <sheet name="approximate_match" sheetId="2" r:id="rId6"/>
    <sheet name="condition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" l="1"/>
  <c r="E2" i="8"/>
  <c r="F2" i="8"/>
  <c r="G2" i="8" a="1"/>
  <c r="G2" i="8" s="1"/>
  <c r="H2" i="8"/>
  <c r="D3" i="8"/>
  <c r="E3" i="8"/>
  <c r="F3" i="8"/>
  <c r="G3" i="8" a="1"/>
  <c r="G3" i="8"/>
  <c r="H3" i="8"/>
  <c r="D4" i="8"/>
  <c r="E4" i="8"/>
  <c r="F4" i="8"/>
  <c r="G4" i="8" a="1"/>
  <c r="G4" i="8" s="1"/>
  <c r="H4" i="8"/>
  <c r="D5" i="8"/>
  <c r="E5" i="8"/>
  <c r="F5" i="8"/>
  <c r="G5" i="8" a="1"/>
  <c r="G5" i="8" s="1"/>
  <c r="H5" i="8"/>
  <c r="D6" i="8"/>
  <c r="E6" i="8"/>
  <c r="F6" i="8"/>
  <c r="G6" i="8" a="1"/>
  <c r="G6" i="8" s="1"/>
  <c r="H6" i="8"/>
  <c r="D7" i="8"/>
  <c r="E7" i="8"/>
  <c r="F7" i="8"/>
  <c r="G7" i="8" a="1"/>
  <c r="G7" i="8"/>
  <c r="H7" i="8"/>
  <c r="D8" i="8"/>
  <c r="E8" i="8"/>
  <c r="F8" i="8"/>
  <c r="G8" i="8" a="1"/>
  <c r="G8" i="8" s="1"/>
  <c r="H8" i="8"/>
  <c r="D9" i="8"/>
  <c r="E9" i="8"/>
  <c r="F9" i="8"/>
  <c r="G9" i="8" a="1"/>
  <c r="G9" i="8" s="1"/>
  <c r="H9" i="8"/>
  <c r="D10" i="8"/>
  <c r="E10" i="8"/>
  <c r="F10" i="8"/>
  <c r="G10" i="8" a="1"/>
  <c r="G10" i="8" s="1"/>
  <c r="H10" i="8"/>
  <c r="I4" i="7" a="1"/>
  <c r="I4" i="7" s="1"/>
  <c r="K4" i="7" a="1"/>
  <c r="K4" i="7" s="1"/>
  <c r="M4" i="7" a="1"/>
  <c r="M4" i="7" s="1"/>
  <c r="D13" i="7"/>
  <c r="D14" i="7"/>
  <c r="D15" i="7"/>
  <c r="D16" i="7"/>
  <c r="D17" i="7"/>
  <c r="D18" i="7" s="1"/>
  <c r="A2" i="6" a="1"/>
  <c r="A2" i="6" s="1"/>
  <c r="I2" i="5"/>
  <c r="I3" i="5"/>
  <c r="I4" i="5"/>
  <c r="I5" i="5"/>
  <c r="I6" i="5"/>
  <c r="I9" i="5"/>
  <c r="I12" i="5"/>
  <c r="I15" i="5"/>
  <c r="J3" i="4" a="1"/>
  <c r="J3" i="4" s="1"/>
  <c r="J4" i="4"/>
  <c r="K4" i="4"/>
  <c r="L4" i="4"/>
  <c r="J7" i="4" a="1"/>
  <c r="N7" i="4" s="1"/>
  <c r="L7" i="4"/>
  <c r="M7" i="4"/>
  <c r="J9" i="4"/>
  <c r="K9" i="4"/>
  <c r="J12" i="4" a="1"/>
  <c r="N12" i="4" s="1"/>
  <c r="J14" i="4" a="1"/>
  <c r="J14" i="4" s="1"/>
  <c r="K14" i="4"/>
  <c r="N14" i="4"/>
  <c r="J16" i="4" a="1"/>
  <c r="J16" i="4" s="1"/>
  <c r="J20" i="4" a="1"/>
  <c r="J20" i="4" s="1"/>
  <c r="J22" i="4" a="1"/>
  <c r="J22" i="4" s="1"/>
  <c r="J25" i="4" a="1"/>
  <c r="J25" i="4" s="1"/>
  <c r="G3" i="3" a="1"/>
  <c r="G3" i="3" s="1"/>
  <c r="G7" i="3" a="1"/>
  <c r="H7" i="3" s="1"/>
  <c r="G13" i="3" a="1"/>
  <c r="H14" i="3" s="1"/>
  <c r="G17" i="3" a="1"/>
  <c r="G17" i="3" s="1"/>
  <c r="G19" i="3" a="1"/>
  <c r="I19" i="3" s="1"/>
  <c r="D19" i="7" l="1"/>
  <c r="D21" i="7"/>
  <c r="D20" i="7"/>
  <c r="A8" i="6"/>
  <c r="A14" i="6"/>
  <c r="A6" i="6"/>
  <c r="A19" i="6"/>
  <c r="A11" i="6"/>
  <c r="A7" i="6"/>
  <c r="A4" i="6"/>
  <c r="A16" i="6"/>
  <c r="A15" i="6"/>
  <c r="A21" i="6"/>
  <c r="A13" i="6"/>
  <c r="A9" i="6"/>
  <c r="A20" i="6"/>
  <c r="A12" i="6"/>
  <c r="A18" i="6"/>
  <c r="A10" i="6"/>
  <c r="A3" i="6"/>
  <c r="F4" i="6" s="1" a="1"/>
  <c r="A17" i="6"/>
  <c r="A5" i="6"/>
  <c r="M12" i="4"/>
  <c r="K26" i="4"/>
  <c r="N22" i="4"/>
  <c r="N18" i="4"/>
  <c r="K17" i="4"/>
  <c r="L12" i="4"/>
  <c r="J26" i="4"/>
  <c r="M22" i="4"/>
  <c r="M18" i="4"/>
  <c r="J17" i="4"/>
  <c r="M14" i="4"/>
  <c r="K12" i="4"/>
  <c r="N8" i="4"/>
  <c r="K7" i="4"/>
  <c r="N3" i="4"/>
  <c r="N25" i="4"/>
  <c r="L22" i="4"/>
  <c r="L18" i="4"/>
  <c r="N16" i="4"/>
  <c r="L14" i="4"/>
  <c r="J12" i="4"/>
  <c r="M8" i="4"/>
  <c r="J7" i="4"/>
  <c r="M3" i="4"/>
  <c r="L26" i="4"/>
  <c r="L17" i="4"/>
  <c r="M25" i="4"/>
  <c r="K22" i="4"/>
  <c r="K18" i="4"/>
  <c r="M16" i="4"/>
  <c r="L3" i="4"/>
  <c r="L8" i="4"/>
  <c r="L25" i="4"/>
  <c r="J18" i="4"/>
  <c r="L16" i="4"/>
  <c r="N9" i="4"/>
  <c r="K8" i="4"/>
  <c r="N4" i="4"/>
  <c r="K3" i="4"/>
  <c r="N17" i="4"/>
  <c r="K16" i="4"/>
  <c r="M9" i="4"/>
  <c r="J8" i="4"/>
  <c r="M4" i="4"/>
  <c r="N26" i="4"/>
  <c r="K25" i="4"/>
  <c r="M26" i="4"/>
  <c r="M17" i="4"/>
  <c r="L9" i="4"/>
  <c r="H19" i="3"/>
  <c r="H16" i="3"/>
  <c r="H9" i="3"/>
  <c r="G19" i="3"/>
  <c r="G16" i="3"/>
  <c r="I4" i="3"/>
  <c r="I15" i="3"/>
  <c r="G13" i="3"/>
  <c r="I8" i="3"/>
  <c r="H4" i="3"/>
  <c r="H8" i="3"/>
  <c r="G4" i="3"/>
  <c r="I16" i="3"/>
  <c r="G14" i="3"/>
  <c r="I9" i="3"/>
  <c r="G7" i="3"/>
  <c r="I13" i="3"/>
  <c r="H13" i="3"/>
  <c r="G9" i="3"/>
  <c r="I17" i="3"/>
  <c r="H15" i="3"/>
  <c r="H17" i="3"/>
  <c r="G15" i="3"/>
  <c r="I10" i="3"/>
  <c r="G8" i="3"/>
  <c r="I3" i="3"/>
  <c r="I14" i="3"/>
  <c r="H10" i="3"/>
  <c r="I7" i="3"/>
  <c r="H3" i="3"/>
  <c r="G10" i="3"/>
  <c r="H6" i="6" l="1"/>
  <c r="F8" i="6"/>
  <c r="I9" i="6"/>
  <c r="F5" i="6"/>
  <c r="I6" i="6"/>
  <c r="G8" i="6"/>
  <c r="H5" i="6"/>
  <c r="F7" i="6"/>
  <c r="I8" i="6"/>
  <c r="F4" i="6"/>
  <c r="G7" i="6"/>
  <c r="G4" i="6"/>
  <c r="H7" i="6"/>
  <c r="F9" i="6"/>
  <c r="F6" i="6"/>
  <c r="I7" i="6"/>
  <c r="G6" i="6"/>
  <c r="H9" i="6"/>
  <c r="G5" i="6"/>
  <c r="H8" i="6"/>
  <c r="I5" i="6"/>
  <c r="H4" i="6"/>
  <c r="G9" i="6"/>
  <c r="I4" i="6"/>
  <c r="D1" i="2" l="1"/>
  <c r="G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<sst xmlns="http://schemas.openxmlformats.org/spreadsheetml/2006/main" count="202" uniqueCount="145">
  <si>
    <t>Jan</t>
  </si>
  <si>
    <t>Banana</t>
  </si>
  <si>
    <t>Mango</t>
  </si>
  <si>
    <t>Q: Find the sales figure for a given Product and Month using VLOOKUP + MATCH.</t>
  </si>
  <si>
    <t>Apple</t>
  </si>
  <si>
    <t>Mar</t>
  </si>
  <si>
    <t>Feb</t>
  </si>
  <si>
    <t>Product</t>
  </si>
  <si>
    <t>A</t>
  </si>
  <si>
    <t>B</t>
  </si>
  <si>
    <t>C</t>
  </si>
  <si>
    <t>D</t>
  </si>
  <si>
    <t>Given Marks:</t>
  </si>
  <si>
    <t>F</t>
  </si>
  <si>
    <t>Q: Find the Grade for a given Marks value using VLOOKUP with approximate match.</t>
  </si>
  <si>
    <t>Grade</t>
  </si>
  <si>
    <t>Marks</t>
  </si>
  <si>
    <t>Show IT department employees with salary above 55000</t>
  </si>
  <si>
    <t>Show employees  from sales department and salary greater tha 30000</t>
  </si>
  <si>
    <t>Show employee from both hr and it department</t>
  </si>
  <si>
    <t>Show employee with salary greater than 40000.</t>
  </si>
  <si>
    <t>IT</t>
  </si>
  <si>
    <t>Priti</t>
  </si>
  <si>
    <t>HR</t>
  </si>
  <si>
    <t>Sohan</t>
  </si>
  <si>
    <t>Neha</t>
  </si>
  <si>
    <t>Sales</t>
  </si>
  <si>
    <t>Mohit</t>
  </si>
  <si>
    <t>Show the list of employees from the sales department</t>
  </si>
  <si>
    <t>Riya</t>
  </si>
  <si>
    <t>Answers</t>
  </si>
  <si>
    <t>Questions</t>
  </si>
  <si>
    <t>Amit</t>
  </si>
  <si>
    <t>Salary</t>
  </si>
  <si>
    <t>Department</t>
  </si>
  <si>
    <t>Name</t>
  </si>
  <si>
    <t>Dynamic Filter (Using cell Value)</t>
  </si>
  <si>
    <t>Q8</t>
  </si>
  <si>
    <t>Filter Using Text Starts With "A"</t>
  </si>
  <si>
    <t>Q7</t>
  </si>
  <si>
    <t>IF NO data Found (Error Handling)</t>
  </si>
  <si>
    <t>Q5</t>
  </si>
  <si>
    <t>Multiple Condition (Dept = IT OR City = Delhi)</t>
  </si>
  <si>
    <t>Q4</t>
  </si>
  <si>
    <t>Multiple Condition (Dept = IT AND Salary &gt; 30000)</t>
  </si>
  <si>
    <t>Q3</t>
  </si>
  <si>
    <t>Filter Top Salary Employee</t>
  </si>
  <si>
    <t>Q6</t>
  </si>
  <si>
    <t>Filter Salary&gt;30000</t>
  </si>
  <si>
    <t>Q2</t>
  </si>
  <si>
    <t>Indore</t>
  </si>
  <si>
    <t>Karan</t>
  </si>
  <si>
    <t>EMP106</t>
  </si>
  <si>
    <t>Bhopal</t>
  </si>
  <si>
    <t>Finance</t>
  </si>
  <si>
    <t>Pooja</t>
  </si>
  <si>
    <t>EMP104</t>
  </si>
  <si>
    <t>Pune</t>
  </si>
  <si>
    <t>Ram</t>
  </si>
  <si>
    <t>EMP103</t>
  </si>
  <si>
    <t>Filter IT Department Employees</t>
  </si>
  <si>
    <t>Q1</t>
  </si>
  <si>
    <t>Mumbai</t>
  </si>
  <si>
    <t>EMP102</t>
  </si>
  <si>
    <t>Delhi</t>
  </si>
  <si>
    <t>EMP101</t>
  </si>
  <si>
    <t>City</t>
  </si>
  <si>
    <t>Dept</t>
  </si>
  <si>
    <t>Emp ID</t>
  </si>
  <si>
    <t>Math</t>
  </si>
  <si>
    <t>Rahul</t>
  </si>
  <si>
    <t>Find marks using two way lookup (Name+Subject).</t>
  </si>
  <si>
    <t>ID</t>
  </si>
  <si>
    <t>Priya</t>
  </si>
  <si>
    <t>Get marks based on row number from one cell and column number from another cell.</t>
  </si>
  <si>
    <t>English</t>
  </si>
  <si>
    <t>Combine Index with match to find Rahuls English marks.</t>
  </si>
  <si>
    <t>Use index to return Riya's Science marks dynamically.</t>
  </si>
  <si>
    <t>Find the value at Row 3,Column 2 using INDEX</t>
  </si>
  <si>
    <t>Retrieve the English marks of Neha.</t>
  </si>
  <si>
    <t>Aman</t>
  </si>
  <si>
    <t>Get the Science marks of Aman.</t>
  </si>
  <si>
    <t>Find the Math marks of Priya using INDEX.</t>
  </si>
  <si>
    <t>Answer</t>
  </si>
  <si>
    <t>Science</t>
  </si>
  <si>
    <t>YELLOW</t>
  </si>
  <si>
    <t>U</t>
  </si>
  <si>
    <t>RED</t>
  </si>
  <si>
    <t>T</t>
  </si>
  <si>
    <t>GREEN</t>
  </si>
  <si>
    <t>S</t>
  </si>
  <si>
    <t>R</t>
  </si>
  <si>
    <t>BLUE</t>
  </si>
  <si>
    <t>Q</t>
  </si>
  <si>
    <t>P</t>
  </si>
  <si>
    <t>O</t>
  </si>
  <si>
    <t>N</t>
  </si>
  <si>
    <t>M</t>
  </si>
  <si>
    <t>L</t>
  </si>
  <si>
    <t>K</t>
  </si>
  <si>
    <t>J</t>
  </si>
  <si>
    <t>I</t>
  </si>
  <si>
    <t>G</t>
  </si>
  <si>
    <t>E</t>
  </si>
  <si>
    <t>Select Group:</t>
  </si>
  <si>
    <t>Q: List all students in the selected Group, using FILTER.</t>
  </si>
  <si>
    <t>Score</t>
  </si>
  <si>
    <t>Group</t>
  </si>
  <si>
    <t>age by days</t>
  </si>
  <si>
    <t>age by months</t>
  </si>
  <si>
    <t>age</t>
  </si>
  <si>
    <t>Birth day</t>
  </si>
  <si>
    <t>date</t>
  </si>
  <si>
    <t>Now</t>
  </si>
  <si>
    <t>Today</t>
  </si>
  <si>
    <t>Join with space</t>
  </si>
  <si>
    <t>Join</t>
  </si>
  <si>
    <t>Singh</t>
  </si>
  <si>
    <t>Kumar</t>
  </si>
  <si>
    <t>DIVYANSH</t>
  </si>
  <si>
    <t>AJAY</t>
  </si>
  <si>
    <t>AMAN</t>
  </si>
  <si>
    <t>VEDIK</t>
  </si>
  <si>
    <t>VISHWAS</t>
  </si>
  <si>
    <t>Proper</t>
  </si>
  <si>
    <t>Lower</t>
  </si>
  <si>
    <t>Upper</t>
  </si>
  <si>
    <t>Maths</t>
  </si>
  <si>
    <t>Upper/Lower/proper</t>
  </si>
  <si>
    <t>Gopal sharma</t>
  </si>
  <si>
    <t>Deepak singh</t>
  </si>
  <si>
    <t>Ravi Verma</t>
  </si>
  <si>
    <t>Mohan patel</t>
  </si>
  <si>
    <t>Sunil singh</t>
  </si>
  <si>
    <t>Ali Asgar</t>
  </si>
  <si>
    <t>Kapil singh</t>
  </si>
  <si>
    <t>Sunil Grover</t>
  </si>
  <si>
    <t>Kapil Sharma</t>
  </si>
  <si>
    <t>IF</t>
  </si>
  <si>
    <t>Nested IF</t>
  </si>
  <si>
    <t>IF/AND</t>
  </si>
  <si>
    <t>IF/OR</t>
  </si>
  <si>
    <t>Different Product</t>
  </si>
  <si>
    <t>Total bill</t>
  </si>
  <si>
    <t>Costumer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</si>
</sst>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charset val="1"/>
    </font>
    <font>
      <i/>
      <sz val="11"/>
      <name val="Calibri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sz val="10"/>
      <name val="Arial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1">
    <xf numFmtId="0" fontId="0" fillId="0" borderId="0" xfId="0"/>
    <xf numFmtId="0" fontId="1" fillId="0" borderId="0" xfId="1"/>
    <xf numFmtId="0" fontId="1" fillId="0" borderId="1" xfId="1" applyBorder="1"/>
    <xf numFmtId="0" fontId="1" fillId="2" borderId="2" xfId="1" applyFill="1" applyBorder="1"/>
    <xf numFmtId="0" fontId="2" fillId="0" borderId="3" xfId="1" applyFont="1" applyBorder="1"/>
    <xf numFmtId="0" fontId="1" fillId="0" borderId="4" xfId="1" applyBorder="1"/>
    <xf numFmtId="0" fontId="1" fillId="2" borderId="5" xfId="1" applyFill="1" applyBorder="1"/>
    <xf numFmtId="0" fontId="1" fillId="0" borderId="6" xfId="1" applyBorder="1"/>
    <xf numFmtId="0" fontId="3" fillId="3" borderId="7" xfId="1" applyFont="1" applyFill="1" applyBorder="1" applyAlignment="1">
      <alignment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1" fillId="2" borderId="1" xfId="1" applyFill="1" applyBorder="1"/>
    <xf numFmtId="0" fontId="5" fillId="2" borderId="2" xfId="1" applyFont="1" applyFill="1" applyBorder="1" applyAlignment="1">
      <alignment horizontal="right"/>
    </xf>
    <xf numFmtId="0" fontId="2" fillId="0" borderId="8" xfId="1" applyFont="1" applyBorder="1"/>
    <xf numFmtId="0" fontId="3" fillId="3" borderId="7" xfId="1" applyFont="1" applyFill="1" applyBorder="1" applyAlignment="1">
      <alignment horizontal="left" vertical="center"/>
    </xf>
    <xf numFmtId="0" fontId="4" fillId="4" borderId="8" xfId="1" applyFont="1" applyFill="1" applyBorder="1" applyAlignment="1">
      <alignment horizontal="center" vertical="center" wrapText="1"/>
    </xf>
    <xf numFmtId="0" fontId="6" fillId="0" borderId="0" xfId="2"/>
    <xf numFmtId="0" fontId="7" fillId="0" borderId="0" xfId="2" applyFont="1"/>
    <xf numFmtId="0" fontId="8" fillId="0" borderId="3" xfId="2" applyFont="1" applyBorder="1"/>
    <xf numFmtId="0" fontId="8" fillId="0" borderId="3" xfId="2" applyFont="1" applyBorder="1" applyAlignment="1">
      <alignment vertical="center" wrapText="1"/>
    </xf>
    <xf numFmtId="0" fontId="7" fillId="0" borderId="9" xfId="2" applyFont="1" applyBorder="1"/>
    <xf numFmtId="0" fontId="7" fillId="0" borderId="10" xfId="2" applyFont="1" applyBorder="1"/>
    <xf numFmtId="0" fontId="7" fillId="0" borderId="11" xfId="2" applyFont="1" applyBorder="1"/>
    <xf numFmtId="0" fontId="7" fillId="0" borderId="12" xfId="2" applyFont="1" applyBorder="1"/>
    <xf numFmtId="0" fontId="9" fillId="5" borderId="3" xfId="2" applyFont="1" applyFill="1" applyBorder="1" applyAlignment="1">
      <alignment vertical="center" wrapText="1"/>
    </xf>
    <xf numFmtId="0" fontId="9" fillId="5" borderId="3" xfId="2" applyFont="1" applyFill="1" applyBorder="1"/>
    <xf numFmtId="0" fontId="7" fillId="0" borderId="13" xfId="2" applyFont="1" applyBorder="1"/>
    <xf numFmtId="0" fontId="10" fillId="4" borderId="3" xfId="2" applyFont="1" applyFill="1" applyBorder="1" applyAlignment="1">
      <alignment horizontal="center" vertical="center" wrapText="1"/>
    </xf>
    <xf numFmtId="0" fontId="7" fillId="0" borderId="3" xfId="2" applyFont="1" applyBorder="1"/>
    <xf numFmtId="0" fontId="7" fillId="0" borderId="3" xfId="2" applyFont="1" applyBorder="1" applyAlignment="1">
      <alignment vertical="center" wrapText="1"/>
    </xf>
    <xf numFmtId="0" fontId="9" fillId="0" borderId="3" xfId="2" applyFont="1" applyBorder="1"/>
    <xf numFmtId="0" fontId="7" fillId="0" borderId="1" xfId="2" applyFont="1" applyBorder="1"/>
    <xf numFmtId="0" fontId="7" fillId="0" borderId="14" xfId="2" applyFont="1" applyBorder="1"/>
    <xf numFmtId="0" fontId="7" fillId="0" borderId="15" xfId="2" applyFont="1" applyBorder="1"/>
    <xf numFmtId="0" fontId="7" fillId="0" borderId="16" xfId="2" applyFont="1" applyBorder="1"/>
    <xf numFmtId="0" fontId="7" fillId="0" borderId="4" xfId="2" applyFont="1" applyBorder="1"/>
    <xf numFmtId="0" fontId="7" fillId="0" borderId="17" xfId="2" applyFont="1" applyBorder="1"/>
    <xf numFmtId="0" fontId="7" fillId="0" borderId="18" xfId="2" applyFont="1" applyBorder="1"/>
    <xf numFmtId="0" fontId="7" fillId="0" borderId="6" xfId="2" applyFont="1" applyBorder="1"/>
    <xf numFmtId="0" fontId="7" fillId="0" borderId="19" xfId="2" applyFont="1" applyBorder="1"/>
    <xf numFmtId="0" fontId="9" fillId="5" borderId="19" xfId="2" applyFont="1" applyFill="1" applyBorder="1"/>
    <xf numFmtId="0" fontId="9" fillId="5" borderId="20" xfId="2" applyFont="1" applyFill="1" applyBorder="1"/>
    <xf numFmtId="0" fontId="7" fillId="0" borderId="21" xfId="2" applyFont="1" applyBorder="1"/>
    <xf numFmtId="0" fontId="7" fillId="0" borderId="22" xfId="2" applyFont="1" applyBorder="1"/>
    <xf numFmtId="0" fontId="7" fillId="0" borderId="23" xfId="2" applyFont="1" applyBorder="1"/>
    <xf numFmtId="0" fontId="7" fillId="0" borderId="24" xfId="2" applyFont="1" applyBorder="1"/>
    <xf numFmtId="0" fontId="7" fillId="0" borderId="25" xfId="2" applyFont="1" applyBorder="1"/>
    <xf numFmtId="0" fontId="7" fillId="0" borderId="26" xfId="2" applyFont="1" applyBorder="1"/>
    <xf numFmtId="0" fontId="8" fillId="0" borderId="3" xfId="2" applyFont="1" applyBorder="1" applyAlignment="1">
      <alignment horizontal="center"/>
    </xf>
    <xf numFmtId="0" fontId="9" fillId="5" borderId="3" xfId="2" applyFont="1" applyFill="1" applyBorder="1" applyAlignment="1">
      <alignment horizontal="center"/>
    </xf>
    <xf numFmtId="0" fontId="9" fillId="0" borderId="0" xfId="2" applyFont="1" applyAlignment="1">
      <alignment horizontal="right"/>
    </xf>
    <xf numFmtId="14" fontId="6" fillId="0" borderId="10" xfId="2" applyNumberFormat="1" applyBorder="1"/>
    <xf numFmtId="0" fontId="6" fillId="6" borderId="10" xfId="2" applyFill="1" applyBorder="1"/>
    <xf numFmtId="0" fontId="6" fillId="0" borderId="10" xfId="2" applyBorder="1"/>
    <xf numFmtId="22" fontId="6" fillId="0" borderId="10" xfId="2" applyNumberFormat="1" applyBorder="1"/>
    <xf numFmtId="0" fontId="6" fillId="0" borderId="27" xfId="2" applyBorder="1"/>
    <xf numFmtId="0" fontId="6" fillId="0" borderId="1" xfId="2" applyBorder="1"/>
    <xf numFmtId="0" fontId="6" fillId="0" borderId="2" xfId="2" applyBorder="1"/>
    <xf numFmtId="0" fontId="6" fillId="0" borderId="28" xfId="2" applyBorder="1"/>
    <xf numFmtId="0" fontId="6" fillId="0" borderId="4" xfId="2" applyBorder="1"/>
    <xf numFmtId="0" fontId="6" fillId="0" borderId="5" xfId="2" applyBorder="1"/>
    <xf numFmtId="0" fontId="6" fillId="0" borderId="29" xfId="2" applyBorder="1"/>
    <xf numFmtId="0" fontId="6" fillId="0" borderId="6" xfId="2" applyBorder="1"/>
    <xf numFmtId="0" fontId="6" fillId="0" borderId="7" xfId="2" applyBorder="1"/>
    <xf numFmtId="0" fontId="6" fillId="6" borderId="0" xfId="2" applyFill="1"/>
    <xf numFmtId="0" fontId="11" fillId="0" borderId="0" xfId="2" applyFont="1" applyAlignment="1">
      <alignment horizontal="left" vertical="center" wrapText="1"/>
    </xf>
    <xf numFmtId="0" fontId="0" fillId="7" borderId="0" xfId="0" applyFill="1"/>
    <xf numFmtId="0" fontId="12" fillId="8" borderId="10" xfId="0" applyFont="1" applyFill="1" applyBorder="1"/>
    <xf numFmtId="0" fontId="12" fillId="9" borderId="10" xfId="0" applyFont="1" applyFill="1" applyBorder="1"/>
    <xf numFmtId="0" fontId="12" fillId="10" borderId="11" xfId="0" applyFont="1" applyFill="1" applyBorder="1"/>
    <xf numFmtId="0" fontId="12" fillId="10" borderId="13" xfId="0" applyFont="1" applyFill="1" applyBorder="1"/>
    <xf numFmtId="0" fontId="12" fillId="10" borderId="24" xfId="0" applyFont="1" applyFill="1" applyBorder="1"/>
  </cellXfs>
  <cellStyles count="3">
    <cellStyle name="Normal" xfId="0" builtinId="0"/>
    <cellStyle name="Normal 2" xfId="1" xr:uid="{8C8D6619-66B4-4DBB-9FE5-D685591ABB8C}"/>
    <cellStyle name="Normal 3" xfId="2" xr:uid="{9A776594-CF89-49D8-953B-34404FBA1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1B86-25FA-4BB3-B26F-7F646CF8E109}">
  <dimension ref="A1:M21"/>
  <sheetViews>
    <sheetView workbookViewId="0">
      <selection activeCell="C13" sqref="C13:D21"/>
    </sheetView>
  </sheetViews>
  <sheetFormatPr defaultRowHeight="12.5" x14ac:dyDescent="0.25"/>
  <cols>
    <col min="1" max="1" width="17.1796875" style="15" bestFit="1" customWidth="1"/>
    <col min="2" max="2" width="8.7265625" style="15"/>
    <col min="3" max="3" width="13.1796875" style="15" bestFit="1" customWidth="1"/>
    <col min="4" max="4" width="15.81640625" style="15" bestFit="1" customWidth="1"/>
    <col min="5" max="5" width="6" style="15" bestFit="1" customWidth="1"/>
    <col min="6" max="6" width="7.08984375" style="15" bestFit="1" customWidth="1"/>
    <col min="7" max="7" width="6.453125" style="15" bestFit="1" customWidth="1"/>
    <col min="8" max="8" width="8.7265625" style="15"/>
    <col min="9" max="9" width="9.81640625" style="15" bestFit="1" customWidth="1"/>
    <col min="10" max="10" width="8.7265625" style="15"/>
    <col min="11" max="11" width="7.6328125" style="15" bestFit="1" customWidth="1"/>
    <col min="12" max="12" width="8.7265625" style="15"/>
    <col min="13" max="13" width="7.90625" style="15" bestFit="1" customWidth="1"/>
    <col min="14" max="16384" width="8.7265625" style="15"/>
  </cols>
  <sheetData>
    <row r="1" spans="1:13" x14ac:dyDescent="0.25">
      <c r="A1" s="63" t="s">
        <v>128</v>
      </c>
      <c r="B1" s="63"/>
    </row>
    <row r="2" spans="1:13" ht="13" thickBot="1" x14ac:dyDescent="0.3"/>
    <row r="3" spans="1:13" x14ac:dyDescent="0.25">
      <c r="C3" s="52" t="s">
        <v>72</v>
      </c>
      <c r="D3" s="52" t="s">
        <v>35</v>
      </c>
      <c r="E3" s="52" t="s">
        <v>127</v>
      </c>
      <c r="F3" s="52" t="s">
        <v>84</v>
      </c>
      <c r="G3" s="52" t="s">
        <v>75</v>
      </c>
      <c r="I3" s="62" t="s">
        <v>126</v>
      </c>
      <c r="J3" s="61"/>
      <c r="K3" s="60" t="s">
        <v>125</v>
      </c>
      <c r="M3" s="60" t="s">
        <v>124</v>
      </c>
    </row>
    <row r="4" spans="1:13" x14ac:dyDescent="0.25">
      <c r="C4" s="52">
        <v>101</v>
      </c>
      <c r="D4" s="52" t="s">
        <v>123</v>
      </c>
      <c r="E4" s="52">
        <v>82</v>
      </c>
      <c r="F4" s="52">
        <v>47</v>
      </c>
      <c r="G4" s="52">
        <v>32</v>
      </c>
      <c r="I4" s="59" t="str" cm="1">
        <f t="array" ref="I4:I8">UPPER(D4:D8)</f>
        <v>VISHWAS</v>
      </c>
      <c r="J4" s="58"/>
      <c r="K4" s="57" t="str" cm="1">
        <f t="array" ref="K4:K8">LOWER(D4:D8)</f>
        <v>vishwas</v>
      </c>
      <c r="M4" s="57" t="str" cm="1">
        <f t="array" ref="M4:M9">PROPER(D4:D9)</f>
        <v>Vishwas</v>
      </c>
    </row>
    <row r="5" spans="1:13" x14ac:dyDescent="0.25">
      <c r="C5" s="52">
        <v>102</v>
      </c>
      <c r="D5" s="52" t="s">
        <v>122</v>
      </c>
      <c r="E5" s="52">
        <v>59</v>
      </c>
      <c r="F5" s="52">
        <v>13</v>
      </c>
      <c r="G5" s="52">
        <v>67</v>
      </c>
      <c r="I5" s="59" t="str">
        <v>VEDIK</v>
      </c>
      <c r="J5" s="58"/>
      <c r="K5" s="57" t="str">
        <v>vedik</v>
      </c>
      <c r="M5" s="57" t="str">
        <v>Vedik</v>
      </c>
    </row>
    <row r="6" spans="1:13" x14ac:dyDescent="0.25">
      <c r="C6" s="52">
        <v>103</v>
      </c>
      <c r="D6" s="52" t="s">
        <v>121</v>
      </c>
      <c r="E6" s="52">
        <v>19</v>
      </c>
      <c r="F6" s="52">
        <v>78</v>
      </c>
      <c r="G6" s="52">
        <v>51</v>
      </c>
      <c r="I6" s="59" t="str">
        <v>AMAN</v>
      </c>
      <c r="J6" s="58"/>
      <c r="K6" s="57" t="str">
        <v>aman</v>
      </c>
      <c r="M6" s="57" t="str">
        <v>Aman</v>
      </c>
    </row>
    <row r="7" spans="1:13" x14ac:dyDescent="0.25">
      <c r="C7" s="52">
        <v>104</v>
      </c>
      <c r="D7" s="52" t="s">
        <v>120</v>
      </c>
      <c r="E7" s="52">
        <v>92</v>
      </c>
      <c r="F7" s="52">
        <v>15</v>
      </c>
      <c r="G7" s="52">
        <v>41</v>
      </c>
      <c r="I7" s="59" t="str">
        <v>AJAY</v>
      </c>
      <c r="J7" s="58"/>
      <c r="K7" s="57" t="str">
        <v>ajay</v>
      </c>
      <c r="M7" s="57" t="str">
        <v>Ajay</v>
      </c>
    </row>
    <row r="8" spans="1:13" ht="13" thickBot="1" x14ac:dyDescent="0.3">
      <c r="C8" s="52">
        <v>105</v>
      </c>
      <c r="D8" s="52" t="s">
        <v>119</v>
      </c>
      <c r="E8" s="52">
        <v>52</v>
      </c>
      <c r="F8" s="52">
        <v>30</v>
      </c>
      <c r="G8" s="52">
        <v>16</v>
      </c>
      <c r="I8" s="56" t="str">
        <v>DIVYANSH</v>
      </c>
      <c r="J8" s="55"/>
      <c r="K8" s="54" t="str">
        <v>divyansh</v>
      </c>
      <c r="M8" s="54" t="str">
        <v>Divyansh</v>
      </c>
    </row>
    <row r="9" spans="1:13" x14ac:dyDescent="0.25">
      <c r="M9" s="15" t="str">
        <v/>
      </c>
    </row>
    <row r="12" spans="1:13" x14ac:dyDescent="0.25">
      <c r="D12" s="15" t="s">
        <v>58</v>
      </c>
      <c r="E12" s="15" t="s">
        <v>118</v>
      </c>
      <c r="F12" s="15" t="s">
        <v>117</v>
      </c>
    </row>
    <row r="13" spans="1:13" x14ac:dyDescent="0.25">
      <c r="C13" s="51" t="s">
        <v>116</v>
      </c>
      <c r="D13" s="52" t="str">
        <f>D12&amp;E12&amp;F12</f>
        <v>RamKumarSingh</v>
      </c>
    </row>
    <row r="14" spans="1:13" x14ac:dyDescent="0.25">
      <c r="C14" s="51" t="s">
        <v>115</v>
      </c>
      <c r="D14" s="52" t="str">
        <f>D12&amp;" "&amp;E12&amp;" "&amp;" "&amp;F12</f>
        <v>Ram Kumar  Singh</v>
      </c>
    </row>
    <row r="15" spans="1:13" x14ac:dyDescent="0.25">
      <c r="C15" s="51" t="s">
        <v>114</v>
      </c>
      <c r="D15" s="50">
        <f ca="1">TODAY()</f>
        <v>46276</v>
      </c>
    </row>
    <row r="16" spans="1:13" x14ac:dyDescent="0.25">
      <c r="C16" s="51" t="s">
        <v>113</v>
      </c>
      <c r="D16" s="53">
        <f ca="1">NOW()</f>
        <v>46276.955199421296</v>
      </c>
    </row>
    <row r="17" spans="3:4" x14ac:dyDescent="0.25">
      <c r="C17" s="51" t="s">
        <v>112</v>
      </c>
      <c r="D17" s="50">
        <f>DATE(2006,8,17)</f>
        <v>38946</v>
      </c>
    </row>
    <row r="18" spans="3:4" x14ac:dyDescent="0.25">
      <c r="C18" s="51" t="s">
        <v>111</v>
      </c>
      <c r="D18" s="52" t="str">
        <f>TEXT(D17,"dddd")</f>
        <v>Thursday</v>
      </c>
    </row>
    <row r="19" spans="3:4" x14ac:dyDescent="0.25">
      <c r="C19" s="51" t="s">
        <v>110</v>
      </c>
      <c r="D19" s="52">
        <f ca="1">DATEDIF(D17,D15,"y")</f>
        <v>20</v>
      </c>
    </row>
    <row r="20" spans="3:4" x14ac:dyDescent="0.25">
      <c r="C20" s="51" t="s">
        <v>109</v>
      </c>
      <c r="D20" s="52">
        <f ca="1">DATEDIF(D17,D15,"m")</f>
        <v>240</v>
      </c>
    </row>
    <row r="21" spans="3:4" x14ac:dyDescent="0.25">
      <c r="C21" s="51" t="s">
        <v>108</v>
      </c>
      <c r="D21" s="50">
        <f ca="1">DATEDIF(D17,D15,"d")</f>
        <v>7330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1076-561E-490B-B197-906FBF5C6BC9}">
  <dimension ref="A1:I20"/>
  <sheetViews>
    <sheetView zoomScaleNormal="100" workbookViewId="0">
      <selection activeCell="K14" sqref="K14"/>
    </sheetView>
  </sheetViews>
  <sheetFormatPr defaultColWidth="8.6328125" defaultRowHeight="14.5" x14ac:dyDescent="0.35"/>
  <cols>
    <col min="1" max="1" width="6" style="16" customWidth="1"/>
    <col min="2" max="2" width="11.08984375" style="16" bestFit="1" customWidth="1"/>
    <col min="3" max="3" width="5.81640625" style="16" bestFit="1" customWidth="1"/>
    <col min="4" max="4" width="9" style="16" customWidth="1"/>
    <col min="5" max="5" width="1.81640625" style="16" bestFit="1" customWidth="1"/>
    <col min="6" max="6" width="59.90625" style="16" bestFit="1" customWidth="1"/>
    <col min="7" max="7" width="7.90625" style="16" bestFit="1" customWidth="1"/>
    <col min="8" max="8" width="10.90625" style="16" bestFit="1" customWidth="1"/>
    <col min="9" max="9" width="5.81640625" style="16" bestFit="1" customWidth="1"/>
    <col min="10" max="16384" width="8.6328125" style="15"/>
  </cols>
  <sheetData>
    <row r="1" spans="1:9" ht="27.75" customHeight="1" x14ac:dyDescent="0.35">
      <c r="A1" s="26" t="s">
        <v>35</v>
      </c>
      <c r="B1" s="26" t="s">
        <v>34</v>
      </c>
      <c r="C1" s="26" t="s">
        <v>33</v>
      </c>
      <c r="D1" s="26"/>
      <c r="F1" s="26"/>
      <c r="G1" s="26"/>
      <c r="H1" s="26"/>
      <c r="I1" s="26"/>
    </row>
    <row r="2" spans="1:9" ht="14.25" customHeight="1" x14ac:dyDescent="0.35">
      <c r="A2" s="17" t="s">
        <v>32</v>
      </c>
      <c r="B2" s="17" t="s">
        <v>26</v>
      </c>
      <c r="C2" s="17">
        <v>35000</v>
      </c>
      <c r="D2" s="17"/>
      <c r="E2" s="25"/>
      <c r="F2" s="24" t="s">
        <v>31</v>
      </c>
      <c r="G2" s="23" t="s">
        <v>30</v>
      </c>
      <c r="H2" s="17"/>
      <c r="I2" s="17"/>
    </row>
    <row r="3" spans="1:9" ht="14.25" customHeight="1" x14ac:dyDescent="0.35">
      <c r="A3" s="17" t="s">
        <v>29</v>
      </c>
      <c r="B3" s="17" t="s">
        <v>23</v>
      </c>
      <c r="C3" s="17">
        <v>45000</v>
      </c>
      <c r="D3" s="17"/>
      <c r="E3" s="20">
        <v>1</v>
      </c>
      <c r="F3" s="17" t="s">
        <v>28</v>
      </c>
      <c r="G3" s="18" t="str">
        <f t="array" ref="G3:I4">_xlfn._xlws.FILTER(A1:C7,B1:B7="Sales")</f>
        <v>Amit</v>
      </c>
      <c r="H3" s="17" t="str">
        <v>Sales</v>
      </c>
      <c r="I3" s="17">
        <v>35000</v>
      </c>
    </row>
    <row r="4" spans="1:9" ht="14.25" customHeight="1" x14ac:dyDescent="0.35">
      <c r="A4" s="17" t="s">
        <v>27</v>
      </c>
      <c r="B4" s="17" t="s">
        <v>26</v>
      </c>
      <c r="C4" s="17">
        <v>30000</v>
      </c>
      <c r="D4" s="17"/>
      <c r="E4" s="21"/>
      <c r="F4" s="17"/>
      <c r="G4" s="18" t="str">
        <v>Mohit</v>
      </c>
      <c r="H4" s="17" t="str">
        <v>Sales</v>
      </c>
      <c r="I4" s="17">
        <v>30000</v>
      </c>
    </row>
    <row r="5" spans="1:9" ht="14.25" customHeight="1" x14ac:dyDescent="0.35">
      <c r="A5" s="17" t="s">
        <v>25</v>
      </c>
      <c r="B5" s="17" t="s">
        <v>21</v>
      </c>
      <c r="C5" s="17">
        <v>55000</v>
      </c>
      <c r="D5" s="17"/>
      <c r="E5" s="21"/>
      <c r="F5" s="17"/>
      <c r="G5" s="18"/>
      <c r="H5" s="17"/>
      <c r="I5" s="17"/>
    </row>
    <row r="6" spans="1:9" ht="14.25" customHeight="1" x14ac:dyDescent="0.35">
      <c r="A6" s="17" t="s">
        <v>24</v>
      </c>
      <c r="B6" s="17" t="s">
        <v>23</v>
      </c>
      <c r="C6" s="17">
        <v>40000</v>
      </c>
      <c r="D6" s="17"/>
      <c r="E6" s="21"/>
      <c r="F6" s="17"/>
      <c r="G6" s="18"/>
      <c r="H6" s="17"/>
      <c r="I6" s="17"/>
    </row>
    <row r="7" spans="1:9" ht="14.25" customHeight="1" x14ac:dyDescent="0.35">
      <c r="A7" s="20" t="s">
        <v>22</v>
      </c>
      <c r="B7" s="20" t="s">
        <v>21</v>
      </c>
      <c r="C7" s="22">
        <v>60000</v>
      </c>
      <c r="E7" s="20">
        <v>2</v>
      </c>
      <c r="F7" s="17" t="s">
        <v>20</v>
      </c>
      <c r="G7" s="18" t="str">
        <f t="array" ref="G7:I10">_xlfn._xlws.FILTER(A1:C7,C1:C7&gt;40000)</f>
        <v>Name</v>
      </c>
      <c r="H7" s="17" t="str">
        <v>Department</v>
      </c>
      <c r="I7" s="17" t="str">
        <v>Salary</v>
      </c>
    </row>
    <row r="8" spans="1:9" ht="14.25" customHeight="1" x14ac:dyDescent="0.35">
      <c r="E8" s="21"/>
      <c r="F8" s="17"/>
      <c r="G8" s="18" t="str">
        <v>Riya</v>
      </c>
      <c r="H8" s="17" t="str">
        <v>HR</v>
      </c>
      <c r="I8" s="17">
        <v>45000</v>
      </c>
    </row>
    <row r="9" spans="1:9" ht="14.25" customHeight="1" x14ac:dyDescent="0.35">
      <c r="E9" s="21"/>
      <c r="F9" s="17"/>
      <c r="G9" s="18" t="str">
        <v>Neha</v>
      </c>
      <c r="H9" s="17" t="str">
        <v>IT</v>
      </c>
      <c r="I9" s="17">
        <v>55000</v>
      </c>
    </row>
    <row r="10" spans="1:9" ht="14.25" customHeight="1" x14ac:dyDescent="0.35">
      <c r="E10" s="21"/>
      <c r="F10" s="17"/>
      <c r="G10" s="18" t="str">
        <v>Priti</v>
      </c>
      <c r="H10" s="17" t="str">
        <v>IT</v>
      </c>
      <c r="I10" s="17">
        <v>60000</v>
      </c>
    </row>
    <row r="11" spans="1:9" ht="14.25" customHeight="1" x14ac:dyDescent="0.35">
      <c r="E11" s="21"/>
      <c r="F11" s="17"/>
      <c r="G11" s="18"/>
      <c r="H11" s="17"/>
      <c r="I11" s="17"/>
    </row>
    <row r="12" spans="1:9" ht="14.25" customHeight="1" x14ac:dyDescent="0.35">
      <c r="E12" s="21"/>
      <c r="F12" s="17"/>
      <c r="G12" s="18"/>
      <c r="H12" s="17"/>
      <c r="I12" s="17"/>
    </row>
    <row r="13" spans="1:9" ht="14.25" customHeight="1" x14ac:dyDescent="0.35">
      <c r="E13" s="20">
        <v>3</v>
      </c>
      <c r="F13" s="17" t="s">
        <v>19</v>
      </c>
      <c r="G13" s="18" t="str">
        <f t="array" ref="G13:I16">_xlfn._xlws.FILTER(A1:C7,(B1:B7="HR")+(B1:B7="IT"))</f>
        <v>Riya</v>
      </c>
      <c r="H13" s="17" t="str">
        <v>HR</v>
      </c>
      <c r="I13" s="17">
        <v>45000</v>
      </c>
    </row>
    <row r="14" spans="1:9" ht="14.25" customHeight="1" x14ac:dyDescent="0.35">
      <c r="E14" s="21"/>
      <c r="F14" s="17"/>
      <c r="G14" s="18" t="str">
        <v>Neha</v>
      </c>
      <c r="H14" s="17" t="str">
        <v>IT</v>
      </c>
      <c r="I14" s="17">
        <v>55000</v>
      </c>
    </row>
    <row r="15" spans="1:9" ht="14.25" customHeight="1" x14ac:dyDescent="0.35">
      <c r="E15" s="21"/>
      <c r="F15" s="17"/>
      <c r="G15" s="18" t="str">
        <v>Sohan</v>
      </c>
      <c r="H15" s="17" t="str">
        <v>HR</v>
      </c>
      <c r="I15" s="17">
        <v>40000</v>
      </c>
    </row>
    <row r="16" spans="1:9" ht="14.25" customHeight="1" x14ac:dyDescent="0.35">
      <c r="E16" s="19"/>
      <c r="F16" s="17"/>
      <c r="G16" s="18" t="str">
        <v>Priti</v>
      </c>
      <c r="H16" s="17" t="str">
        <v>IT</v>
      </c>
      <c r="I16" s="17">
        <v>60000</v>
      </c>
    </row>
    <row r="17" spans="5:9" ht="14.25" customHeight="1" x14ac:dyDescent="0.35">
      <c r="E17" s="20">
        <v>4</v>
      </c>
      <c r="F17" s="17" t="s">
        <v>18</v>
      </c>
      <c r="G17" s="18" t="str">
        <f t="array" ref="G17:I17">_xlfn._xlws.FILTER(A1:C7,(B1:B7="Sales")*(C1:C7&gt;30000))</f>
        <v>Amit</v>
      </c>
      <c r="H17" s="17" t="str">
        <v>Sales</v>
      </c>
      <c r="I17" s="17">
        <v>35000</v>
      </c>
    </row>
    <row r="18" spans="5:9" ht="14.25" customHeight="1" x14ac:dyDescent="0.35">
      <c r="E18" s="19"/>
      <c r="F18" s="17"/>
      <c r="G18" s="18"/>
      <c r="H18" s="17"/>
      <c r="I18" s="17"/>
    </row>
    <row r="19" spans="5:9" ht="14.25" customHeight="1" x14ac:dyDescent="0.35">
      <c r="E19" s="20">
        <v>5</v>
      </c>
      <c r="F19" s="17" t="s">
        <v>17</v>
      </c>
      <c r="G19" s="18" t="str">
        <f t="array" ref="G19:I19">_xlfn._xlws.FILTER(A1:C7,(B1:B7="IT")*(C1:C7&gt;55000))</f>
        <v>Priti</v>
      </c>
      <c r="H19" s="17" t="str">
        <v>IT</v>
      </c>
      <c r="I19" s="17">
        <v>60000</v>
      </c>
    </row>
    <row r="20" spans="5:9" ht="14.25" customHeight="1" x14ac:dyDescent="0.35">
      <c r="E20" s="19"/>
      <c r="F20" s="17"/>
      <c r="G20" s="18"/>
      <c r="H20" s="17"/>
      <c r="I20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7955-C821-4BC2-931F-07F693E43CEB}">
  <dimension ref="A1:I21"/>
  <sheetViews>
    <sheetView zoomScale="64" zoomScaleNormal="100" workbookViewId="0">
      <selection activeCell="H4" sqref="H4"/>
    </sheetView>
  </sheetViews>
  <sheetFormatPr defaultColWidth="8.6328125" defaultRowHeight="14.5" x14ac:dyDescent="0.35"/>
  <cols>
    <col min="1" max="1" width="6" style="16" customWidth="1"/>
    <col min="2" max="3" width="10" style="16" customWidth="1"/>
    <col min="4" max="4" width="8" style="16" customWidth="1"/>
    <col min="5" max="5" width="14" style="16" customWidth="1"/>
    <col min="6" max="6" width="10" style="16" customWidth="1"/>
    <col min="7" max="7" width="8" style="16" customWidth="1"/>
    <col min="8" max="8" width="10" style="16" customWidth="1"/>
    <col min="9" max="9" width="7" style="16" customWidth="1"/>
    <col min="10" max="16384" width="8.6328125" style="15"/>
  </cols>
  <sheetData>
    <row r="1" spans="1:9" ht="14.25" customHeight="1" x14ac:dyDescent="0.35">
      <c r="A1" s="26" t="s">
        <v>72</v>
      </c>
      <c r="B1" s="26" t="s">
        <v>35</v>
      </c>
      <c r="C1" s="26" t="s">
        <v>107</v>
      </c>
      <c r="D1" s="26" t="s">
        <v>106</v>
      </c>
    </row>
    <row r="2" spans="1:9" ht="27.75" customHeight="1" x14ac:dyDescent="0.35">
      <c r="A2" s="17">
        <f t="array" ref="A2:A21">_xlfn.SEQUENCE(20)</f>
        <v>1</v>
      </c>
      <c r="B2" s="17" t="s">
        <v>8</v>
      </c>
      <c r="C2" s="17" t="s">
        <v>87</v>
      </c>
      <c r="D2" s="17">
        <v>8</v>
      </c>
      <c r="F2" s="64" t="s">
        <v>105</v>
      </c>
      <c r="G2" s="64"/>
      <c r="H2" s="64"/>
      <c r="I2" s="64"/>
    </row>
    <row r="3" spans="1:9" ht="14.25" customHeight="1" x14ac:dyDescent="0.35">
      <c r="A3" s="17">
        <v>2</v>
      </c>
      <c r="B3" s="17" t="s">
        <v>9</v>
      </c>
      <c r="C3" s="17" t="s">
        <v>92</v>
      </c>
      <c r="D3" s="17">
        <v>8</v>
      </c>
      <c r="E3" s="49" t="s">
        <v>104</v>
      </c>
      <c r="F3" s="48" t="s">
        <v>92</v>
      </c>
    </row>
    <row r="4" spans="1:9" ht="14.25" customHeight="1" x14ac:dyDescent="0.35">
      <c r="A4" s="17">
        <v>3</v>
      </c>
      <c r="B4" s="17" t="s">
        <v>10</v>
      </c>
      <c r="C4" s="17" t="s">
        <v>85</v>
      </c>
      <c r="D4" s="17">
        <v>8</v>
      </c>
      <c r="F4" s="47">
        <f t="array" ref="F4:I9">_xlfn._xlws.FILTER(A1:D21,C1:C21=F3)</f>
        <v>2</v>
      </c>
      <c r="G4" s="47" t="str">
        <v>B</v>
      </c>
      <c r="H4" s="47" t="str">
        <v>BLUE</v>
      </c>
      <c r="I4" s="47">
        <v>8</v>
      </c>
    </row>
    <row r="5" spans="1:9" ht="14.25" customHeight="1" x14ac:dyDescent="0.35">
      <c r="A5" s="17">
        <v>4</v>
      </c>
      <c r="B5" s="17" t="s">
        <v>11</v>
      </c>
      <c r="C5" s="17" t="s">
        <v>89</v>
      </c>
      <c r="D5" s="17">
        <v>8</v>
      </c>
      <c r="F5" s="47">
        <v>6</v>
      </c>
      <c r="G5" s="47" t="str">
        <v>F</v>
      </c>
      <c r="H5" s="47" t="str">
        <v>BLUE</v>
      </c>
      <c r="I5" s="47">
        <v>11</v>
      </c>
    </row>
    <row r="6" spans="1:9" ht="14.25" customHeight="1" x14ac:dyDescent="0.35">
      <c r="A6" s="17">
        <v>5</v>
      </c>
      <c r="B6" s="17" t="s">
        <v>103</v>
      </c>
      <c r="C6" s="17" t="s">
        <v>87</v>
      </c>
      <c r="D6" s="17">
        <v>6</v>
      </c>
      <c r="F6" s="47">
        <v>8</v>
      </c>
      <c r="G6" s="47" t="str">
        <v>I</v>
      </c>
      <c r="H6" s="47" t="str">
        <v>BLUE</v>
      </c>
      <c r="I6" s="47">
        <v>6</v>
      </c>
    </row>
    <row r="7" spans="1:9" ht="14.25" customHeight="1" x14ac:dyDescent="0.35">
      <c r="A7" s="17">
        <v>6</v>
      </c>
      <c r="B7" s="17" t="s">
        <v>13</v>
      </c>
      <c r="C7" s="17" t="s">
        <v>92</v>
      </c>
      <c r="D7" s="17">
        <v>11</v>
      </c>
      <c r="F7" s="47">
        <v>12</v>
      </c>
      <c r="G7" s="47" t="str">
        <v>M</v>
      </c>
      <c r="H7" s="47" t="str">
        <v>BLUE</v>
      </c>
      <c r="I7" s="47">
        <v>6</v>
      </c>
    </row>
    <row r="8" spans="1:9" ht="14.25" customHeight="1" x14ac:dyDescent="0.35">
      <c r="A8" s="17">
        <v>7</v>
      </c>
      <c r="B8" s="17" t="s">
        <v>102</v>
      </c>
      <c r="C8" s="17" t="s">
        <v>87</v>
      </c>
      <c r="D8" s="17">
        <v>5</v>
      </c>
      <c r="F8" s="47">
        <v>15</v>
      </c>
      <c r="G8" s="47" t="str">
        <v>P</v>
      </c>
      <c r="H8" s="47" t="str">
        <v>BLUE</v>
      </c>
      <c r="I8" s="47">
        <v>4</v>
      </c>
    </row>
    <row r="9" spans="1:9" ht="14.25" customHeight="1" x14ac:dyDescent="0.35">
      <c r="A9" s="17">
        <v>8</v>
      </c>
      <c r="B9" s="17" t="s">
        <v>101</v>
      </c>
      <c r="C9" s="17" t="s">
        <v>92</v>
      </c>
      <c r="D9" s="17">
        <v>6</v>
      </c>
      <c r="F9" s="47">
        <v>16</v>
      </c>
      <c r="G9" s="47" t="str">
        <v>Q</v>
      </c>
      <c r="H9" s="47" t="str">
        <v>BLUE</v>
      </c>
      <c r="I9" s="47">
        <v>7</v>
      </c>
    </row>
    <row r="10" spans="1:9" ht="14.25" customHeight="1" x14ac:dyDescent="0.35">
      <c r="A10" s="17">
        <v>9</v>
      </c>
      <c r="B10" s="17" t="s">
        <v>100</v>
      </c>
      <c r="C10" s="17" t="s">
        <v>89</v>
      </c>
      <c r="D10" s="17">
        <v>11</v>
      </c>
    </row>
    <row r="11" spans="1:9" ht="14.25" customHeight="1" x14ac:dyDescent="0.35">
      <c r="A11" s="17">
        <v>10</v>
      </c>
      <c r="B11" s="17" t="s">
        <v>99</v>
      </c>
      <c r="C11" s="17" t="s">
        <v>85</v>
      </c>
      <c r="D11" s="17">
        <v>7</v>
      </c>
    </row>
    <row r="12" spans="1:9" ht="14.25" customHeight="1" x14ac:dyDescent="0.35">
      <c r="A12" s="17">
        <v>11</v>
      </c>
      <c r="B12" s="17" t="s">
        <v>98</v>
      </c>
      <c r="C12" s="17" t="s">
        <v>89</v>
      </c>
      <c r="D12" s="17">
        <v>2</v>
      </c>
    </row>
    <row r="13" spans="1:9" ht="14.25" customHeight="1" x14ac:dyDescent="0.35">
      <c r="A13" s="17">
        <v>12</v>
      </c>
      <c r="B13" s="17" t="s">
        <v>97</v>
      </c>
      <c r="C13" s="17" t="s">
        <v>92</v>
      </c>
      <c r="D13" s="17">
        <v>6</v>
      </c>
    </row>
    <row r="14" spans="1:9" ht="14.25" customHeight="1" x14ac:dyDescent="0.35">
      <c r="A14" s="17">
        <v>13</v>
      </c>
      <c r="B14" s="17" t="s">
        <v>96</v>
      </c>
      <c r="C14" s="17" t="s">
        <v>87</v>
      </c>
      <c r="D14" s="17">
        <v>4</v>
      </c>
    </row>
    <row r="15" spans="1:9" ht="14.25" customHeight="1" x14ac:dyDescent="0.35">
      <c r="A15" s="17">
        <v>14</v>
      </c>
      <c r="B15" s="17" t="s">
        <v>95</v>
      </c>
      <c r="C15" s="17" t="s">
        <v>85</v>
      </c>
      <c r="D15" s="17">
        <v>3</v>
      </c>
    </row>
    <row r="16" spans="1:9" ht="14.25" customHeight="1" x14ac:dyDescent="0.35">
      <c r="A16" s="17">
        <v>15</v>
      </c>
      <c r="B16" s="17" t="s">
        <v>94</v>
      </c>
      <c r="C16" s="17" t="s">
        <v>92</v>
      </c>
      <c r="D16" s="17">
        <v>4</v>
      </c>
    </row>
    <row r="17" spans="1:4" ht="14.25" customHeight="1" x14ac:dyDescent="0.35">
      <c r="A17" s="17">
        <v>16</v>
      </c>
      <c r="B17" s="17" t="s">
        <v>93</v>
      </c>
      <c r="C17" s="17" t="s">
        <v>92</v>
      </c>
      <c r="D17" s="17">
        <v>7</v>
      </c>
    </row>
    <row r="18" spans="1:4" ht="14.25" customHeight="1" x14ac:dyDescent="0.35">
      <c r="A18" s="17">
        <v>17</v>
      </c>
      <c r="B18" s="17" t="s">
        <v>91</v>
      </c>
      <c r="C18" s="17" t="s">
        <v>87</v>
      </c>
      <c r="D18" s="17">
        <v>6</v>
      </c>
    </row>
    <row r="19" spans="1:4" ht="14.25" customHeight="1" x14ac:dyDescent="0.35">
      <c r="A19" s="17">
        <v>18</v>
      </c>
      <c r="B19" s="17" t="s">
        <v>90</v>
      </c>
      <c r="C19" s="17" t="s">
        <v>89</v>
      </c>
      <c r="D19" s="17">
        <v>6</v>
      </c>
    </row>
    <row r="20" spans="1:4" ht="14.25" customHeight="1" x14ac:dyDescent="0.35">
      <c r="A20" s="17">
        <v>19</v>
      </c>
      <c r="B20" s="17" t="s">
        <v>88</v>
      </c>
      <c r="C20" s="17" t="s">
        <v>87</v>
      </c>
      <c r="D20" s="17">
        <v>7</v>
      </c>
    </row>
    <row r="21" spans="1:4" ht="14.25" customHeight="1" x14ac:dyDescent="0.35">
      <c r="A21" s="17">
        <v>20</v>
      </c>
      <c r="B21" s="17" t="s">
        <v>86</v>
      </c>
      <c r="C21" s="17" t="s">
        <v>85</v>
      </c>
      <c r="D21" s="17">
        <v>8</v>
      </c>
    </row>
  </sheetData>
  <mergeCells count="1">
    <mergeCell ref="F2:I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4DD6-712C-4076-81EE-50940DB44804}">
  <dimension ref="A1:M17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6" style="16" customWidth="1"/>
    <col min="2" max="2" width="10" style="16" customWidth="1"/>
    <col min="3" max="3" width="8" style="16" customWidth="1"/>
    <col min="4" max="5" width="9" style="16" customWidth="1"/>
    <col min="6" max="6" width="8.6328125" style="15"/>
    <col min="7" max="7" width="4" style="16" customWidth="1"/>
    <col min="8" max="8" width="42" style="16" customWidth="1"/>
    <col min="9" max="9" width="10" style="16" customWidth="1"/>
    <col min="10" max="12" width="8.6328125" style="15"/>
    <col min="13" max="13" width="7.08984375" style="16" customWidth="1"/>
    <col min="14" max="16384" width="8.6328125" style="15"/>
  </cols>
  <sheetData>
    <row r="1" spans="1:9" ht="14.25" customHeight="1" x14ac:dyDescent="0.35">
      <c r="A1" s="26" t="s">
        <v>72</v>
      </c>
      <c r="B1" s="26" t="s">
        <v>35</v>
      </c>
      <c r="C1" s="26" t="s">
        <v>69</v>
      </c>
      <c r="D1" s="26" t="s">
        <v>84</v>
      </c>
      <c r="E1" s="26" t="s">
        <v>75</v>
      </c>
      <c r="G1" s="20"/>
      <c r="H1" s="26" t="s">
        <v>31</v>
      </c>
      <c r="I1" s="26" t="s">
        <v>83</v>
      </c>
    </row>
    <row r="2" spans="1:9" ht="14.25" customHeight="1" x14ac:dyDescent="0.35">
      <c r="A2" s="17">
        <v>101</v>
      </c>
      <c r="B2" s="17" t="s">
        <v>70</v>
      </c>
      <c r="C2" s="17">
        <v>70</v>
      </c>
      <c r="D2" s="17">
        <v>61</v>
      </c>
      <c r="E2" s="17">
        <v>98</v>
      </c>
      <c r="G2" s="20">
        <v>1</v>
      </c>
      <c r="H2" s="18" t="s">
        <v>82</v>
      </c>
      <c r="I2" s="17">
        <f>INDEX(B1:E6,3,2)</f>
        <v>75</v>
      </c>
    </row>
    <row r="3" spans="1:9" ht="14.25" customHeight="1" x14ac:dyDescent="0.35">
      <c r="A3" s="17">
        <v>102</v>
      </c>
      <c r="B3" s="17" t="s">
        <v>73</v>
      </c>
      <c r="C3" s="17">
        <v>75</v>
      </c>
      <c r="D3" s="17">
        <v>71</v>
      </c>
      <c r="E3" s="17">
        <v>74</v>
      </c>
      <c r="G3" s="20">
        <v>2</v>
      </c>
      <c r="H3" s="18" t="s">
        <v>81</v>
      </c>
      <c r="I3" s="17">
        <f>INDEX(B1:E6,4,3)</f>
        <v>77</v>
      </c>
    </row>
    <row r="4" spans="1:9" ht="14.25" customHeight="1" x14ac:dyDescent="0.35">
      <c r="A4" s="17">
        <v>103</v>
      </c>
      <c r="B4" s="17" t="s">
        <v>80</v>
      </c>
      <c r="C4" s="17">
        <v>68</v>
      </c>
      <c r="D4" s="17">
        <v>77</v>
      </c>
      <c r="E4" s="17">
        <v>61</v>
      </c>
      <c r="G4" s="20">
        <v>3</v>
      </c>
      <c r="H4" s="18" t="s">
        <v>79</v>
      </c>
      <c r="I4" s="17">
        <f>INDEX(A1:E6,5,5)</f>
        <v>68</v>
      </c>
    </row>
    <row r="5" spans="1:9" ht="14.25" customHeight="1" x14ac:dyDescent="0.35">
      <c r="A5" s="17">
        <v>104</v>
      </c>
      <c r="B5" s="17" t="s">
        <v>25</v>
      </c>
      <c r="C5" s="17">
        <v>71</v>
      </c>
      <c r="D5" s="17">
        <v>63</v>
      </c>
      <c r="E5" s="17">
        <v>68</v>
      </c>
      <c r="G5" s="25">
        <v>4</v>
      </c>
      <c r="H5" s="18" t="s">
        <v>78</v>
      </c>
      <c r="I5" s="17" t="str">
        <f>INDEX(A1:E6,3,2)</f>
        <v>Priya</v>
      </c>
    </row>
    <row r="6" spans="1:9" ht="27.75" customHeight="1" x14ac:dyDescent="0.35">
      <c r="A6" s="17">
        <v>105</v>
      </c>
      <c r="B6" s="17" t="s">
        <v>29</v>
      </c>
      <c r="C6" s="17">
        <v>68</v>
      </c>
      <c r="D6" s="17">
        <v>71</v>
      </c>
      <c r="E6" s="17">
        <v>86</v>
      </c>
      <c r="G6" s="44">
        <v>5</v>
      </c>
      <c r="H6" s="18" t="s">
        <v>77</v>
      </c>
      <c r="I6" s="17">
        <f>INDEX(A1:E6,MATCH(H7,B1:B6,0),4)</f>
        <v>71</v>
      </c>
    </row>
    <row r="7" spans="1:9" ht="14.25" customHeight="1" x14ac:dyDescent="0.35">
      <c r="G7" s="43"/>
      <c r="H7" s="17" t="s">
        <v>29</v>
      </c>
      <c r="I7" s="17"/>
    </row>
    <row r="8" spans="1:9" ht="14.25" customHeight="1" x14ac:dyDescent="0.35">
      <c r="G8" s="42"/>
      <c r="H8" s="46"/>
      <c r="I8" s="45"/>
    </row>
    <row r="9" spans="1:9" ht="27.75" customHeight="1" x14ac:dyDescent="0.35">
      <c r="G9" s="44">
        <v>6</v>
      </c>
      <c r="H9" s="18" t="s">
        <v>76</v>
      </c>
      <c r="I9" s="17">
        <f>INDEX(A1:E6,MATCH(H10,B1:B6,0),MATCH(H11,A1:E1,0))</f>
        <v>98</v>
      </c>
    </row>
    <row r="10" spans="1:9" ht="14.25" customHeight="1" x14ac:dyDescent="0.35">
      <c r="G10" s="43"/>
      <c r="H10" s="17" t="s">
        <v>70</v>
      </c>
      <c r="I10" s="17"/>
    </row>
    <row r="11" spans="1:9" ht="14.25" customHeight="1" x14ac:dyDescent="0.35">
      <c r="G11" s="42"/>
      <c r="H11" s="17" t="s">
        <v>75</v>
      </c>
      <c r="I11" s="17"/>
    </row>
    <row r="12" spans="1:9" ht="27.75" customHeight="1" x14ac:dyDescent="0.35">
      <c r="G12" s="44">
        <v>7</v>
      </c>
      <c r="H12" s="18" t="s">
        <v>74</v>
      </c>
      <c r="I12" s="17">
        <f>INDEX(A1:E6,MATCH(H13,B1:B6,0),MATCH(H14,A1:E1,0))</f>
        <v>102</v>
      </c>
    </row>
    <row r="13" spans="1:9" ht="14.25" customHeight="1" x14ac:dyDescent="0.35">
      <c r="G13" s="43"/>
      <c r="H13" s="17" t="s">
        <v>73</v>
      </c>
      <c r="I13" s="17"/>
    </row>
    <row r="14" spans="1:9" ht="14.25" customHeight="1" x14ac:dyDescent="0.35">
      <c r="G14" s="42"/>
      <c r="H14" s="17" t="s">
        <v>72</v>
      </c>
      <c r="I14" s="17"/>
    </row>
    <row r="15" spans="1:9" ht="27.75" customHeight="1" x14ac:dyDescent="0.35">
      <c r="G15" s="44">
        <v>8</v>
      </c>
      <c r="H15" s="18" t="s">
        <v>71</v>
      </c>
      <c r="I15" s="17">
        <f>INDEX(A1:E6,MATCH(H16,B1:B6,0),MATCH(H17,A1:E1,0))</f>
        <v>70</v>
      </c>
    </row>
    <row r="16" spans="1:9" ht="14.25" customHeight="1" x14ac:dyDescent="0.35">
      <c r="G16" s="43"/>
      <c r="H16" s="17" t="s">
        <v>70</v>
      </c>
      <c r="I16" s="17"/>
    </row>
    <row r="17" spans="7:9" ht="14.25" customHeight="1" x14ac:dyDescent="0.35">
      <c r="G17" s="42"/>
      <c r="H17" s="17" t="s">
        <v>69</v>
      </c>
      <c r="I17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8AA7-E19C-4A2B-93C4-F984A24E6CF2}">
  <dimension ref="A1:O26"/>
  <sheetViews>
    <sheetView zoomScale="69" zoomScaleNormal="100" workbookViewId="0"/>
  </sheetViews>
  <sheetFormatPr defaultColWidth="8.6328125" defaultRowHeight="14.5" x14ac:dyDescent="0.35"/>
  <cols>
    <col min="1" max="1" width="9" style="16" customWidth="1"/>
    <col min="2" max="3" width="8" style="16" customWidth="1"/>
    <col min="4" max="4" width="9" style="16" customWidth="1"/>
    <col min="5" max="5" width="10" style="16" customWidth="1"/>
    <col min="6" max="7" width="8.6328125" style="15"/>
    <col min="8" max="8" width="5" style="16" customWidth="1"/>
    <col min="9" max="9" width="32" style="16" customWidth="1"/>
    <col min="10" max="10" width="10" style="16" customWidth="1"/>
    <col min="11" max="11" width="8" style="16" customWidth="1"/>
    <col min="12" max="12" width="9" style="16" customWidth="1"/>
    <col min="13" max="15" width="10" style="16" customWidth="1"/>
    <col min="16" max="16384" width="8.6328125" style="15"/>
  </cols>
  <sheetData>
    <row r="1" spans="1:14" ht="14.25" customHeight="1" x14ac:dyDescent="0.35">
      <c r="A1" s="26" t="s">
        <v>68</v>
      </c>
      <c r="B1" s="26" t="s">
        <v>35</v>
      </c>
      <c r="C1" s="26" t="s">
        <v>67</v>
      </c>
      <c r="D1" s="26" t="s">
        <v>33</v>
      </c>
      <c r="E1" s="26" t="s">
        <v>66</v>
      </c>
      <c r="H1" s="41"/>
      <c r="I1" s="40" t="s">
        <v>31</v>
      </c>
      <c r="J1" s="39" t="s">
        <v>30</v>
      </c>
      <c r="K1" s="38"/>
      <c r="L1" s="38"/>
      <c r="M1" s="38"/>
      <c r="N1" s="37"/>
    </row>
    <row r="2" spans="1:14" ht="15" customHeight="1" thickBot="1" x14ac:dyDescent="0.4">
      <c r="A2" s="17" t="s">
        <v>65</v>
      </c>
      <c r="B2" s="17" t="s">
        <v>32</v>
      </c>
      <c r="C2" s="17" t="s">
        <v>23</v>
      </c>
      <c r="D2" s="17">
        <v>25000</v>
      </c>
      <c r="E2" s="17" t="s">
        <v>64</v>
      </c>
      <c r="H2" s="33"/>
      <c r="I2" s="32"/>
      <c r="J2" s="31"/>
      <c r="K2" s="31"/>
      <c r="L2" s="31"/>
      <c r="M2" s="31"/>
      <c r="N2" s="30"/>
    </row>
    <row r="3" spans="1:14" ht="14.25" customHeight="1" x14ac:dyDescent="0.35">
      <c r="A3" s="17" t="s">
        <v>63</v>
      </c>
      <c r="B3" s="17" t="s">
        <v>25</v>
      </c>
      <c r="C3" s="17" t="s">
        <v>21</v>
      </c>
      <c r="D3" s="17">
        <v>32000</v>
      </c>
      <c r="E3" s="17" t="s">
        <v>62</v>
      </c>
      <c r="H3" s="29" t="s">
        <v>61</v>
      </c>
      <c r="I3" s="28" t="s">
        <v>60</v>
      </c>
      <c r="J3" s="27" t="str">
        <f t="array" ref="J3:N4">_xlfn._xlws.FILTER(A1:E6,C1:C6="IT")</f>
        <v>EMP102</v>
      </c>
      <c r="K3" s="27" t="str">
        <v>Neha</v>
      </c>
      <c r="L3" s="27" t="str">
        <v>IT</v>
      </c>
      <c r="M3" s="27">
        <v>32000</v>
      </c>
      <c r="N3" s="27" t="str">
        <v>Mumbai</v>
      </c>
    </row>
    <row r="4" spans="1:14" ht="14.25" customHeight="1" x14ac:dyDescent="0.35">
      <c r="A4" s="17" t="s">
        <v>59</v>
      </c>
      <c r="B4" s="17" t="s">
        <v>58</v>
      </c>
      <c r="C4" s="17" t="s">
        <v>26</v>
      </c>
      <c r="D4" s="17">
        <v>28000</v>
      </c>
      <c r="E4" s="17" t="s">
        <v>57</v>
      </c>
      <c r="H4" s="36"/>
      <c r="I4" s="35"/>
      <c r="J4" s="16" t="str">
        <v>EMP106</v>
      </c>
      <c r="K4" s="16" t="str">
        <v>Karan</v>
      </c>
      <c r="L4" s="16" t="str">
        <v>IT</v>
      </c>
      <c r="M4" s="16">
        <v>30000</v>
      </c>
      <c r="N4" s="34" t="str">
        <v>Indore</v>
      </c>
    </row>
    <row r="5" spans="1:14" ht="14.25" customHeight="1" x14ac:dyDescent="0.35">
      <c r="A5" s="17" t="s">
        <v>56</v>
      </c>
      <c r="B5" s="17" t="s">
        <v>55</v>
      </c>
      <c r="C5" s="17" t="s">
        <v>54</v>
      </c>
      <c r="D5" s="17">
        <v>35000</v>
      </c>
      <c r="E5" s="17" t="s">
        <v>53</v>
      </c>
      <c r="H5" s="36"/>
      <c r="I5" s="35"/>
      <c r="N5" s="34"/>
    </row>
    <row r="6" spans="1:14" ht="15" customHeight="1" thickBot="1" x14ac:dyDescent="0.4">
      <c r="A6" s="17" t="s">
        <v>52</v>
      </c>
      <c r="B6" s="17" t="s">
        <v>51</v>
      </c>
      <c r="C6" s="17" t="s">
        <v>21</v>
      </c>
      <c r="D6" s="17">
        <v>30000</v>
      </c>
      <c r="E6" s="17" t="s">
        <v>50</v>
      </c>
      <c r="H6" s="33"/>
      <c r="I6" s="32"/>
      <c r="J6" s="31"/>
      <c r="K6" s="31"/>
      <c r="L6" s="31"/>
      <c r="M6" s="31"/>
      <c r="N6" s="30"/>
    </row>
    <row r="7" spans="1:14" ht="14.25" customHeight="1" x14ac:dyDescent="0.35">
      <c r="H7" s="29" t="s">
        <v>49</v>
      </c>
      <c r="I7" s="28" t="s">
        <v>48</v>
      </c>
      <c r="J7" s="27" t="str">
        <f t="array" ref="J7:N9">_xlfn._xlws.FILTER(A1:E6,D1:D6&gt;30000)</f>
        <v>Emp ID</v>
      </c>
      <c r="K7" s="27" t="str">
        <v>Name</v>
      </c>
      <c r="L7" s="27" t="str">
        <v>Dept</v>
      </c>
      <c r="M7" s="27" t="str">
        <v>Salary</v>
      </c>
      <c r="N7" s="27" t="str">
        <v>City</v>
      </c>
    </row>
    <row r="8" spans="1:14" ht="14.25" customHeight="1" x14ac:dyDescent="0.35">
      <c r="H8" s="27"/>
      <c r="I8" s="27"/>
      <c r="J8" s="27" t="str">
        <v>EMP102</v>
      </c>
      <c r="K8" s="27" t="str">
        <v>Neha</v>
      </c>
      <c r="L8" s="27" t="str">
        <v>IT</v>
      </c>
      <c r="M8" s="27">
        <v>32000</v>
      </c>
      <c r="N8" s="27" t="str">
        <v>Mumbai</v>
      </c>
    </row>
    <row r="9" spans="1:14" ht="14.25" customHeight="1" x14ac:dyDescent="0.35">
      <c r="H9" s="27"/>
      <c r="I9" s="27"/>
      <c r="J9" s="27" t="str">
        <v>EMP104</v>
      </c>
      <c r="K9" s="27" t="str">
        <v>Pooja</v>
      </c>
      <c r="L9" s="27" t="str">
        <v>Finance</v>
      </c>
      <c r="M9" s="27">
        <v>35000</v>
      </c>
      <c r="N9" s="27" t="str">
        <v>Bhopal</v>
      </c>
    </row>
    <row r="10" spans="1:14" ht="14.25" customHeight="1" x14ac:dyDescent="0.35">
      <c r="H10" s="36"/>
      <c r="I10" s="35"/>
      <c r="N10" s="34"/>
    </row>
    <row r="11" spans="1:14" ht="15" customHeight="1" thickBot="1" x14ac:dyDescent="0.4">
      <c r="H11" s="33"/>
      <c r="I11" s="32"/>
      <c r="J11" s="31"/>
      <c r="K11" s="31"/>
      <c r="L11" s="31"/>
      <c r="M11" s="31"/>
      <c r="N11" s="30"/>
    </row>
    <row r="12" spans="1:14" ht="14.25" customHeight="1" x14ac:dyDescent="0.35">
      <c r="H12" s="29" t="s">
        <v>47</v>
      </c>
      <c r="I12" s="28" t="s">
        <v>46</v>
      </c>
      <c r="J12" s="27" t="str">
        <f t="array" ref="J12:N12">_xlfn._xlws.FILTER(A1:E6,D1:D6=LARGE(D1:D6,1))</f>
        <v>EMP104</v>
      </c>
      <c r="K12" s="27" t="str">
        <v>Pooja</v>
      </c>
      <c r="L12" s="27" t="str">
        <v>Finance</v>
      </c>
      <c r="M12" s="27">
        <v>35000</v>
      </c>
      <c r="N12" s="27" t="str">
        <v>Bhopal</v>
      </c>
    </row>
    <row r="13" spans="1:14" ht="15" customHeight="1" thickBot="1" x14ac:dyDescent="0.4">
      <c r="H13" s="33"/>
      <c r="I13" s="32"/>
      <c r="J13" s="31"/>
      <c r="K13" s="31"/>
      <c r="L13" s="31"/>
      <c r="M13" s="31"/>
      <c r="N13" s="30"/>
    </row>
    <row r="14" spans="1:14" ht="27.75" customHeight="1" x14ac:dyDescent="0.35">
      <c r="H14" s="29" t="s">
        <v>45</v>
      </c>
      <c r="I14" s="28" t="s">
        <v>44</v>
      </c>
      <c r="J14" s="27" t="str">
        <f t="array" ref="J14:N14">_xlfn._xlws.FILTER(A1:E6,(C1:C6="IT")*(D1:D6&gt;30000))</f>
        <v>EMP102</v>
      </c>
      <c r="K14" s="27" t="str">
        <v>Neha</v>
      </c>
      <c r="L14" s="27" t="str">
        <v>IT</v>
      </c>
      <c r="M14" s="27">
        <v>32000</v>
      </c>
      <c r="N14" s="27" t="str">
        <v>Mumbai</v>
      </c>
    </row>
    <row r="15" spans="1:14" ht="15" customHeight="1" thickBot="1" x14ac:dyDescent="0.4">
      <c r="H15" s="33"/>
      <c r="I15" s="32"/>
      <c r="J15" s="31"/>
      <c r="K15" s="31"/>
      <c r="L15" s="31"/>
      <c r="M15" s="31"/>
      <c r="N15" s="30"/>
    </row>
    <row r="16" spans="1:14" ht="27.75" customHeight="1" x14ac:dyDescent="0.35">
      <c r="H16" s="29" t="s">
        <v>43</v>
      </c>
      <c r="I16" s="28" t="s">
        <v>42</v>
      </c>
      <c r="J16" s="27" t="str">
        <f t="array" ref="J16:N18">_xlfn._xlws.FILTER(A1:E6,(C1:C6="IT")+(E1:E6="Delhi"))</f>
        <v>EMP101</v>
      </c>
      <c r="K16" s="27" t="str">
        <v>Amit</v>
      </c>
      <c r="L16" s="27" t="str">
        <v>HR</v>
      </c>
      <c r="M16" s="27">
        <v>25000</v>
      </c>
      <c r="N16" s="27" t="str">
        <v>Delhi</v>
      </c>
    </row>
    <row r="17" spans="8:14" ht="14.25" customHeight="1" x14ac:dyDescent="0.35">
      <c r="H17" s="27"/>
      <c r="I17" s="27"/>
      <c r="J17" s="27" t="str">
        <v>EMP102</v>
      </c>
      <c r="K17" s="27" t="str">
        <v>Neha</v>
      </c>
      <c r="L17" s="27" t="str">
        <v>IT</v>
      </c>
      <c r="M17" s="27">
        <v>32000</v>
      </c>
      <c r="N17" s="27" t="str">
        <v>Mumbai</v>
      </c>
    </row>
    <row r="18" spans="8:14" ht="14.25" customHeight="1" x14ac:dyDescent="0.35">
      <c r="H18" s="27"/>
      <c r="I18" s="27"/>
      <c r="J18" s="27" t="str">
        <v>EMP106</v>
      </c>
      <c r="K18" s="27" t="str">
        <v>Karan</v>
      </c>
      <c r="L18" s="27" t="str">
        <v>IT</v>
      </c>
      <c r="M18" s="27">
        <v>30000</v>
      </c>
      <c r="N18" s="27" t="str">
        <v>Indore</v>
      </c>
    </row>
    <row r="19" spans="8:14" ht="15" customHeight="1" thickBot="1" x14ac:dyDescent="0.4">
      <c r="H19" s="33"/>
      <c r="I19" s="32"/>
      <c r="J19" s="31"/>
      <c r="K19" s="31"/>
      <c r="L19" s="31"/>
      <c r="M19" s="31"/>
      <c r="N19" s="30"/>
    </row>
    <row r="20" spans="8:14" ht="14.25" customHeight="1" x14ac:dyDescent="0.35">
      <c r="H20" s="29" t="s">
        <v>41</v>
      </c>
      <c r="I20" s="28" t="s">
        <v>40</v>
      </c>
      <c r="J20" s="27" t="str">
        <f t="array" ref="J20">_xlfn._xlws.FILTER(A1:E6,E1:E6="Chennai","NOT FOUND")</f>
        <v>NOT FOUND</v>
      </c>
      <c r="K20" s="27"/>
      <c r="L20" s="27"/>
      <c r="M20" s="27"/>
      <c r="N20" s="27"/>
    </row>
    <row r="21" spans="8:14" ht="15" customHeight="1" thickBot="1" x14ac:dyDescent="0.4">
      <c r="H21" s="33"/>
      <c r="I21" s="32"/>
      <c r="J21" s="31"/>
      <c r="K21" s="31"/>
      <c r="L21" s="31"/>
      <c r="M21" s="31"/>
      <c r="N21" s="30"/>
    </row>
    <row r="22" spans="8:14" ht="14.25" customHeight="1" x14ac:dyDescent="0.35">
      <c r="H22" s="29" t="s">
        <v>39</v>
      </c>
      <c r="I22" s="28" t="s">
        <v>38</v>
      </c>
      <c r="J22" s="27" t="str">
        <f t="array" ref="J22:N22">_xlfn._xlws.FILTER(A1:E6,LEFT(B1:B6,1)="A")</f>
        <v>EMP101</v>
      </c>
      <c r="K22" s="27" t="str">
        <v>Amit</v>
      </c>
      <c r="L22" s="27" t="str">
        <v>HR</v>
      </c>
      <c r="M22" s="27">
        <v>25000</v>
      </c>
      <c r="N22" s="27" t="str">
        <v>Delhi</v>
      </c>
    </row>
    <row r="23" spans="8:14" ht="14.25" customHeight="1" x14ac:dyDescent="0.35">
      <c r="H23" s="36"/>
      <c r="I23" s="35"/>
      <c r="N23" s="34"/>
    </row>
    <row r="24" spans="8:14" ht="15" customHeight="1" thickBot="1" x14ac:dyDescent="0.4">
      <c r="H24" s="33"/>
      <c r="I24" s="32"/>
      <c r="J24" s="31"/>
      <c r="K24" s="31"/>
      <c r="L24" s="31"/>
      <c r="M24" s="31"/>
      <c r="N24" s="30"/>
    </row>
    <row r="25" spans="8:14" ht="14.25" customHeight="1" x14ac:dyDescent="0.35">
      <c r="H25" s="29" t="s">
        <v>37</v>
      </c>
      <c r="I25" s="28" t="s">
        <v>36</v>
      </c>
      <c r="J25" s="27" t="str">
        <f t="array" ref="J25:N26">_xlfn._xlws.FILTER(A1:E6,C1:C6=I26)</f>
        <v>EMP102</v>
      </c>
      <c r="K25" s="27" t="str">
        <v>Neha</v>
      </c>
      <c r="L25" s="27" t="str">
        <v>IT</v>
      </c>
      <c r="M25" s="27">
        <v>32000</v>
      </c>
      <c r="N25" s="27" t="str">
        <v>Mumbai</v>
      </c>
    </row>
    <row r="26" spans="8:14" ht="15" customHeight="1" x14ac:dyDescent="0.35">
      <c r="H26" s="27"/>
      <c r="I26" s="28" t="s">
        <v>21</v>
      </c>
      <c r="J26" s="27" t="str">
        <v>EMP106</v>
      </c>
      <c r="K26" s="27" t="str">
        <v>Karan</v>
      </c>
      <c r="L26" s="27" t="str">
        <v>IT</v>
      </c>
      <c r="M26" s="27">
        <v>30000</v>
      </c>
      <c r="N26" s="27" t="str">
        <v>Indore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FB64-B819-4F03-968A-364C730BC8CC}">
  <dimension ref="A1:G13"/>
  <sheetViews>
    <sheetView zoomScale="82" zoomScaleNormal="100" workbookViewId="0">
      <selection activeCell="F8" sqref="F8"/>
    </sheetView>
  </sheetViews>
  <sheetFormatPr defaultColWidth="8.6328125" defaultRowHeight="14.5" x14ac:dyDescent="0.35"/>
  <cols>
    <col min="1" max="1" width="10" style="1" customWidth="1"/>
    <col min="2" max="2" width="8" style="1" customWidth="1"/>
    <col min="3" max="3" width="70.26953125" style="1" bestFit="1" customWidth="1"/>
    <col min="4" max="4" width="10" style="1" customWidth="1"/>
    <col min="5" max="5" width="8.6328125" style="1"/>
    <col min="6" max="6" width="68.08984375" style="1" bestFit="1" customWidth="1"/>
    <col min="7" max="7" width="4" style="1" bestFit="1" customWidth="1"/>
    <col min="8" max="16384" width="8.6328125" style="1"/>
  </cols>
  <sheetData>
    <row r="1" spans="1:7" ht="51" customHeight="1" x14ac:dyDescent="0.35">
      <c r="A1" s="9" t="s">
        <v>16</v>
      </c>
      <c r="B1" s="14" t="s">
        <v>15</v>
      </c>
      <c r="C1" s="13" t="s">
        <v>14</v>
      </c>
      <c r="D1" s="7" t="str">
        <f>VLOOKUP(D2,A1:B6,2,1)</f>
        <v>B</v>
      </c>
    </row>
    <row r="2" spans="1:7" ht="14.25" customHeight="1" thickBot="1" x14ac:dyDescent="0.4">
      <c r="A2" s="4">
        <v>0</v>
      </c>
      <c r="B2" s="12" t="s">
        <v>13</v>
      </c>
      <c r="C2" s="11" t="s">
        <v>12</v>
      </c>
      <c r="D2" s="10">
        <v>82</v>
      </c>
    </row>
    <row r="3" spans="1:7" ht="14.25" customHeight="1" x14ac:dyDescent="0.35">
      <c r="A3" s="4">
        <v>40</v>
      </c>
      <c r="B3" s="4" t="s">
        <v>11</v>
      </c>
    </row>
    <row r="4" spans="1:7" ht="14.25" customHeight="1" x14ac:dyDescent="0.35">
      <c r="A4" s="4">
        <v>60</v>
      </c>
      <c r="B4" s="4" t="s">
        <v>10</v>
      </c>
    </row>
    <row r="5" spans="1:7" ht="14.25" customHeight="1" x14ac:dyDescent="0.35">
      <c r="A5" s="4">
        <v>75</v>
      </c>
      <c r="B5" s="4" t="s">
        <v>9</v>
      </c>
    </row>
    <row r="6" spans="1:7" ht="14.25" customHeight="1" x14ac:dyDescent="0.35">
      <c r="A6" s="4">
        <v>90</v>
      </c>
      <c r="B6" s="4" t="s">
        <v>8</v>
      </c>
    </row>
    <row r="8" spans="1:7" ht="68.25" customHeight="1" x14ac:dyDescent="0.35"/>
    <row r="9" spans="1:7" ht="14.25" customHeight="1" x14ac:dyDescent="0.35"/>
    <row r="10" spans="1:7" ht="14.25" customHeight="1" thickBot="1" x14ac:dyDescent="0.4">
      <c r="A10" s="9" t="s">
        <v>7</v>
      </c>
      <c r="B10" s="9" t="s">
        <v>0</v>
      </c>
      <c r="C10" s="9" t="s">
        <v>6</v>
      </c>
      <c r="D10" s="9" t="s">
        <v>5</v>
      </c>
    </row>
    <row r="11" spans="1:7" x14ac:dyDescent="0.35">
      <c r="A11" s="4" t="s">
        <v>4</v>
      </c>
      <c r="B11" s="4">
        <v>110</v>
      </c>
      <c r="C11" s="4">
        <v>105</v>
      </c>
      <c r="D11" s="4">
        <v>106</v>
      </c>
      <c r="F11" s="8" t="s">
        <v>3</v>
      </c>
      <c r="G11" s="7">
        <f>VLOOKUP(F12,A10:D13,MATCH(F13,A10:D10,0),0)</f>
        <v>110</v>
      </c>
    </row>
    <row r="12" spans="1:7" x14ac:dyDescent="0.35">
      <c r="A12" s="4" t="s">
        <v>2</v>
      </c>
      <c r="B12" s="4">
        <v>110</v>
      </c>
      <c r="C12" s="4">
        <v>104</v>
      </c>
      <c r="D12" s="4">
        <v>105</v>
      </c>
      <c r="F12" s="6" t="s">
        <v>2</v>
      </c>
      <c r="G12" s="5"/>
    </row>
    <row r="13" spans="1:7" ht="14.25" customHeight="1" thickBot="1" x14ac:dyDescent="0.4">
      <c r="A13" s="4" t="s">
        <v>1</v>
      </c>
      <c r="B13" s="4">
        <v>103</v>
      </c>
      <c r="C13" s="4">
        <v>100</v>
      </c>
      <c r="D13" s="4">
        <v>106</v>
      </c>
      <c r="F13" s="3" t="s">
        <v>0</v>
      </c>
      <c r="G13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E857-C61C-4876-8EC4-54E8C7146BF1}">
  <dimension ref="A1:H12"/>
  <sheetViews>
    <sheetView tabSelected="1" workbookViewId="0">
      <selection activeCell="J4" sqref="J4"/>
    </sheetView>
  </sheetViews>
  <sheetFormatPr defaultRowHeight="14.5" x14ac:dyDescent="0.35"/>
  <cols>
    <col min="1" max="1" width="27.453125" customWidth="1"/>
    <col min="2" max="2" width="13.36328125" customWidth="1"/>
    <col min="3" max="3" width="24.6328125" customWidth="1"/>
    <col min="4" max="4" width="8.6328125" customWidth="1"/>
    <col min="5" max="5" width="8.81640625" customWidth="1"/>
    <col min="6" max="6" width="11" customWidth="1"/>
    <col min="7" max="7" width="13.90625" customWidth="1"/>
  </cols>
  <sheetData>
    <row r="1" spans="1:8" ht="23.5" x14ac:dyDescent="0.55000000000000004">
      <c r="A1" s="69" t="s">
        <v>144</v>
      </c>
      <c r="B1" s="69" t="s">
        <v>143</v>
      </c>
      <c r="C1" s="69" t="s">
        <v>142</v>
      </c>
      <c r="D1" s="69" t="s">
        <v>138</v>
      </c>
      <c r="E1" s="69" t="s">
        <v>141</v>
      </c>
      <c r="F1" s="70" t="s">
        <v>140</v>
      </c>
      <c r="G1" s="69" t="s">
        <v>139</v>
      </c>
      <c r="H1" s="68" t="s">
        <v>138</v>
      </c>
    </row>
    <row r="2" spans="1:8" ht="23.5" x14ac:dyDescent="0.55000000000000004">
      <c r="A2" s="67" t="s">
        <v>137</v>
      </c>
      <c r="B2" s="66">
        <v>11668</v>
      </c>
      <c r="C2" s="66">
        <v>6</v>
      </c>
      <c r="D2" s="66" t="str">
        <f>IF(B2&gt;5000,"10%","0")</f>
        <v>10%</v>
      </c>
      <c r="E2" s="66" t="str">
        <f>IF(OR(B2&gt;10000,C2&gt;4),"20%","0")</f>
        <v>20%</v>
      </c>
      <c r="F2" s="66" t="str">
        <f>IF(AND(B2&gt;20000,C2&gt;9),"30%","0")</f>
        <v>0</v>
      </c>
      <c r="G2" s="66" t="str" cm="1">
        <f t="array" ref="G2">_xlfn.IFS(B2&gt;20000,"A",B2&gt;10000,"B",B2&lt;10000,"C")</f>
        <v>B</v>
      </c>
      <c r="H2" s="66" t="str">
        <f>IF(B2&gt;20000,"A",IF(B2&gt;10000,"B",IF(B2&lt;10000,"C")))</f>
        <v>B</v>
      </c>
    </row>
    <row r="3" spans="1:8" ht="23.5" x14ac:dyDescent="0.55000000000000004">
      <c r="A3" s="67" t="s">
        <v>136</v>
      </c>
      <c r="B3" s="66">
        <v>43316</v>
      </c>
      <c r="C3" s="66">
        <v>6</v>
      </c>
      <c r="D3" s="66" t="str">
        <f>IF(B3&gt;5000,"10%","0")</f>
        <v>10%</v>
      </c>
      <c r="E3" s="66" t="str">
        <f>IF(OR(B3&gt;10000,C3&gt;4),"20%")</f>
        <v>20%</v>
      </c>
      <c r="F3" s="66" t="str">
        <f>IF(AND(B3&gt;20000,C3&gt;9),"30%","0")</f>
        <v>0</v>
      </c>
      <c r="G3" s="66" t="str" cm="1">
        <f t="array" ref="G3">_xlfn.IFS(B3&gt;20000,"A",B3&gt;10000,"B",B3&lt;10000,"C")</f>
        <v>A</v>
      </c>
      <c r="H3" s="66" t="str">
        <f>IF(B3&gt;20000,"A",IF(B3&gt;10000,"B",IF(B3&lt;10000,"C")))</f>
        <v>A</v>
      </c>
    </row>
    <row r="4" spans="1:8" ht="23.5" x14ac:dyDescent="0.55000000000000004">
      <c r="A4" s="67" t="s">
        <v>135</v>
      </c>
      <c r="B4" s="66">
        <v>13951</v>
      </c>
      <c r="C4" s="66">
        <v>4</v>
      </c>
      <c r="D4" s="66" t="str">
        <f>IF(B4&gt;5000,"10%","0")</f>
        <v>10%</v>
      </c>
      <c r="E4" s="66" t="str">
        <f>IF(OR(B4&gt;10000,C4&gt;4),"20%")</f>
        <v>20%</v>
      </c>
      <c r="F4" s="66" t="str">
        <f>IF(AND(B4&gt;20000,C4&gt;9),"30%","0")</f>
        <v>0</v>
      </c>
      <c r="G4" s="66" t="str" cm="1">
        <f t="array" ref="G4">_xlfn.IFS(B4&gt;20000,"A",B4&gt;10000,"B",B4&lt;10000,"C")</f>
        <v>B</v>
      </c>
      <c r="H4" s="66" t="str">
        <f>IF(B4&gt;20000,"A",IF(B4&gt;10000,"B",IF(B4&lt;10000,"C")))</f>
        <v>B</v>
      </c>
    </row>
    <row r="5" spans="1:8" ht="23.5" x14ac:dyDescent="0.55000000000000004">
      <c r="A5" s="67" t="s">
        <v>134</v>
      </c>
      <c r="B5" s="66">
        <v>10488</v>
      </c>
      <c r="C5" s="66">
        <v>14</v>
      </c>
      <c r="D5" s="66" t="str">
        <f>IF(B5&gt;5000,"10%","0")</f>
        <v>10%</v>
      </c>
      <c r="E5" s="66" t="str">
        <f>IF(OR(B5&gt;10000,C5&gt;4),"20%")</f>
        <v>20%</v>
      </c>
      <c r="F5" s="66" t="str">
        <f>IF(AND(B5&gt;20000,C5&gt;9),"30%","0")</f>
        <v>0</v>
      </c>
      <c r="G5" s="66" t="str" cm="1">
        <f t="array" ref="G5">_xlfn.IFS(B5&gt;20000,"A",B5&gt;10000,"B",B5&lt;10000,"C")</f>
        <v>B</v>
      </c>
      <c r="H5" s="66" t="str">
        <f>IF(B5&gt;20000,"A",IF(B5&gt;10000,"B",IF(B5&lt;10000,"C")))</f>
        <v>B</v>
      </c>
    </row>
    <row r="6" spans="1:8" ht="23.5" x14ac:dyDescent="0.55000000000000004">
      <c r="A6" s="67" t="s">
        <v>133</v>
      </c>
      <c r="B6" s="66">
        <v>33641</v>
      </c>
      <c r="C6" s="66">
        <v>10</v>
      </c>
      <c r="D6" s="66" t="str">
        <f>IF(B6&gt;5000,"10%","0")</f>
        <v>10%</v>
      </c>
      <c r="E6" s="66" t="str">
        <f>IF(OR(B6&gt;10000,C6&gt;4),"20%")</f>
        <v>20%</v>
      </c>
      <c r="F6" s="66" t="str">
        <f>IF(AND(B6&gt;20000,C6&gt;9),"30%","0")</f>
        <v>30%</v>
      </c>
      <c r="G6" s="66" t="str" cm="1">
        <f t="array" ref="G6">_xlfn.IFS(B6&gt;20000,"A",B6&gt;10000,"B",B6&lt;10000,"C")</f>
        <v>A</v>
      </c>
      <c r="H6" s="66" t="str">
        <f>IF(B6&gt;20000,"A",IF(B6&gt;10000,"B",IF(B6&lt;10000,"C")))</f>
        <v>A</v>
      </c>
    </row>
    <row r="7" spans="1:8" ht="23.5" x14ac:dyDescent="0.55000000000000004">
      <c r="A7" s="67" t="s">
        <v>132</v>
      </c>
      <c r="B7" s="66">
        <v>26146</v>
      </c>
      <c r="C7" s="66">
        <v>15</v>
      </c>
      <c r="D7" s="66" t="str">
        <f>IF(B7&gt;5000,"10%","0")</f>
        <v>10%</v>
      </c>
      <c r="E7" s="66" t="str">
        <f>IF(OR(B7&gt;10000,C7&gt;4),"20%")</f>
        <v>20%</v>
      </c>
      <c r="F7" s="66" t="str">
        <f>IF(AND(B7&gt;20000,C7&gt;9),"30%","0")</f>
        <v>30%</v>
      </c>
      <c r="G7" s="66" t="str" cm="1">
        <f t="array" ref="G7">_xlfn.IFS(B7&gt;20000,"A",B7&gt;10000,"B",B7&lt;10000,"C")</f>
        <v>A</v>
      </c>
      <c r="H7" s="66" t="str">
        <f>IF(B7&gt;20000,"A",IF(B7&gt;10000,"B",IF(B7&lt;10000,"C")))</f>
        <v>A</v>
      </c>
    </row>
    <row r="8" spans="1:8" ht="23.5" x14ac:dyDescent="0.55000000000000004">
      <c r="A8" s="67" t="s">
        <v>131</v>
      </c>
      <c r="B8" s="66">
        <v>30080</v>
      </c>
      <c r="C8" s="66">
        <v>4</v>
      </c>
      <c r="D8" s="66" t="str">
        <f>IF(B8&gt;5000,"10%","0")</f>
        <v>10%</v>
      </c>
      <c r="E8" s="66" t="str">
        <f>IF(OR(B8&gt;10000,C8&gt;4),"20%")</f>
        <v>20%</v>
      </c>
      <c r="F8" s="66" t="str">
        <f>IF(AND(B8&gt;20000,C8&gt;9),"30%","0")</f>
        <v>0</v>
      </c>
      <c r="G8" s="66" t="str" cm="1">
        <f t="array" ref="G8">_xlfn.IFS(B8&gt;20000,"A",B8&gt;10000,"B",B8&lt;10000,"C")</f>
        <v>A</v>
      </c>
      <c r="H8" s="66" t="str">
        <f>IF(B8&gt;20000,"A",IF(B8&gt;10000,"B",IF(B8&lt;10000,"C")))</f>
        <v>A</v>
      </c>
    </row>
    <row r="9" spans="1:8" ht="23.5" x14ac:dyDescent="0.55000000000000004">
      <c r="A9" s="67" t="s">
        <v>130</v>
      </c>
      <c r="B9" s="66">
        <v>32446</v>
      </c>
      <c r="C9" s="66">
        <v>13</v>
      </c>
      <c r="D9" s="66" t="str">
        <f>IF(B9&gt;5000,"10%","0")</f>
        <v>10%</v>
      </c>
      <c r="E9" s="66" t="str">
        <f>IF(OR(B9&gt;10000,C9&gt;4),"20%")</f>
        <v>20%</v>
      </c>
      <c r="F9" s="66" t="str">
        <f>IF(AND(B9&gt;20000,C9&gt;9),"30%","0")</f>
        <v>30%</v>
      </c>
      <c r="G9" s="66" t="str" cm="1">
        <f t="array" ref="G9">_xlfn.IFS(B9&gt;20000,"A",B9&gt;10000,"B",B9&lt;10000,"C")</f>
        <v>A</v>
      </c>
      <c r="H9" s="66" t="str">
        <f>IF(B9&gt;20000,"A",IF(B9&gt;10000,"B",IF(B9&lt;10000,"C")))</f>
        <v>A</v>
      </c>
    </row>
    <row r="10" spans="1:8" ht="23.5" x14ac:dyDescent="0.55000000000000004">
      <c r="A10" s="67" t="s">
        <v>129</v>
      </c>
      <c r="B10" s="66">
        <v>13153</v>
      </c>
      <c r="C10" s="66">
        <v>8</v>
      </c>
      <c r="D10" s="66" t="str">
        <f>IF(B10&gt;5000,"10%","0")</f>
        <v>10%</v>
      </c>
      <c r="E10" s="66" t="str">
        <f>IF(OR(B10&gt;10000,C10&gt;4),"20%")</f>
        <v>20%</v>
      </c>
      <c r="F10" s="66" t="str">
        <f>IF(AND(B10&gt;20000,C10&gt;9),"30%","0")</f>
        <v>0</v>
      </c>
      <c r="G10" s="66" t="str" cm="1">
        <f t="array" ref="G10">_xlfn.IFS(B10&gt;20000,"A",B10&gt;10000,"B",B10&lt;10000,"C")</f>
        <v>B</v>
      </c>
      <c r="H10" s="66" t="str">
        <f>IF(B10&gt;20000,"A",IF(B10&gt;10000,"B",IF(B10&lt;10000,"C")))</f>
        <v>B</v>
      </c>
    </row>
    <row r="11" spans="1:8" x14ac:dyDescent="0.35">
      <c r="A11" s="65"/>
    </row>
    <row r="12" spans="1:8" x14ac:dyDescent="0.35">
      <c r="A12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functions</vt:lpstr>
      <vt:lpstr>Filter</vt:lpstr>
      <vt:lpstr>Filter (2)</vt:lpstr>
      <vt:lpstr>index</vt:lpstr>
      <vt:lpstr>Filter with multiple condition</vt:lpstr>
      <vt:lpstr>approximate_match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Sharma</dc:creator>
  <cp:lastModifiedBy>Vishwas Sharma</cp:lastModifiedBy>
  <dcterms:created xsi:type="dcterms:W3CDTF">2026-09-11T16:46:55Z</dcterms:created>
  <dcterms:modified xsi:type="dcterms:W3CDTF">2026-09-11T17:29:10Z</dcterms:modified>
</cp:coreProperties>
</file>