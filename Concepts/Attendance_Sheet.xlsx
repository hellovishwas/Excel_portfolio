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\Xcel_files\"/>
    </mc:Choice>
  </mc:AlternateContent>
  <xr:revisionPtr revIDLastSave="0" documentId="8_{21B811FC-1A6A-4D14-8F0E-7132F7904A1B}" xr6:coauthVersionLast="47" xr6:coauthVersionMax="47" xr10:uidLastSave="{00000000-0000-0000-0000-000000000000}"/>
  <bookViews>
    <workbookView xWindow="-110" yWindow="-110" windowWidth="19420" windowHeight="11020" xr2:uid="{FA66ABBF-72B6-4FA5-A090-0FFE9AB53BED}"/>
  </bookViews>
  <sheets>
    <sheet name="Attendance_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2" l="1"/>
  <c r="AH4" i="2"/>
  <c r="AI4" i="2"/>
  <c r="AJ4" i="2"/>
  <c r="AK4" i="2"/>
  <c r="AM4" i="2"/>
  <c r="AN4" i="2"/>
  <c r="AO4" i="2"/>
  <c r="AG5" i="2"/>
  <c r="AH5" i="2"/>
  <c r="AI5" i="2"/>
  <c r="AJ5" i="2"/>
  <c r="AK5" i="2"/>
  <c r="AM5" i="2"/>
  <c r="AN5" i="2"/>
  <c r="AO5" i="2"/>
  <c r="AG6" i="2"/>
  <c r="AH6" i="2"/>
  <c r="AI6" i="2"/>
  <c r="AJ6" i="2"/>
  <c r="AK6" i="2"/>
  <c r="AM6" i="2"/>
  <c r="AN6" i="2"/>
  <c r="AO6" i="2"/>
  <c r="AG7" i="2"/>
  <c r="AH7" i="2"/>
  <c r="AI7" i="2"/>
  <c r="AJ7" i="2"/>
  <c r="AK7" i="2"/>
  <c r="AM7" i="2"/>
  <c r="AN7" i="2"/>
  <c r="AO7" i="2"/>
  <c r="AG8" i="2"/>
  <c r="AH8" i="2"/>
  <c r="AI8" i="2"/>
  <c r="AJ8" i="2"/>
  <c r="AK8" i="2"/>
  <c r="AM8" i="2"/>
  <c r="AN8" i="2"/>
  <c r="AO8" i="2"/>
  <c r="AG9" i="2"/>
  <c r="AH9" i="2"/>
  <c r="AI9" i="2"/>
  <c r="AJ9" i="2"/>
  <c r="AK9" i="2"/>
  <c r="AM9" i="2"/>
  <c r="AN9" i="2"/>
  <c r="AO9" i="2"/>
  <c r="AG10" i="2"/>
  <c r="AH10" i="2"/>
  <c r="AI10" i="2"/>
  <c r="AJ10" i="2"/>
  <c r="AK10" i="2"/>
  <c r="AM10" i="2"/>
  <c r="AN10" i="2"/>
  <c r="AO10" i="2"/>
  <c r="AG11" i="2"/>
  <c r="AH11" i="2"/>
  <c r="AI11" i="2"/>
  <c r="AJ11" i="2"/>
  <c r="AK11" i="2"/>
  <c r="AM11" i="2"/>
  <c r="AN11" i="2"/>
  <c r="AO11" i="2"/>
  <c r="AG12" i="2"/>
  <c r="AH12" i="2"/>
  <c r="AI12" i="2"/>
  <c r="AJ12" i="2"/>
  <c r="AK12" i="2"/>
  <c r="AM12" i="2"/>
  <c r="AN12" i="2"/>
  <c r="AO12" i="2"/>
  <c r="AG13" i="2"/>
  <c r="AH13" i="2"/>
  <c r="AI13" i="2"/>
  <c r="AJ13" i="2"/>
  <c r="AK13" i="2"/>
  <c r="AM13" i="2"/>
  <c r="AN13" i="2"/>
  <c r="AO13" i="2"/>
</calcChain>
</file>

<file path=xl/sharedStrings.xml><?xml version="1.0" encoding="utf-8"?>
<sst xmlns="http://schemas.openxmlformats.org/spreadsheetml/2006/main" count="288" uniqueCount="28">
  <si>
    <t>P</t>
  </si>
  <si>
    <t>A</t>
  </si>
  <si>
    <t>H</t>
  </si>
  <si>
    <t>L</t>
  </si>
  <si>
    <t>Yatin</t>
  </si>
  <si>
    <t>Yaksh</t>
  </si>
  <si>
    <t xml:space="preserve">Vishwas </t>
  </si>
  <si>
    <t>Uma</t>
  </si>
  <si>
    <t>Naman</t>
  </si>
  <si>
    <t>Kamal</t>
  </si>
  <si>
    <t>Jayash</t>
  </si>
  <si>
    <t>Jatin</t>
  </si>
  <si>
    <t>Aryan</t>
  </si>
  <si>
    <t>Aaditya</t>
  </si>
  <si>
    <t>Net Salary</t>
  </si>
  <si>
    <t>PF 12%</t>
  </si>
  <si>
    <t>Gross Salary</t>
  </si>
  <si>
    <t>Salary</t>
  </si>
  <si>
    <t>Total Days</t>
  </si>
  <si>
    <t>Leave Days</t>
  </si>
  <si>
    <t>Half Day</t>
  </si>
  <si>
    <t>Absent</t>
  </si>
  <si>
    <t>Present</t>
  </si>
  <si>
    <t>sun</t>
  </si>
  <si>
    <t>Name</t>
  </si>
  <si>
    <t>December</t>
  </si>
  <si>
    <t>ATTENDANCE SHEET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</si>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</sst>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1"/>
      <color theme="1"/>
      <name val="Arial Black"/>
      <family val="2"/>
    </font>
    <font>
      <b/>
      <i/>
      <sz val="14"/>
      <color theme="1"/>
      <name val="Goudy Old Style"/>
      <family val="1"/>
    </font>
    <font>
      <b/>
      <i/>
      <u val="double"/>
      <sz val="11"/>
      <color theme="1"/>
      <name val="Calibri"/>
      <family val="2"/>
      <scheme val="minor"/>
    </font>
    <font>
      <b/>
      <i/>
      <u val="double"/>
      <sz val="26"/>
      <color rgb="FF002060"/>
      <name val="Algerian"/>
      <family val="5"/>
    </font>
    <font>
      <b/>
      <i/>
      <u val="double"/>
      <sz val="26"/>
      <color theme="1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0" borderId="7" xfId="0" applyBorder="1"/>
    <xf numFmtId="0" fontId="2" fillId="3" borderId="3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2" borderId="15" xfId="0" applyFill="1" applyBorder="1"/>
    <xf numFmtId="0" fontId="0" fillId="0" borderId="16" xfId="0" applyBorder="1"/>
    <xf numFmtId="0" fontId="2" fillId="3" borderId="12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0" fillId="0" borderId="22" xfId="0" applyBorder="1"/>
    <xf numFmtId="0" fontId="2" fillId="3" borderId="18" xfId="0" applyFont="1" applyFill="1" applyBorder="1"/>
    <xf numFmtId="0" fontId="0" fillId="4" borderId="2" xfId="0" applyFill="1" applyBorder="1"/>
    <xf numFmtId="0" fontId="0" fillId="4" borderId="23" xfId="0" applyFill="1" applyBorder="1"/>
    <xf numFmtId="0" fontId="0" fillId="4" borderId="15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5" borderId="28" xfId="0" applyFill="1" applyBorder="1"/>
    <xf numFmtId="0" fontId="0" fillId="5" borderId="29" xfId="0" applyFill="1" applyBorder="1"/>
    <xf numFmtId="0" fontId="0" fillId="6" borderId="15" xfId="0" applyFill="1" applyBorder="1"/>
    <xf numFmtId="0" fontId="0" fillId="5" borderId="26" xfId="0" applyFill="1" applyBorder="1"/>
    <xf numFmtId="0" fontId="0" fillId="7" borderId="30" xfId="0" applyFill="1" applyBorder="1"/>
    <xf numFmtId="0" fontId="0" fillId="8" borderId="31" xfId="0" applyFill="1" applyBorder="1"/>
    <xf numFmtId="0" fontId="0" fillId="8" borderId="32" xfId="0" applyFill="1" applyBorder="1"/>
    <xf numFmtId="0" fontId="0" fillId="8" borderId="23" xfId="0" applyFill="1" applyBorder="1"/>
    <xf numFmtId="0" fontId="3" fillId="9" borderId="33" xfId="0" applyFont="1" applyFill="1" applyBorder="1"/>
    <xf numFmtId="0" fontId="0" fillId="8" borderId="34" xfId="0" applyFill="1" applyBorder="1"/>
    <xf numFmtId="0" fontId="0" fillId="8" borderId="35" xfId="0" applyFill="1" applyBorder="1"/>
    <xf numFmtId="0" fontId="4" fillId="8" borderId="35" xfId="0" applyFont="1" applyFill="1" applyBorder="1"/>
    <xf numFmtId="0" fontId="5" fillId="8" borderId="35" xfId="0" applyFont="1" applyFill="1" applyBorder="1"/>
    <xf numFmtId="0" fontId="6" fillId="8" borderId="35" xfId="0" applyFont="1" applyFill="1" applyBorder="1"/>
    <xf numFmtId="0" fontId="0" fillId="8" borderId="0" xfId="0" applyFill="1"/>
    <xf numFmtId="0" fontId="0" fillId="8" borderId="36" xfId="0" applyFill="1" applyBorder="1"/>
    <xf numFmtId="0" fontId="3" fillId="9" borderId="36" xfId="0" applyFont="1" applyFill="1" applyBorder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theme="5" tint="-0.24994659260841701"/>
      </font>
    </dxf>
    <dxf>
      <font>
        <color rgb="FFFF0000"/>
      </font>
      <fill>
        <patternFill>
          <bgColor rgb="FFFF5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8FF7-8063-4CC6-89A5-F95AA7BBB0F1}">
  <dimension ref="A1:AO13"/>
  <sheetViews>
    <sheetView tabSelected="1" zoomScale="85" workbookViewId="0">
      <pane xSplit="1" topLeftCell="B1" activePane="topRight" state="frozen"/>
      <selection pane="topRight" activeCell="A4" sqref="A4:A13"/>
    </sheetView>
  </sheetViews>
  <sheetFormatPr defaultRowHeight="14.5" x14ac:dyDescent="0.35"/>
  <cols>
    <col min="1" max="1" width="12.54296875" customWidth="1"/>
    <col min="2" max="2" width="3.90625" bestFit="1" customWidth="1"/>
    <col min="3" max="3" width="2.08984375" bestFit="1" customWidth="1"/>
    <col min="4" max="4" width="2.26953125" bestFit="1" customWidth="1"/>
    <col min="5" max="5" width="2" bestFit="1" customWidth="1"/>
    <col min="6" max="6" width="2.08984375" bestFit="1" customWidth="1"/>
    <col min="7" max="7" width="2" bestFit="1" customWidth="1"/>
    <col min="8" max="8" width="2.08984375" bestFit="1" customWidth="1"/>
    <col min="9" max="9" width="3.90625" bestFit="1" customWidth="1"/>
    <col min="10" max="10" width="2" bestFit="1" customWidth="1"/>
    <col min="11" max="15" width="3.08984375" bestFit="1" customWidth="1"/>
    <col min="16" max="16" width="3.90625" bestFit="1" customWidth="1"/>
    <col min="17" max="22" width="3.08984375" bestFit="1" customWidth="1"/>
    <col min="23" max="23" width="3.90625" bestFit="1" customWidth="1"/>
    <col min="24" max="29" width="3.08984375" bestFit="1" customWidth="1"/>
    <col min="30" max="30" width="3.90625" bestFit="1" customWidth="1"/>
    <col min="31" max="32" width="3.08984375" bestFit="1" customWidth="1"/>
    <col min="33" max="33" width="7.36328125" bestFit="1" customWidth="1"/>
    <col min="34" max="34" width="6.81640625" bestFit="1" customWidth="1"/>
    <col min="35" max="35" width="8" bestFit="1" customWidth="1"/>
    <col min="36" max="36" width="10.26953125" bestFit="1" customWidth="1"/>
    <col min="37" max="37" width="9.6328125" bestFit="1" customWidth="1"/>
    <col min="38" max="38" width="6.90625" bestFit="1" customWidth="1"/>
    <col min="39" max="39" width="11.26953125" bestFit="1" customWidth="1"/>
    <col min="40" max="40" width="7.08984375" bestFit="1" customWidth="1"/>
    <col min="41" max="41" width="9.36328125" bestFit="1" customWidth="1"/>
  </cols>
  <sheetData>
    <row r="1" spans="1:41" ht="37.5" x14ac:dyDescent="0.9">
      <c r="A1" s="50" t="s">
        <v>27</v>
      </c>
      <c r="B1" s="49"/>
      <c r="C1" s="44"/>
      <c r="D1" s="44"/>
      <c r="E1" s="44"/>
      <c r="F1" s="44"/>
      <c r="G1" s="44"/>
      <c r="H1" s="44"/>
      <c r="I1" s="45"/>
      <c r="J1" s="44"/>
      <c r="K1" s="44"/>
      <c r="L1" s="44"/>
      <c r="M1" s="44"/>
      <c r="N1" s="44"/>
      <c r="O1" s="44"/>
      <c r="P1" s="48"/>
      <c r="Q1" s="48"/>
      <c r="R1" s="48"/>
      <c r="S1" s="45"/>
      <c r="T1" s="47" t="s">
        <v>26</v>
      </c>
      <c r="U1" s="47"/>
      <c r="V1" s="47"/>
      <c r="W1" s="47"/>
      <c r="X1" s="47"/>
      <c r="Y1" s="46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4"/>
      <c r="AL1" s="44"/>
      <c r="AM1" s="44"/>
      <c r="AN1" s="44"/>
      <c r="AO1" s="43"/>
    </row>
    <row r="2" spans="1:41" ht="18.5" thickBot="1" x14ac:dyDescent="0.45">
      <c r="A2" s="42" t="s">
        <v>25</v>
      </c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9"/>
    </row>
    <row r="3" spans="1:41" ht="15" thickBot="1" x14ac:dyDescent="0.4">
      <c r="A3" s="38" t="s">
        <v>24</v>
      </c>
      <c r="B3" s="36" t="s">
        <v>23</v>
      </c>
      <c r="C3" s="35">
        <v>2</v>
      </c>
      <c r="D3" s="37">
        <v>3</v>
      </c>
      <c r="E3" s="37">
        <v>4</v>
      </c>
      <c r="F3" s="37">
        <v>5</v>
      </c>
      <c r="G3" s="37">
        <v>6</v>
      </c>
      <c r="H3" s="34">
        <v>7</v>
      </c>
      <c r="I3" s="36" t="s">
        <v>23</v>
      </c>
      <c r="J3" s="35">
        <v>9</v>
      </c>
      <c r="K3" s="37">
        <v>10</v>
      </c>
      <c r="L3" s="37">
        <v>11</v>
      </c>
      <c r="M3" s="37">
        <v>12</v>
      </c>
      <c r="N3" s="37">
        <v>13</v>
      </c>
      <c r="O3" s="34">
        <v>14</v>
      </c>
      <c r="P3" s="36" t="s">
        <v>23</v>
      </c>
      <c r="Q3" s="35">
        <v>16</v>
      </c>
      <c r="R3" s="37">
        <v>17</v>
      </c>
      <c r="S3" s="37">
        <v>18</v>
      </c>
      <c r="T3" s="37">
        <v>19</v>
      </c>
      <c r="U3" s="37">
        <v>20</v>
      </c>
      <c r="V3" s="34">
        <v>21</v>
      </c>
      <c r="W3" s="36" t="s">
        <v>23</v>
      </c>
      <c r="X3" s="35">
        <v>23</v>
      </c>
      <c r="Y3" s="37">
        <v>24</v>
      </c>
      <c r="Z3" s="37">
        <v>25</v>
      </c>
      <c r="AA3" s="37">
        <v>26</v>
      </c>
      <c r="AB3" s="37">
        <v>27</v>
      </c>
      <c r="AC3" s="34">
        <v>28</v>
      </c>
      <c r="AD3" s="36" t="s">
        <v>23</v>
      </c>
      <c r="AE3" s="35">
        <v>30</v>
      </c>
      <c r="AF3" s="34">
        <v>31</v>
      </c>
      <c r="AG3" s="33" t="s">
        <v>22</v>
      </c>
      <c r="AH3" s="32" t="s">
        <v>21</v>
      </c>
      <c r="AI3" s="32" t="s">
        <v>20</v>
      </c>
      <c r="AJ3" s="31" t="s">
        <v>19</v>
      </c>
      <c r="AK3" s="30" t="s">
        <v>18</v>
      </c>
      <c r="AL3" s="29" t="s">
        <v>17</v>
      </c>
      <c r="AM3" s="27" t="s">
        <v>16</v>
      </c>
      <c r="AN3" s="28" t="s">
        <v>15</v>
      </c>
      <c r="AO3" s="27" t="s">
        <v>14</v>
      </c>
    </row>
    <row r="4" spans="1:41" ht="17" x14ac:dyDescent="0.5">
      <c r="A4" s="26" t="s">
        <v>13</v>
      </c>
      <c r="B4" s="24"/>
      <c r="C4" s="23" t="s">
        <v>0</v>
      </c>
      <c r="D4" s="25" t="s">
        <v>0</v>
      </c>
      <c r="E4" s="25" t="s">
        <v>0</v>
      </c>
      <c r="F4" s="25" t="s">
        <v>0</v>
      </c>
      <c r="G4" s="25" t="s">
        <v>0</v>
      </c>
      <c r="H4" s="22" t="s">
        <v>0</v>
      </c>
      <c r="I4" s="24"/>
      <c r="J4" s="23" t="s">
        <v>0</v>
      </c>
      <c r="K4" s="25" t="s">
        <v>3</v>
      </c>
      <c r="L4" s="25" t="s">
        <v>0</v>
      </c>
      <c r="M4" s="25" t="s">
        <v>0</v>
      </c>
      <c r="N4" s="25" t="s">
        <v>0</v>
      </c>
      <c r="O4" s="22" t="s">
        <v>0</v>
      </c>
      <c r="P4" s="24"/>
      <c r="Q4" s="23" t="s">
        <v>0</v>
      </c>
      <c r="R4" s="25" t="s">
        <v>1</v>
      </c>
      <c r="S4" s="25" t="s">
        <v>0</v>
      </c>
      <c r="T4" s="25" t="s">
        <v>0</v>
      </c>
      <c r="U4" s="25" t="s">
        <v>0</v>
      </c>
      <c r="V4" s="22" t="s">
        <v>0</v>
      </c>
      <c r="W4" s="24"/>
      <c r="X4" s="23" t="s">
        <v>2</v>
      </c>
      <c r="Y4" s="25" t="s">
        <v>0</v>
      </c>
      <c r="Z4" s="25" t="s">
        <v>0</v>
      </c>
      <c r="AA4" s="25" t="s">
        <v>0</v>
      </c>
      <c r="AB4" s="25" t="s">
        <v>0</v>
      </c>
      <c r="AC4" s="22" t="s">
        <v>0</v>
      </c>
      <c r="AD4" s="24"/>
      <c r="AE4" s="23" t="s">
        <v>0</v>
      </c>
      <c r="AF4" s="22" t="s">
        <v>0</v>
      </c>
      <c r="AG4" s="21">
        <f>COUNTIF(C4:AF4,"P")</f>
        <v>23</v>
      </c>
      <c r="AH4" s="20">
        <f>COUNTIF(C4:AF4,"A")</f>
        <v>1</v>
      </c>
      <c r="AI4" s="12">
        <f>COUNTIF(C4:AF4,"H")</f>
        <v>1</v>
      </c>
      <c r="AJ4" s="20">
        <f>COUNTIF(C4:AF4,"L")</f>
        <v>1</v>
      </c>
      <c r="AK4" s="12">
        <f>COUNTA(C4:AF4)+COUNTBLANK(B4:AF4)</f>
        <v>31</v>
      </c>
      <c r="AL4" s="20">
        <v>12728</v>
      </c>
      <c r="AM4" s="20">
        <f>(AL4/AK4)*(AG4+AJ4)+(1/2)*(AL4/AK4)*AI4</f>
        <v>10059.225806451614</v>
      </c>
      <c r="AN4" s="20">
        <f>AL4*(12/100)</f>
        <v>1527.36</v>
      </c>
      <c r="AO4" s="10">
        <f>AM4-AN4</f>
        <v>8531.865806451613</v>
      </c>
    </row>
    <row r="5" spans="1:41" ht="17" x14ac:dyDescent="0.5">
      <c r="A5" s="19" t="s">
        <v>12</v>
      </c>
      <c r="B5" s="17"/>
      <c r="C5" s="16" t="s">
        <v>0</v>
      </c>
      <c r="D5" s="18" t="s">
        <v>0</v>
      </c>
      <c r="E5" s="18" t="s">
        <v>0</v>
      </c>
      <c r="F5" s="18" t="s">
        <v>0</v>
      </c>
      <c r="G5" s="18" t="s">
        <v>0</v>
      </c>
      <c r="H5" s="15" t="s">
        <v>0</v>
      </c>
      <c r="I5" s="17"/>
      <c r="J5" s="16" t="s">
        <v>0</v>
      </c>
      <c r="K5" s="18" t="s">
        <v>0</v>
      </c>
      <c r="L5" s="18" t="s">
        <v>0</v>
      </c>
      <c r="M5" s="18" t="s">
        <v>0</v>
      </c>
      <c r="N5" s="18" t="s">
        <v>0</v>
      </c>
      <c r="O5" s="15" t="s">
        <v>0</v>
      </c>
      <c r="P5" s="17"/>
      <c r="Q5" s="16" t="s">
        <v>0</v>
      </c>
      <c r="R5" s="18" t="s">
        <v>0</v>
      </c>
      <c r="S5" s="18" t="s">
        <v>0</v>
      </c>
      <c r="T5" s="18" t="s">
        <v>0</v>
      </c>
      <c r="U5" s="18" t="s">
        <v>0</v>
      </c>
      <c r="V5" s="15" t="s">
        <v>0</v>
      </c>
      <c r="W5" s="17"/>
      <c r="X5" s="16" t="s">
        <v>0</v>
      </c>
      <c r="Y5" s="18" t="s">
        <v>0</v>
      </c>
      <c r="Z5" s="18" t="s">
        <v>0</v>
      </c>
      <c r="AA5" s="18" t="s">
        <v>0</v>
      </c>
      <c r="AB5" s="18" t="s">
        <v>0</v>
      </c>
      <c r="AC5" s="15" t="s">
        <v>0</v>
      </c>
      <c r="AD5" s="17"/>
      <c r="AE5" s="16" t="s">
        <v>0</v>
      </c>
      <c r="AF5" s="15" t="s">
        <v>0</v>
      </c>
      <c r="AG5" s="14">
        <f>COUNTIF(C5:AF5,"P")</f>
        <v>26</v>
      </c>
      <c r="AH5" s="11">
        <f>COUNTIF(C5:AF5,"A")</f>
        <v>0</v>
      </c>
      <c r="AI5" s="13">
        <f>COUNTIF(C5:AF5,"H")</f>
        <v>0</v>
      </c>
      <c r="AJ5" s="11">
        <f>COUNTIF(C5:AF5,"L")</f>
        <v>0</v>
      </c>
      <c r="AK5" s="12">
        <f>COUNTA(C5:AF5)+COUNTBLANK(B5:AF5)</f>
        <v>31</v>
      </c>
      <c r="AL5" s="11">
        <v>19717</v>
      </c>
      <c r="AM5" s="10">
        <f>(AL5/AK5)*(AG5+AJ5)+(1/2)*(AL5/AK5)*AI5</f>
        <v>16536.838709677417</v>
      </c>
      <c r="AN5" s="10">
        <f>AL5*(12/100)</f>
        <v>2366.04</v>
      </c>
      <c r="AO5" s="10">
        <f>AM5-AN5</f>
        <v>14170.798709677416</v>
      </c>
    </row>
    <row r="6" spans="1:41" ht="17" x14ac:dyDescent="0.5">
      <c r="A6" s="19" t="s">
        <v>11</v>
      </c>
      <c r="B6" s="17"/>
      <c r="C6" s="16" t="s">
        <v>0</v>
      </c>
      <c r="D6" s="18" t="s">
        <v>2</v>
      </c>
      <c r="E6" s="18" t="s">
        <v>0</v>
      </c>
      <c r="F6" s="18" t="s">
        <v>0</v>
      </c>
      <c r="G6" s="18" t="s">
        <v>0</v>
      </c>
      <c r="H6" s="15" t="s">
        <v>0</v>
      </c>
      <c r="I6" s="17"/>
      <c r="J6" s="16" t="s">
        <v>0</v>
      </c>
      <c r="K6" s="18" t="s">
        <v>0</v>
      </c>
      <c r="L6" s="18" t="s">
        <v>0</v>
      </c>
      <c r="M6" s="18" t="s">
        <v>0</v>
      </c>
      <c r="N6" s="18" t="s">
        <v>0</v>
      </c>
      <c r="O6" s="15" t="s">
        <v>0</v>
      </c>
      <c r="P6" s="17"/>
      <c r="Q6" s="16" t="s">
        <v>0</v>
      </c>
      <c r="R6" s="18" t="s">
        <v>0</v>
      </c>
      <c r="S6" s="18" t="s">
        <v>0</v>
      </c>
      <c r="T6" s="18" t="s">
        <v>0</v>
      </c>
      <c r="U6" s="18" t="s">
        <v>0</v>
      </c>
      <c r="V6" s="15" t="s">
        <v>0</v>
      </c>
      <c r="W6" s="17"/>
      <c r="X6" s="16" t="s">
        <v>0</v>
      </c>
      <c r="Y6" s="18" t="s">
        <v>0</v>
      </c>
      <c r="Z6" s="18" t="s">
        <v>0</v>
      </c>
      <c r="AA6" s="18" t="s">
        <v>0</v>
      </c>
      <c r="AB6" s="18" t="s">
        <v>1</v>
      </c>
      <c r="AC6" s="15" t="s">
        <v>0</v>
      </c>
      <c r="AD6" s="17"/>
      <c r="AE6" s="16" t="s">
        <v>0</v>
      </c>
      <c r="AF6" s="15" t="s">
        <v>0</v>
      </c>
      <c r="AG6" s="14">
        <f>COUNTIF(C6:AF6,"P")</f>
        <v>24</v>
      </c>
      <c r="AH6" s="11">
        <f>COUNTIF(C6:AF6,"A")</f>
        <v>1</v>
      </c>
      <c r="AI6" s="13">
        <f>COUNTIF(C6:AF6,"H")</f>
        <v>1</v>
      </c>
      <c r="AJ6" s="11">
        <f>COUNTIF(C6:AF6,"L")</f>
        <v>0</v>
      </c>
      <c r="AK6" s="12">
        <f>COUNTA(C6:AF6)+COUNTBLANK(B6:AF6)</f>
        <v>31</v>
      </c>
      <c r="AL6" s="11">
        <v>12057</v>
      </c>
      <c r="AM6" s="10">
        <f>(AL6/AK6)*(AG6+AJ6)+(1/2)*(AL6/AK6)*AI6</f>
        <v>9528.9193548387084</v>
      </c>
      <c r="AN6" s="10">
        <f>AL6*(12/100)</f>
        <v>1446.84</v>
      </c>
      <c r="AO6" s="10">
        <f>AM6-AN6</f>
        <v>8082.0793548387082</v>
      </c>
    </row>
    <row r="7" spans="1:41" ht="17" x14ac:dyDescent="0.5">
      <c r="A7" s="19" t="s">
        <v>10</v>
      </c>
      <c r="B7" s="17"/>
      <c r="C7" s="16" t="s">
        <v>0</v>
      </c>
      <c r="D7" s="18" t="s">
        <v>0</v>
      </c>
      <c r="E7" s="18" t="s">
        <v>0</v>
      </c>
      <c r="F7" s="18" t="s">
        <v>1</v>
      </c>
      <c r="G7" s="18" t="s">
        <v>0</v>
      </c>
      <c r="H7" s="15" t="s">
        <v>0</v>
      </c>
      <c r="I7" s="17"/>
      <c r="J7" s="16" t="s">
        <v>0</v>
      </c>
      <c r="K7" s="18" t="s">
        <v>0</v>
      </c>
      <c r="L7" s="18" t="s">
        <v>0</v>
      </c>
      <c r="M7" s="18" t="s">
        <v>0</v>
      </c>
      <c r="N7" s="18" t="s">
        <v>0</v>
      </c>
      <c r="O7" s="15" t="s">
        <v>0</v>
      </c>
      <c r="P7" s="17"/>
      <c r="Q7" s="16" t="s">
        <v>0</v>
      </c>
      <c r="R7" s="18" t="s">
        <v>3</v>
      </c>
      <c r="S7" s="18" t="s">
        <v>1</v>
      </c>
      <c r="T7" s="18" t="s">
        <v>0</v>
      </c>
      <c r="U7" s="18" t="s">
        <v>0</v>
      </c>
      <c r="V7" s="15" t="s">
        <v>0</v>
      </c>
      <c r="W7" s="17"/>
      <c r="X7" s="16" t="s">
        <v>0</v>
      </c>
      <c r="Y7" s="18" t="s">
        <v>0</v>
      </c>
      <c r="Z7" s="18" t="s">
        <v>0</v>
      </c>
      <c r="AA7" s="18" t="s">
        <v>0</v>
      </c>
      <c r="AB7" s="18" t="s">
        <v>0</v>
      </c>
      <c r="AC7" s="15" t="s">
        <v>0</v>
      </c>
      <c r="AD7" s="17"/>
      <c r="AE7" s="16" t="s">
        <v>0</v>
      </c>
      <c r="AF7" s="15" t="s">
        <v>0</v>
      </c>
      <c r="AG7" s="14">
        <f>COUNTIF(C7:AF7,"P")</f>
        <v>23</v>
      </c>
      <c r="AH7" s="11">
        <f>COUNTIF(C7:AF7,"A")</f>
        <v>2</v>
      </c>
      <c r="AI7" s="13">
        <f>COUNTIF(C7:AF7,"H")</f>
        <v>0</v>
      </c>
      <c r="AJ7" s="11">
        <f>COUNTIF(C7:AF7,"L")</f>
        <v>1</v>
      </c>
      <c r="AK7" s="12">
        <f>COUNTA(C7:AF7)+COUNTBLANK(B7:AF7)</f>
        <v>31</v>
      </c>
      <c r="AL7" s="11">
        <v>11312</v>
      </c>
      <c r="AM7" s="10">
        <f>(AL7/AK7)*(AG7+AJ7)+(1/2)*(AL7/AK7)*AI7</f>
        <v>8757.6774193548372</v>
      </c>
      <c r="AN7" s="10">
        <f>AL7*(12/100)</f>
        <v>1357.44</v>
      </c>
      <c r="AO7" s="10">
        <f>AM7-AN7</f>
        <v>7400.2374193548367</v>
      </c>
    </row>
    <row r="8" spans="1:41" ht="17" x14ac:dyDescent="0.5">
      <c r="A8" s="19" t="s">
        <v>9</v>
      </c>
      <c r="B8" s="17"/>
      <c r="C8" s="16" t="s">
        <v>0</v>
      </c>
      <c r="D8" s="18" t="s">
        <v>0</v>
      </c>
      <c r="E8" s="18" t="s">
        <v>0</v>
      </c>
      <c r="F8" s="18" t="s">
        <v>0</v>
      </c>
      <c r="G8" s="18" t="s">
        <v>0</v>
      </c>
      <c r="H8" s="15" t="s">
        <v>0</v>
      </c>
      <c r="I8" s="17"/>
      <c r="J8" s="16" t="s">
        <v>0</v>
      </c>
      <c r="K8" s="18" t="s">
        <v>0</v>
      </c>
      <c r="L8" s="18" t="s">
        <v>0</v>
      </c>
      <c r="M8" s="18" t="s">
        <v>0</v>
      </c>
      <c r="N8" s="18" t="s">
        <v>0</v>
      </c>
      <c r="O8" s="15" t="s">
        <v>1</v>
      </c>
      <c r="P8" s="17"/>
      <c r="Q8" s="16" t="s">
        <v>0</v>
      </c>
      <c r="R8" s="18" t="s">
        <v>0</v>
      </c>
      <c r="S8" s="18" t="s">
        <v>0</v>
      </c>
      <c r="T8" s="18" t="s">
        <v>0</v>
      </c>
      <c r="U8" s="18" t="s">
        <v>0</v>
      </c>
      <c r="V8" s="15" t="s">
        <v>0</v>
      </c>
      <c r="W8" s="17"/>
      <c r="X8" s="16" t="s">
        <v>0</v>
      </c>
      <c r="Y8" s="18" t="s">
        <v>0</v>
      </c>
      <c r="Z8" s="18" t="s">
        <v>0</v>
      </c>
      <c r="AA8" s="18" t="s">
        <v>0</v>
      </c>
      <c r="AB8" s="18" t="s">
        <v>0</v>
      </c>
      <c r="AC8" s="15" t="s">
        <v>0</v>
      </c>
      <c r="AD8" s="17"/>
      <c r="AE8" s="16" t="s">
        <v>0</v>
      </c>
      <c r="AF8" s="15" t="s">
        <v>0</v>
      </c>
      <c r="AG8" s="14">
        <f>COUNTIF(C8:AF8,"P")</f>
        <v>25</v>
      </c>
      <c r="AH8" s="11">
        <f>COUNTIF(C8:AF8,"A")</f>
        <v>1</v>
      </c>
      <c r="AI8" s="13">
        <f>COUNTIF(C8:AF8,"H")</f>
        <v>0</v>
      </c>
      <c r="AJ8" s="11">
        <f>COUNTIF(C8:AF8,"L")</f>
        <v>0</v>
      </c>
      <c r="AK8" s="12">
        <f>COUNTA(C8:AF8)+COUNTBLANK(B8:AF8)</f>
        <v>31</v>
      </c>
      <c r="AL8" s="11">
        <v>12440</v>
      </c>
      <c r="AM8" s="10">
        <f>(AL8/AK8)*(AG8+AJ8)+(1/2)*(AL8/AK8)*AI8</f>
        <v>10032.258064516129</v>
      </c>
      <c r="AN8" s="10">
        <f>AL8*(12/100)</f>
        <v>1492.8</v>
      </c>
      <c r="AO8" s="10">
        <f>AM8-AN8</f>
        <v>8539.4580645161295</v>
      </c>
    </row>
    <row r="9" spans="1:41" ht="17" x14ac:dyDescent="0.5">
      <c r="A9" s="19" t="s">
        <v>8</v>
      </c>
      <c r="B9" s="17"/>
      <c r="C9" s="16" t="s">
        <v>0</v>
      </c>
      <c r="D9" s="18" t="s">
        <v>0</v>
      </c>
      <c r="E9" s="18" t="s">
        <v>0</v>
      </c>
      <c r="F9" s="18" t="s">
        <v>0</v>
      </c>
      <c r="G9" s="18" t="s">
        <v>0</v>
      </c>
      <c r="H9" s="15" t="s">
        <v>0</v>
      </c>
      <c r="I9" s="17"/>
      <c r="J9" s="16" t="s">
        <v>0</v>
      </c>
      <c r="K9" s="18" t="s">
        <v>0</v>
      </c>
      <c r="L9" s="18" t="s">
        <v>0</v>
      </c>
      <c r="M9" s="18" t="s">
        <v>0</v>
      </c>
      <c r="N9" s="18" t="s">
        <v>0</v>
      </c>
      <c r="O9" s="15" t="s">
        <v>0</v>
      </c>
      <c r="P9" s="17"/>
      <c r="Q9" s="16" t="s">
        <v>0</v>
      </c>
      <c r="R9" s="18" t="s">
        <v>0</v>
      </c>
      <c r="S9" s="18" t="s">
        <v>0</v>
      </c>
      <c r="T9" s="18" t="s">
        <v>0</v>
      </c>
      <c r="U9" s="18" t="s">
        <v>0</v>
      </c>
      <c r="V9" s="15" t="s">
        <v>0</v>
      </c>
      <c r="W9" s="17"/>
      <c r="X9" s="16" t="s">
        <v>0</v>
      </c>
      <c r="Y9" s="18" t="s">
        <v>0</v>
      </c>
      <c r="Z9" s="18" t="s">
        <v>0</v>
      </c>
      <c r="AA9" s="18" t="s">
        <v>0</v>
      </c>
      <c r="AB9" s="18" t="s">
        <v>0</v>
      </c>
      <c r="AC9" s="15" t="s">
        <v>0</v>
      </c>
      <c r="AD9" s="17"/>
      <c r="AE9" s="16" t="s">
        <v>0</v>
      </c>
      <c r="AF9" s="15" t="s">
        <v>3</v>
      </c>
      <c r="AG9" s="14">
        <f>COUNTIF(C9:AF9,"P")</f>
        <v>25</v>
      </c>
      <c r="AH9" s="11">
        <f>COUNTIF(C9:AF9,"A")</f>
        <v>0</v>
      </c>
      <c r="AI9" s="13">
        <f>COUNTIF(C9:AF9,"H")</f>
        <v>0</v>
      </c>
      <c r="AJ9" s="11">
        <f>COUNTIF(C9:AF9,"L")</f>
        <v>1</v>
      </c>
      <c r="AK9" s="12">
        <f>COUNTA(C9:AF9)+COUNTBLANK(B9:AF9)</f>
        <v>31</v>
      </c>
      <c r="AL9" s="11">
        <v>18302</v>
      </c>
      <c r="AM9" s="10">
        <f>(AL9/AK9)*(AG9+AJ9)+(1/2)*(AL9/AK9)*AI9</f>
        <v>15350.064516129032</v>
      </c>
      <c r="AN9" s="10">
        <f>AL9*(12/100)</f>
        <v>2196.2399999999998</v>
      </c>
      <c r="AO9" s="10">
        <f>AM9-AN9</f>
        <v>13153.824516129032</v>
      </c>
    </row>
    <row r="10" spans="1:41" ht="17" x14ac:dyDescent="0.5">
      <c r="A10" s="19" t="s">
        <v>7</v>
      </c>
      <c r="B10" s="17"/>
      <c r="C10" s="16" t="s">
        <v>0</v>
      </c>
      <c r="D10" s="18" t="s">
        <v>0</v>
      </c>
      <c r="E10" s="18" t="s">
        <v>0</v>
      </c>
      <c r="F10" s="18" t="s">
        <v>0</v>
      </c>
      <c r="G10" s="18" t="s">
        <v>0</v>
      </c>
      <c r="H10" s="15" t="s">
        <v>0</v>
      </c>
      <c r="I10" s="17"/>
      <c r="J10" s="16" t="s">
        <v>3</v>
      </c>
      <c r="K10" s="18" t="s">
        <v>0</v>
      </c>
      <c r="L10" s="18" t="s">
        <v>0</v>
      </c>
      <c r="M10" s="18" t="s">
        <v>1</v>
      </c>
      <c r="N10" s="18" t="s">
        <v>3</v>
      </c>
      <c r="O10" s="15" t="s">
        <v>0</v>
      </c>
      <c r="P10" s="17"/>
      <c r="Q10" s="16" t="s">
        <v>0</v>
      </c>
      <c r="R10" s="18" t="s">
        <v>0</v>
      </c>
      <c r="S10" s="18" t="s">
        <v>0</v>
      </c>
      <c r="T10" s="18" t="s">
        <v>0</v>
      </c>
      <c r="U10" s="18" t="s">
        <v>0</v>
      </c>
      <c r="V10" s="15" t="s">
        <v>0</v>
      </c>
      <c r="W10" s="17"/>
      <c r="X10" s="16" t="s">
        <v>0</v>
      </c>
      <c r="Y10" s="18" t="s">
        <v>0</v>
      </c>
      <c r="Z10" s="18" t="s">
        <v>2</v>
      </c>
      <c r="AA10" s="18" t="s">
        <v>0</v>
      </c>
      <c r="AB10" s="18" t="s">
        <v>0</v>
      </c>
      <c r="AC10" s="15" t="s">
        <v>0</v>
      </c>
      <c r="AD10" s="17"/>
      <c r="AE10" s="16" t="s">
        <v>0</v>
      </c>
      <c r="AF10" s="15" t="s">
        <v>0</v>
      </c>
      <c r="AG10" s="14">
        <f>COUNTIF(C10:AF10,"P")</f>
        <v>22</v>
      </c>
      <c r="AH10" s="11">
        <f>COUNTIF(C10:AF10,"A")</f>
        <v>1</v>
      </c>
      <c r="AI10" s="13">
        <f>COUNTIF(C10:AF10,"H")</f>
        <v>1</v>
      </c>
      <c r="AJ10" s="11">
        <f>COUNTIF(C10:AF10,"L")</f>
        <v>2</v>
      </c>
      <c r="AK10" s="12">
        <f>COUNTA(C10:AF10)+COUNTBLANK(B10:AF10)</f>
        <v>31</v>
      </c>
      <c r="AL10" s="11">
        <v>12561</v>
      </c>
      <c r="AM10" s="10">
        <f>(AL10/AK10)*(AG10+AJ10)+(1/2)*(AL10/AK10)*AI10</f>
        <v>9927.2419354838712</v>
      </c>
      <c r="AN10" s="10">
        <f>AL10*(12/100)</f>
        <v>1507.32</v>
      </c>
      <c r="AO10" s="10">
        <f>AM10-AN10</f>
        <v>8419.9219354838715</v>
      </c>
    </row>
    <row r="11" spans="1:41" ht="17" x14ac:dyDescent="0.5">
      <c r="A11" s="19" t="s">
        <v>6</v>
      </c>
      <c r="B11" s="17"/>
      <c r="C11" s="16" t="s">
        <v>0</v>
      </c>
      <c r="D11" s="18" t="s">
        <v>0</v>
      </c>
      <c r="E11" s="18" t="s">
        <v>0</v>
      </c>
      <c r="F11" s="18" t="s">
        <v>0</v>
      </c>
      <c r="G11" s="18" t="s">
        <v>0</v>
      </c>
      <c r="H11" s="15" t="s">
        <v>0</v>
      </c>
      <c r="I11" s="17"/>
      <c r="J11" s="16" t="s">
        <v>0</v>
      </c>
      <c r="K11" s="18" t="s">
        <v>0</v>
      </c>
      <c r="L11" s="18" t="s">
        <v>3</v>
      </c>
      <c r="M11" s="18" t="s">
        <v>0</v>
      </c>
      <c r="N11" s="18" t="s">
        <v>0</v>
      </c>
      <c r="O11" s="15" t="s">
        <v>0</v>
      </c>
      <c r="P11" s="17"/>
      <c r="Q11" s="16" t="s">
        <v>0</v>
      </c>
      <c r="R11" s="18" t="s">
        <v>0</v>
      </c>
      <c r="S11" s="18" t="s">
        <v>0</v>
      </c>
      <c r="T11" s="18" t="s">
        <v>3</v>
      </c>
      <c r="U11" s="18" t="s">
        <v>0</v>
      </c>
      <c r="V11" s="15" t="s">
        <v>0</v>
      </c>
      <c r="W11" s="17"/>
      <c r="X11" s="16" t="s">
        <v>0</v>
      </c>
      <c r="Y11" s="18" t="s">
        <v>0</v>
      </c>
      <c r="Z11" s="18" t="s">
        <v>3</v>
      </c>
      <c r="AA11" s="18" t="s">
        <v>0</v>
      </c>
      <c r="AB11" s="18" t="s">
        <v>0</v>
      </c>
      <c r="AC11" s="15" t="s">
        <v>0</v>
      </c>
      <c r="AD11" s="17"/>
      <c r="AE11" s="16" t="s">
        <v>0</v>
      </c>
      <c r="AF11" s="15" t="s">
        <v>0</v>
      </c>
      <c r="AG11" s="14">
        <f>COUNTIF(C11:AF11,"P")</f>
        <v>23</v>
      </c>
      <c r="AH11" s="11">
        <f>COUNTIF(C11:AF11,"A")</f>
        <v>0</v>
      </c>
      <c r="AI11" s="13">
        <f>COUNTIF(C11:AF11,"H")</f>
        <v>0</v>
      </c>
      <c r="AJ11" s="11">
        <f>COUNTIF(C11:AF11,"L")</f>
        <v>3</v>
      </c>
      <c r="AK11" s="12">
        <f>COUNTA(C11:AF11)+COUNTBLANK(B11:AF11)</f>
        <v>31</v>
      </c>
      <c r="AL11" s="11">
        <v>17526</v>
      </c>
      <c r="AM11" s="10">
        <f>(AL11/AK11)*(AG11+AJ11)+(1/2)*(AL11/AK11)*AI11</f>
        <v>14699.225806451614</v>
      </c>
      <c r="AN11" s="10">
        <f>AL11*(12/100)</f>
        <v>2103.12</v>
      </c>
      <c r="AO11" s="10">
        <f>AM11-AN11</f>
        <v>12596.105806451615</v>
      </c>
    </row>
    <row r="12" spans="1:41" ht="17" x14ac:dyDescent="0.5">
      <c r="A12" s="19" t="s">
        <v>5</v>
      </c>
      <c r="B12" s="17"/>
      <c r="C12" s="16" t="s">
        <v>0</v>
      </c>
      <c r="D12" s="18" t="s">
        <v>0</v>
      </c>
      <c r="E12" s="18" t="s">
        <v>0</v>
      </c>
      <c r="F12" s="18" t="s">
        <v>0</v>
      </c>
      <c r="G12" s="18" t="s">
        <v>0</v>
      </c>
      <c r="H12" s="15" t="s">
        <v>0</v>
      </c>
      <c r="I12" s="17"/>
      <c r="J12" s="16" t="s">
        <v>0</v>
      </c>
      <c r="K12" s="18" t="s">
        <v>0</v>
      </c>
      <c r="L12" s="18" t="s">
        <v>0</v>
      </c>
      <c r="M12" s="18" t="s">
        <v>0</v>
      </c>
      <c r="N12" s="18" t="s">
        <v>2</v>
      </c>
      <c r="O12" s="15" t="s">
        <v>0</v>
      </c>
      <c r="P12" s="17"/>
      <c r="Q12" s="16" t="s">
        <v>0</v>
      </c>
      <c r="R12" s="18" t="s">
        <v>0</v>
      </c>
      <c r="S12" s="18" t="s">
        <v>0</v>
      </c>
      <c r="T12" s="18" t="s">
        <v>0</v>
      </c>
      <c r="U12" s="18" t="s">
        <v>0</v>
      </c>
      <c r="V12" s="15" t="s">
        <v>0</v>
      </c>
      <c r="W12" s="17"/>
      <c r="X12" s="16" t="s">
        <v>0</v>
      </c>
      <c r="Y12" s="18" t="s">
        <v>0</v>
      </c>
      <c r="Z12" s="18" t="s">
        <v>0</v>
      </c>
      <c r="AA12" s="18" t="s">
        <v>0</v>
      </c>
      <c r="AB12" s="18" t="s">
        <v>0</v>
      </c>
      <c r="AC12" s="15" t="s">
        <v>0</v>
      </c>
      <c r="AD12" s="17"/>
      <c r="AE12" s="16" t="s">
        <v>0</v>
      </c>
      <c r="AF12" s="15" t="s">
        <v>0</v>
      </c>
      <c r="AG12" s="14">
        <f>COUNTIF(C12:AF12,"P")</f>
        <v>25</v>
      </c>
      <c r="AH12" s="11">
        <f>COUNTIF(C12:AF12,"A")</f>
        <v>0</v>
      </c>
      <c r="AI12" s="13">
        <f>COUNTIF(C12:AF12,"H")</f>
        <v>1</v>
      </c>
      <c r="AJ12" s="11">
        <f>COUNTIF(C12:AF12,"L")</f>
        <v>0</v>
      </c>
      <c r="AK12" s="12">
        <f>COUNTA(C12:AF12)+COUNTBLANK(B12:AF12)</f>
        <v>31</v>
      </c>
      <c r="AL12" s="11">
        <v>12518</v>
      </c>
      <c r="AM12" s="10">
        <f>(AL12/AK12)*(AG12+AJ12)+(1/2)*(AL12/AK12)*AI12</f>
        <v>10297.064516129032</v>
      </c>
      <c r="AN12" s="10">
        <f>AL12*(12/100)</f>
        <v>1502.1599999999999</v>
      </c>
      <c r="AO12" s="10">
        <f>AM12-AN12</f>
        <v>8794.9045161290323</v>
      </c>
    </row>
    <row r="13" spans="1:41" ht="17.5" thickBot="1" x14ac:dyDescent="0.55000000000000004">
      <c r="A13" s="9" t="s">
        <v>4</v>
      </c>
      <c r="B13" s="7"/>
      <c r="C13" s="6" t="s">
        <v>1</v>
      </c>
      <c r="D13" s="8" t="s">
        <v>0</v>
      </c>
      <c r="E13" s="8" t="s">
        <v>0</v>
      </c>
      <c r="F13" s="8" t="s">
        <v>1</v>
      </c>
      <c r="G13" s="8" t="s">
        <v>0</v>
      </c>
      <c r="H13" s="5" t="s">
        <v>1</v>
      </c>
      <c r="I13" s="7"/>
      <c r="J13" s="6" t="s">
        <v>0</v>
      </c>
      <c r="K13" s="8" t="s">
        <v>3</v>
      </c>
      <c r="L13" s="8" t="s">
        <v>0</v>
      </c>
      <c r="M13" s="8" t="s">
        <v>3</v>
      </c>
      <c r="N13" s="8" t="s">
        <v>0</v>
      </c>
      <c r="O13" s="5" t="s">
        <v>1</v>
      </c>
      <c r="P13" s="7"/>
      <c r="Q13" s="6" t="s">
        <v>0</v>
      </c>
      <c r="R13" s="8" t="s">
        <v>0</v>
      </c>
      <c r="S13" s="8" t="s">
        <v>2</v>
      </c>
      <c r="T13" s="8" t="s">
        <v>0</v>
      </c>
      <c r="U13" s="8" t="s">
        <v>1</v>
      </c>
      <c r="V13" s="5" t="s">
        <v>0</v>
      </c>
      <c r="W13" s="7"/>
      <c r="X13" s="6" t="s">
        <v>0</v>
      </c>
      <c r="Y13" s="8" t="s">
        <v>2</v>
      </c>
      <c r="Z13" s="8" t="s">
        <v>1</v>
      </c>
      <c r="AA13" s="8" t="s">
        <v>0</v>
      </c>
      <c r="AB13" s="8" t="s">
        <v>0</v>
      </c>
      <c r="AC13" s="5" t="s">
        <v>0</v>
      </c>
      <c r="AD13" s="7"/>
      <c r="AE13" s="6" t="s">
        <v>1</v>
      </c>
      <c r="AF13" s="5" t="s">
        <v>0</v>
      </c>
      <c r="AG13" s="3">
        <f>COUNTIF(C13:AF13,"P")</f>
        <v>15</v>
      </c>
      <c r="AH13" s="1">
        <f>COUNTIF(C13:AF13,"A")</f>
        <v>7</v>
      </c>
      <c r="AI13" s="4">
        <f>COUNTIF(C13:AF13,"H")</f>
        <v>2</v>
      </c>
      <c r="AJ13" s="1">
        <f>COUNTIF(C13:AF13,"L")</f>
        <v>2</v>
      </c>
      <c r="AK13" s="3">
        <f>COUNTA(C13:AF13)+COUNTBLANK(B13:AF13)</f>
        <v>31</v>
      </c>
      <c r="AL13" s="1">
        <v>11991</v>
      </c>
      <c r="AM13" s="2">
        <f>(AL13/AK13)*(AG13+AJ13)+(1/2)*(AL13/AK13)*AI13</f>
        <v>6962.5161290322585</v>
      </c>
      <c r="AN13" s="2">
        <f>AL13*(12/100)</f>
        <v>1438.9199999999998</v>
      </c>
      <c r="AO13" s="1">
        <f>AM13-AN13</f>
        <v>5523.5961290322584</v>
      </c>
    </row>
  </sheetData>
  <conditionalFormatting sqref="C4:AF13">
    <cfRule type="containsText" dxfId="5" priority="3" operator="containsText" text="A">
      <formula>NOT(ISERROR(SEARCH("A",C4)))</formula>
    </cfRule>
    <cfRule type="containsText" dxfId="4" priority="5" operator="containsText" text="P">
      <formula>NOT(ISERROR(SEARCH("P",C4)))</formula>
    </cfRule>
    <cfRule type="containsText" dxfId="3" priority="6" operator="containsText" text="A">
      <formula>NOT(ISERROR(SEARCH("A",C4)))</formula>
    </cfRule>
  </conditionalFormatting>
  <conditionalFormatting sqref="C4:AK13">
    <cfRule type="containsText" dxfId="2" priority="4" operator="containsText" text="A">
      <formula>NOT(ISERROR(SEARCH("A",C4)))</formula>
    </cfRule>
  </conditionalFormatting>
  <conditionalFormatting sqref="C4:AO13">
    <cfRule type="containsText" dxfId="1" priority="1" operator="containsText" text="L">
      <formula>NOT(ISERROR(SEARCH("L",C4)))</formula>
    </cfRule>
    <cfRule type="containsText" dxfId="0" priority="2" operator="containsText" text="H">
      <formula>NOT(ISERROR(SEARCH("H",C4)))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Sharma</dc:creator>
  <cp:lastModifiedBy>Vishwas Sharma</cp:lastModifiedBy>
  <dcterms:created xsi:type="dcterms:W3CDTF">2026-09-11T17:39:14Z</dcterms:created>
  <dcterms:modified xsi:type="dcterms:W3CDTF">2026-09-11T17:43:25Z</dcterms:modified>
</cp:coreProperties>
</file>