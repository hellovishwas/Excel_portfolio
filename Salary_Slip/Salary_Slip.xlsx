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SHWAS SHARMA\Documents\Xcel_portfolio\Salary_Slip\"/>
    </mc:Choice>
  </mc:AlternateContent>
  <xr:revisionPtr revIDLastSave="0" documentId="13_ncr:1_{CB3783E0-7463-4D6B-8393-A6FEF21E2219}" xr6:coauthVersionLast="47" xr6:coauthVersionMax="47" xr10:uidLastSave="{00000000-0000-0000-0000-000000000000}"/>
  <bookViews>
    <workbookView xWindow="0" yWindow="10" windowWidth="19420" windowHeight="11020" firstSheet="3" activeTab="3" xr2:uid="{00000000-000D-0000-FFFF-FFFF00000000}"/>
  </bookViews>
  <sheets>
    <sheet name="Employee Master Table" sheetId="1" r:id="rId1"/>
    <sheet name="Salary Structure" sheetId="5" r:id="rId2"/>
    <sheet name="Employee data" sheetId="2" r:id="rId3"/>
    <sheet name="Salary Slip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2" l="1"/>
  <c r="A3" i="5"/>
  <c r="A4" i="5"/>
  <c r="A5" i="5"/>
  <c r="A6" i="5"/>
  <c r="F97" i="2" s="1"/>
  <c r="A7" i="5"/>
  <c r="I109" i="2" s="1"/>
  <c r="A8" i="5"/>
  <c r="I110" i="2" s="1"/>
  <c r="A9" i="5"/>
  <c r="F50" i="2" s="1"/>
  <c r="A10" i="5"/>
  <c r="A11" i="5"/>
  <c r="A2" i="5"/>
  <c r="D3" i="5"/>
  <c r="H13" i="2" s="1"/>
  <c r="D4" i="5"/>
  <c r="H54" i="2" s="1"/>
  <c r="D5" i="5"/>
  <c r="H15" i="2" s="1"/>
  <c r="D6" i="5"/>
  <c r="D7" i="5"/>
  <c r="H97" i="2" s="1"/>
  <c r="D8" i="5"/>
  <c r="D9" i="5"/>
  <c r="D10" i="5"/>
  <c r="D11" i="5"/>
  <c r="D2" i="5"/>
  <c r="H82" i="2" s="1"/>
  <c r="C3" i="5"/>
  <c r="G73" i="2" s="1"/>
  <c r="C4" i="5"/>
  <c r="G24" i="2" s="1"/>
  <c r="C5" i="5"/>
  <c r="G25" i="2" s="1"/>
  <c r="C6" i="5"/>
  <c r="G116" i="2" s="1"/>
  <c r="C7" i="5"/>
  <c r="C8" i="5"/>
  <c r="C9" i="5"/>
  <c r="C10" i="5"/>
  <c r="C11" i="5"/>
  <c r="C2" i="5"/>
  <c r="G32" i="2" s="1"/>
  <c r="I5" i="2"/>
  <c r="I6" i="2"/>
  <c r="I24" i="2"/>
  <c r="I25" i="2"/>
  <c r="I33" i="2"/>
  <c r="I34" i="2"/>
  <c r="I43" i="2"/>
  <c r="I44" i="2"/>
  <c r="I45" i="2"/>
  <c r="I62" i="2"/>
  <c r="I63" i="2"/>
  <c r="I64" i="2"/>
  <c r="I72" i="2"/>
  <c r="I73" i="2"/>
  <c r="I82" i="2"/>
  <c r="I83" i="2"/>
  <c r="I84" i="2"/>
  <c r="I95" i="2"/>
  <c r="I102" i="2"/>
  <c r="I103" i="2"/>
  <c r="I112" i="2"/>
  <c r="I118" i="2"/>
  <c r="G3" i="2"/>
  <c r="G4" i="2"/>
  <c r="G52" i="2"/>
  <c r="G65" i="2"/>
  <c r="G72" i="2"/>
  <c r="G93" i="2"/>
  <c r="G115" i="2"/>
  <c r="H32" i="2"/>
  <c r="H33" i="2"/>
  <c r="H34" i="2"/>
  <c r="H55" i="2"/>
  <c r="H65" i="2"/>
  <c r="H83" i="2"/>
  <c r="H84" i="2"/>
  <c r="H102" i="2"/>
  <c r="H103" i="2"/>
  <c r="H2" i="2"/>
  <c r="F3" i="2"/>
  <c r="M3" i="2" s="1"/>
  <c r="F12" i="2"/>
  <c r="K12" i="2" s="1"/>
  <c r="F18" i="2"/>
  <c r="M18" i="2" s="1"/>
  <c r="F22" i="2"/>
  <c r="M22" i="2" s="1"/>
  <c r="F23" i="2"/>
  <c r="F34" i="2"/>
  <c r="F35" i="2"/>
  <c r="K35" i="2" s="1"/>
  <c r="F42" i="2"/>
  <c r="F57" i="2"/>
  <c r="F58" i="2"/>
  <c r="F62" i="2"/>
  <c r="M62" i="2" s="1"/>
  <c r="F73" i="2"/>
  <c r="F74" i="2"/>
  <c r="F75" i="2"/>
  <c r="M75" i="2" s="1"/>
  <c r="F87" i="2"/>
  <c r="F88" i="2"/>
  <c r="F89" i="2"/>
  <c r="F96" i="2"/>
  <c r="F112" i="2"/>
  <c r="F113" i="2"/>
  <c r="M113" i="2" s="1"/>
  <c r="F114" i="2"/>
  <c r="A30" i="3"/>
  <c r="C12" i="3"/>
  <c r="C19" i="3"/>
  <c r="C16" i="3"/>
  <c r="C18" i="3"/>
  <c r="C17" i="3"/>
  <c r="C15" i="3"/>
  <c r="C14" i="3"/>
  <c r="C13" i="3"/>
  <c r="E13" i="2"/>
  <c r="E21" i="2"/>
  <c r="E25" i="2"/>
  <c r="E45" i="2"/>
  <c r="E46" i="2"/>
  <c r="E47" i="2"/>
  <c r="E54" i="2"/>
  <c r="E61" i="2"/>
  <c r="E63" i="2"/>
  <c r="E79" i="2"/>
  <c r="E101" i="2"/>
  <c r="E105" i="2"/>
  <c r="E119" i="2"/>
  <c r="C121" i="2"/>
  <c r="E121" i="2" s="1"/>
  <c r="C120" i="2"/>
  <c r="E120" i="2" s="1"/>
  <c r="C119" i="2"/>
  <c r="C118" i="2"/>
  <c r="E118" i="2" s="1"/>
  <c r="C117" i="2"/>
  <c r="E117" i="2" s="1"/>
  <c r="C116" i="2"/>
  <c r="E116" i="2" s="1"/>
  <c r="C115" i="2"/>
  <c r="E115" i="2" s="1"/>
  <c r="C114" i="2"/>
  <c r="E114" i="2" s="1"/>
  <c r="C113" i="2"/>
  <c r="E113" i="2" s="1"/>
  <c r="C112" i="2"/>
  <c r="E112" i="2" s="1"/>
  <c r="C111" i="2"/>
  <c r="E111" i="2" s="1"/>
  <c r="C110" i="2"/>
  <c r="E110" i="2" s="1"/>
  <c r="C109" i="2"/>
  <c r="E109" i="2" s="1"/>
  <c r="C108" i="2"/>
  <c r="E108" i="2" s="1"/>
  <c r="C107" i="2"/>
  <c r="E107" i="2" s="1"/>
  <c r="C106" i="2"/>
  <c r="E106" i="2" s="1"/>
  <c r="C105" i="2"/>
  <c r="C104" i="2"/>
  <c r="E104" i="2" s="1"/>
  <c r="C103" i="2"/>
  <c r="E103" i="2" s="1"/>
  <c r="C102" i="2"/>
  <c r="E102" i="2" s="1"/>
  <c r="C101" i="2"/>
  <c r="C100" i="2"/>
  <c r="E100" i="2" s="1"/>
  <c r="C99" i="2"/>
  <c r="E99" i="2" s="1"/>
  <c r="C98" i="2"/>
  <c r="E98" i="2" s="1"/>
  <c r="C97" i="2"/>
  <c r="E97" i="2" s="1"/>
  <c r="C96" i="2"/>
  <c r="E96" i="2" s="1"/>
  <c r="C95" i="2"/>
  <c r="E95" i="2" s="1"/>
  <c r="C94" i="2"/>
  <c r="E94" i="2" s="1"/>
  <c r="C93" i="2"/>
  <c r="E93" i="2" s="1"/>
  <c r="C92" i="2"/>
  <c r="E92" i="2" s="1"/>
  <c r="C91" i="2"/>
  <c r="E91" i="2" s="1"/>
  <c r="C90" i="2"/>
  <c r="E90" i="2" s="1"/>
  <c r="C89" i="2"/>
  <c r="E89" i="2" s="1"/>
  <c r="C88" i="2"/>
  <c r="E88" i="2" s="1"/>
  <c r="C87" i="2"/>
  <c r="E87" i="2" s="1"/>
  <c r="C86" i="2"/>
  <c r="E86" i="2" s="1"/>
  <c r="C85" i="2"/>
  <c r="E85" i="2" s="1"/>
  <c r="C84" i="2"/>
  <c r="E84" i="2" s="1"/>
  <c r="C83" i="2"/>
  <c r="E83" i="2" s="1"/>
  <c r="C82" i="2"/>
  <c r="E82" i="2" s="1"/>
  <c r="C81" i="2"/>
  <c r="E81" i="2" s="1"/>
  <c r="C80" i="2"/>
  <c r="E80" i="2" s="1"/>
  <c r="C79" i="2"/>
  <c r="C78" i="2"/>
  <c r="E78" i="2" s="1"/>
  <c r="C77" i="2"/>
  <c r="E77" i="2" s="1"/>
  <c r="C76" i="2"/>
  <c r="E76" i="2" s="1"/>
  <c r="C75" i="2"/>
  <c r="E75" i="2" s="1"/>
  <c r="C74" i="2"/>
  <c r="E74" i="2" s="1"/>
  <c r="C73" i="2"/>
  <c r="E73" i="2" s="1"/>
  <c r="C72" i="2"/>
  <c r="E72" i="2" s="1"/>
  <c r="C71" i="2"/>
  <c r="E71" i="2" s="1"/>
  <c r="C70" i="2"/>
  <c r="E70" i="2" s="1"/>
  <c r="C69" i="2"/>
  <c r="E69" i="2" s="1"/>
  <c r="C68" i="2"/>
  <c r="E68" i="2" s="1"/>
  <c r="C67" i="2"/>
  <c r="E67" i="2" s="1"/>
  <c r="C66" i="2"/>
  <c r="E66" i="2" s="1"/>
  <c r="C65" i="2"/>
  <c r="E65" i="2" s="1"/>
  <c r="C64" i="2"/>
  <c r="E64" i="2" s="1"/>
  <c r="C63" i="2"/>
  <c r="C62" i="2"/>
  <c r="E62" i="2" s="1"/>
  <c r="C61" i="2"/>
  <c r="C60" i="2"/>
  <c r="E60" i="2" s="1"/>
  <c r="C59" i="2"/>
  <c r="E59" i="2" s="1"/>
  <c r="C58" i="2"/>
  <c r="E58" i="2" s="1"/>
  <c r="C57" i="2"/>
  <c r="E57" i="2" s="1"/>
  <c r="C56" i="2"/>
  <c r="E56" i="2" s="1"/>
  <c r="C55" i="2"/>
  <c r="E55" i="2" s="1"/>
  <c r="C54" i="2"/>
  <c r="C53" i="2"/>
  <c r="E53" i="2" s="1"/>
  <c r="C52" i="2"/>
  <c r="E52" i="2" s="1"/>
  <c r="C51" i="2"/>
  <c r="E51" i="2" s="1"/>
  <c r="C50" i="2"/>
  <c r="E50" i="2" s="1"/>
  <c r="C49" i="2"/>
  <c r="E49" i="2" s="1"/>
  <c r="C48" i="2"/>
  <c r="E48" i="2" s="1"/>
  <c r="C47" i="2"/>
  <c r="C46" i="2"/>
  <c r="C45" i="2"/>
  <c r="C44" i="2"/>
  <c r="E44" i="2" s="1"/>
  <c r="C43" i="2"/>
  <c r="E43" i="2" s="1"/>
  <c r="C42" i="2"/>
  <c r="E42" i="2" s="1"/>
  <c r="C41" i="2"/>
  <c r="E41" i="2" s="1"/>
  <c r="C40" i="2"/>
  <c r="E40" i="2" s="1"/>
  <c r="C39" i="2"/>
  <c r="E39" i="2" s="1"/>
  <c r="C38" i="2"/>
  <c r="E38" i="2" s="1"/>
  <c r="C37" i="2"/>
  <c r="E37" i="2" s="1"/>
  <c r="C36" i="2"/>
  <c r="E36" i="2" s="1"/>
  <c r="C35" i="2"/>
  <c r="E35" i="2" s="1"/>
  <c r="C34" i="2"/>
  <c r="E34" i="2" s="1"/>
  <c r="C33" i="2"/>
  <c r="E33" i="2" s="1"/>
  <c r="C32" i="2"/>
  <c r="E32" i="2" s="1"/>
  <c r="C31" i="2"/>
  <c r="E31" i="2" s="1"/>
  <c r="C30" i="2"/>
  <c r="E30" i="2" s="1"/>
  <c r="C29" i="2"/>
  <c r="E29" i="2" s="1"/>
  <c r="C28" i="2"/>
  <c r="E28" i="2" s="1"/>
  <c r="C27" i="2"/>
  <c r="E27" i="2" s="1"/>
  <c r="C26" i="2"/>
  <c r="E26" i="2" s="1"/>
  <c r="C25" i="2"/>
  <c r="C24" i="2"/>
  <c r="E24" i="2" s="1"/>
  <c r="C23" i="2"/>
  <c r="E23" i="2" s="1"/>
  <c r="C22" i="2"/>
  <c r="E22" i="2" s="1"/>
  <c r="C21" i="2"/>
  <c r="C20" i="2"/>
  <c r="E20" i="2" s="1"/>
  <c r="C19" i="2"/>
  <c r="E19" i="2" s="1"/>
  <c r="C18" i="2"/>
  <c r="E18" i="2" s="1"/>
  <c r="C17" i="2"/>
  <c r="E17" i="2" s="1"/>
  <c r="C16" i="2"/>
  <c r="E16" i="2" s="1"/>
  <c r="C15" i="2"/>
  <c r="E15" i="2" s="1"/>
  <c r="C14" i="2"/>
  <c r="E14" i="2" s="1"/>
  <c r="C13" i="2"/>
  <c r="C12" i="2"/>
  <c r="E12" i="2" s="1"/>
  <c r="C11" i="2"/>
  <c r="E11" i="2" s="1"/>
  <c r="C10" i="2"/>
  <c r="E10" i="2" s="1"/>
  <c r="C9" i="2"/>
  <c r="E9" i="2" s="1"/>
  <c r="C8" i="2"/>
  <c r="E8" i="2" s="1"/>
  <c r="C7" i="2"/>
  <c r="E7" i="2" s="1"/>
  <c r="C6" i="2"/>
  <c r="E6" i="2" s="1"/>
  <c r="C5" i="2"/>
  <c r="E5" i="2" s="1"/>
  <c r="C4" i="2"/>
  <c r="E4" i="2" s="1"/>
  <c r="C3" i="2"/>
  <c r="E3" i="2" s="1"/>
  <c r="C2" i="2"/>
  <c r="E2" i="2" s="1"/>
  <c r="F49" i="2" l="1"/>
  <c r="M49" i="2" s="1"/>
  <c r="F9" i="2"/>
  <c r="K9" i="2" s="1"/>
  <c r="I70" i="2"/>
  <c r="G29" i="2"/>
  <c r="G121" i="2"/>
  <c r="F48" i="2"/>
  <c r="M48" i="2" s="1"/>
  <c r="F98" i="2"/>
  <c r="K98" i="2" s="1"/>
  <c r="G50" i="2"/>
  <c r="G8" i="2"/>
  <c r="I7" i="2"/>
  <c r="F10" i="2"/>
  <c r="G107" i="2"/>
  <c r="G105" i="2"/>
  <c r="M35" i="2"/>
  <c r="G92" i="2"/>
  <c r="G84" i="2"/>
  <c r="G106" i="2"/>
  <c r="G44" i="2"/>
  <c r="H64" i="2"/>
  <c r="H14" i="2"/>
  <c r="H114" i="2"/>
  <c r="H53" i="2"/>
  <c r="I23" i="2"/>
  <c r="I4" i="2"/>
  <c r="F86" i="2"/>
  <c r="M86" i="2" s="1"/>
  <c r="F47" i="2"/>
  <c r="K47" i="2" s="1"/>
  <c r="F8" i="2"/>
  <c r="M8" i="2" s="1"/>
  <c r="H62" i="2"/>
  <c r="G114" i="2"/>
  <c r="G64" i="2"/>
  <c r="G23" i="2"/>
  <c r="I78" i="2"/>
  <c r="I42" i="2"/>
  <c r="G56" i="2"/>
  <c r="F105" i="2"/>
  <c r="M105" i="2" s="1"/>
  <c r="F85" i="2"/>
  <c r="F32" i="2"/>
  <c r="M32" i="2" s="1"/>
  <c r="F7" i="2"/>
  <c r="H73" i="2"/>
  <c r="H25" i="2"/>
  <c r="G103" i="2"/>
  <c r="G22" i="2"/>
  <c r="I93" i="2"/>
  <c r="I54" i="2"/>
  <c r="I15" i="2"/>
  <c r="K3" i="2"/>
  <c r="F104" i="2"/>
  <c r="F93" i="2"/>
  <c r="M93" i="2" s="1"/>
  <c r="F84" i="2"/>
  <c r="M84" i="2" s="1"/>
  <c r="F65" i="2"/>
  <c r="K65" i="2" s="1"/>
  <c r="F54" i="2"/>
  <c r="M54" i="2" s="1"/>
  <c r="F45" i="2"/>
  <c r="F26" i="2"/>
  <c r="M26" i="2" s="1"/>
  <c r="F15" i="2"/>
  <c r="K15" i="2" s="1"/>
  <c r="F6" i="2"/>
  <c r="M6" i="2" s="1"/>
  <c r="H106" i="2"/>
  <c r="H94" i="2"/>
  <c r="H72" i="2"/>
  <c r="H58" i="2"/>
  <c r="H44" i="2"/>
  <c r="H24" i="2"/>
  <c r="H3" i="2"/>
  <c r="G112" i="2"/>
  <c r="G102" i="2"/>
  <c r="G76" i="2"/>
  <c r="G62" i="2"/>
  <c r="G35" i="2"/>
  <c r="G14" i="2"/>
  <c r="I115" i="2"/>
  <c r="I106" i="2"/>
  <c r="I92" i="2"/>
  <c r="I76" i="2"/>
  <c r="I67" i="2"/>
  <c r="I53" i="2"/>
  <c r="I37" i="2"/>
  <c r="I28" i="2"/>
  <c r="I14" i="2"/>
  <c r="I11" i="2"/>
  <c r="H63" i="2"/>
  <c r="F95" i="2"/>
  <c r="M95" i="2" s="1"/>
  <c r="F56" i="2"/>
  <c r="M56" i="2" s="1"/>
  <c r="F17" i="2"/>
  <c r="K17" i="2" s="1"/>
  <c r="H96" i="2"/>
  <c r="H74" i="2"/>
  <c r="H26" i="2"/>
  <c r="G104" i="2"/>
  <c r="G43" i="2"/>
  <c r="I108" i="2"/>
  <c r="I69" i="2"/>
  <c r="I55" i="2"/>
  <c r="I22" i="2"/>
  <c r="I21" i="2"/>
  <c r="F94" i="2"/>
  <c r="M94" i="2" s="1"/>
  <c r="F55" i="2"/>
  <c r="M55" i="2" s="1"/>
  <c r="F16" i="2"/>
  <c r="K16" i="2" s="1"/>
  <c r="H95" i="2"/>
  <c r="H51" i="2"/>
  <c r="G113" i="2"/>
  <c r="G82" i="2"/>
  <c r="G42" i="2"/>
  <c r="I107" i="2"/>
  <c r="I77" i="2"/>
  <c r="I38" i="2"/>
  <c r="I60" i="2"/>
  <c r="K75" i="2"/>
  <c r="F2" i="2"/>
  <c r="M2" i="2" s="1"/>
  <c r="F103" i="2"/>
  <c r="F92" i="2"/>
  <c r="M92" i="2" s="1"/>
  <c r="F83" i="2"/>
  <c r="F64" i="2"/>
  <c r="M64" i="2" s="1"/>
  <c r="F53" i="2"/>
  <c r="F44" i="2"/>
  <c r="F25" i="2"/>
  <c r="M25" i="2" s="1"/>
  <c r="F14" i="2"/>
  <c r="M14" i="2" s="1"/>
  <c r="F5" i="2"/>
  <c r="H105" i="2"/>
  <c r="H93" i="2"/>
  <c r="H71" i="2"/>
  <c r="H57" i="2"/>
  <c r="H43" i="2"/>
  <c r="H23" i="2"/>
  <c r="I2" i="2"/>
  <c r="G110" i="2"/>
  <c r="G101" i="2"/>
  <c r="G75" i="2"/>
  <c r="G54" i="2"/>
  <c r="G34" i="2"/>
  <c r="G13" i="2"/>
  <c r="I114" i="2"/>
  <c r="I105" i="2"/>
  <c r="I86" i="2"/>
  <c r="I75" i="2"/>
  <c r="I66" i="2"/>
  <c r="I52" i="2"/>
  <c r="I36" i="2"/>
  <c r="I27" i="2"/>
  <c r="I13" i="2"/>
  <c r="I18" i="2"/>
  <c r="I32" i="2"/>
  <c r="G37" i="2"/>
  <c r="F106" i="2"/>
  <c r="K106" i="2" s="1"/>
  <c r="F72" i="2"/>
  <c r="M72" i="2" s="1"/>
  <c r="F33" i="2"/>
  <c r="H113" i="2"/>
  <c r="H52" i="2"/>
  <c r="H12" i="2"/>
  <c r="G83" i="2"/>
  <c r="I117" i="2"/>
  <c r="I94" i="2"/>
  <c r="I30" i="2"/>
  <c r="I3" i="2"/>
  <c r="F66" i="2"/>
  <c r="K66" i="2" s="1"/>
  <c r="F46" i="2"/>
  <c r="M46" i="2" s="1"/>
  <c r="H112" i="2"/>
  <c r="H60" i="2"/>
  <c r="H4" i="2"/>
  <c r="G63" i="2"/>
  <c r="I116" i="2"/>
  <c r="I68" i="2"/>
  <c r="I29" i="2"/>
  <c r="G5" i="2"/>
  <c r="F115" i="2"/>
  <c r="F102" i="2"/>
  <c r="M102" i="2" s="1"/>
  <c r="F90" i="2"/>
  <c r="K90" i="2" s="1"/>
  <c r="F82" i="2"/>
  <c r="K82" i="2" s="1"/>
  <c r="L82" i="2" s="1"/>
  <c r="F63" i="2"/>
  <c r="K63" i="2" s="1"/>
  <c r="L63" i="2" s="1"/>
  <c r="F52" i="2"/>
  <c r="M52" i="2" s="1"/>
  <c r="F43" i="2"/>
  <c r="F24" i="2"/>
  <c r="M24" i="2" s="1"/>
  <c r="F13" i="2"/>
  <c r="F4" i="2"/>
  <c r="H104" i="2"/>
  <c r="H92" i="2"/>
  <c r="H66" i="2"/>
  <c r="H56" i="2"/>
  <c r="H42" i="2"/>
  <c r="H22" i="2"/>
  <c r="G2" i="2"/>
  <c r="G108" i="2"/>
  <c r="G94" i="2"/>
  <c r="G74" i="2"/>
  <c r="G53" i="2"/>
  <c r="G33" i="2"/>
  <c r="G12" i="2"/>
  <c r="I113" i="2"/>
  <c r="I104" i="2"/>
  <c r="I85" i="2"/>
  <c r="I74" i="2"/>
  <c r="I65" i="2"/>
  <c r="I46" i="2"/>
  <c r="I35" i="2"/>
  <c r="I26" i="2"/>
  <c r="I12" i="2"/>
  <c r="H35" i="2"/>
  <c r="F121" i="2"/>
  <c r="M121" i="2" s="1"/>
  <c r="F41" i="2"/>
  <c r="M41" i="2" s="1"/>
  <c r="H121" i="2"/>
  <c r="H50" i="2"/>
  <c r="G100" i="2"/>
  <c r="I61" i="2"/>
  <c r="H120" i="2"/>
  <c r="H31" i="2"/>
  <c r="G81" i="2"/>
  <c r="G10" i="2"/>
  <c r="I100" i="2"/>
  <c r="I20" i="2"/>
  <c r="F111" i="2"/>
  <c r="K111" i="2" s="1"/>
  <c r="F39" i="2"/>
  <c r="K39" i="2" s="1"/>
  <c r="H30" i="2"/>
  <c r="G68" i="2"/>
  <c r="I91" i="2"/>
  <c r="I19" i="2"/>
  <c r="F118" i="2"/>
  <c r="M118" i="2" s="1"/>
  <c r="F38" i="2"/>
  <c r="M38" i="2" s="1"/>
  <c r="H17" i="2"/>
  <c r="G67" i="2"/>
  <c r="G41" i="2"/>
  <c r="I90" i="2"/>
  <c r="I10" i="2"/>
  <c r="F117" i="2"/>
  <c r="F109" i="2"/>
  <c r="F101" i="2"/>
  <c r="F77" i="2"/>
  <c r="F69" i="2"/>
  <c r="F61" i="2"/>
  <c r="F37" i="2"/>
  <c r="F29" i="2"/>
  <c r="F21" i="2"/>
  <c r="H101" i="2"/>
  <c r="H41" i="2"/>
  <c r="H16" i="2"/>
  <c r="G91" i="2"/>
  <c r="G66" i="2"/>
  <c r="G40" i="2"/>
  <c r="G28" i="2"/>
  <c r="G20" i="2"/>
  <c r="I121" i="2"/>
  <c r="I97" i="2"/>
  <c r="I89" i="2"/>
  <c r="I81" i="2"/>
  <c r="I57" i="2"/>
  <c r="I49" i="2"/>
  <c r="I41" i="2"/>
  <c r="I17" i="2"/>
  <c r="I9" i="2"/>
  <c r="H8" i="2"/>
  <c r="H70" i="2"/>
  <c r="H21" i="2"/>
  <c r="G71" i="2"/>
  <c r="F80" i="2"/>
  <c r="K80" i="2" s="1"/>
  <c r="H20" i="2"/>
  <c r="G70" i="2"/>
  <c r="F79" i="2"/>
  <c r="M79" i="2" s="1"/>
  <c r="F31" i="2"/>
  <c r="M31" i="2" s="1"/>
  <c r="H18" i="2"/>
  <c r="G60" i="2"/>
  <c r="I59" i="2"/>
  <c r="F110" i="2"/>
  <c r="M110" i="2" s="1"/>
  <c r="F70" i="2"/>
  <c r="M70" i="2" s="1"/>
  <c r="F30" i="2"/>
  <c r="M30" i="2" s="1"/>
  <c r="G21" i="2"/>
  <c r="I98" i="2"/>
  <c r="I50" i="2"/>
  <c r="F116" i="2"/>
  <c r="K116" i="2" s="1"/>
  <c r="F108" i="2"/>
  <c r="F100" i="2"/>
  <c r="K100" i="2" s="1"/>
  <c r="F76" i="2"/>
  <c r="K76" i="2" s="1"/>
  <c r="F68" i="2"/>
  <c r="F60" i="2"/>
  <c r="M60" i="2" s="1"/>
  <c r="F36" i="2"/>
  <c r="K36" i="2" s="1"/>
  <c r="F28" i="2"/>
  <c r="K28" i="2" s="1"/>
  <c r="F20" i="2"/>
  <c r="H111" i="2"/>
  <c r="H100" i="2"/>
  <c r="H91" i="2"/>
  <c r="H40" i="2"/>
  <c r="G90" i="2"/>
  <c r="G36" i="2"/>
  <c r="G27" i="2"/>
  <c r="I120" i="2"/>
  <c r="I96" i="2"/>
  <c r="I88" i="2"/>
  <c r="I80" i="2"/>
  <c r="I56" i="2"/>
  <c r="I48" i="2"/>
  <c r="I40" i="2"/>
  <c r="I16" i="2"/>
  <c r="I8" i="2"/>
  <c r="H27" i="2"/>
  <c r="F81" i="2"/>
  <c r="M81" i="2" s="1"/>
  <c r="G120" i="2"/>
  <c r="G11" i="2"/>
  <c r="I101" i="2"/>
  <c r="F120" i="2"/>
  <c r="M120" i="2" s="1"/>
  <c r="F40" i="2"/>
  <c r="M40" i="2" s="1"/>
  <c r="H11" i="2"/>
  <c r="G61" i="2"/>
  <c r="F119" i="2"/>
  <c r="K119" i="2" s="1"/>
  <c r="F71" i="2"/>
  <c r="M71" i="2" s="1"/>
  <c r="H81" i="2"/>
  <c r="H10" i="2"/>
  <c r="G80" i="2"/>
  <c r="G31" i="2"/>
  <c r="I99" i="2"/>
  <c r="I51" i="2"/>
  <c r="F78" i="2"/>
  <c r="M78" i="2" s="1"/>
  <c r="H80" i="2"/>
  <c r="G30" i="2"/>
  <c r="I58" i="2"/>
  <c r="H19" i="2"/>
  <c r="F107" i="2"/>
  <c r="F99" i="2"/>
  <c r="F91" i="2"/>
  <c r="F67" i="2"/>
  <c r="F59" i="2"/>
  <c r="F51" i="2"/>
  <c r="F27" i="2"/>
  <c r="F19" i="2"/>
  <c r="F11" i="2"/>
  <c r="H110" i="2"/>
  <c r="H98" i="2"/>
  <c r="H90" i="2"/>
  <c r="H61" i="2"/>
  <c r="G111" i="2"/>
  <c r="G51" i="2"/>
  <c r="G26" i="2"/>
  <c r="I119" i="2"/>
  <c r="I111" i="2"/>
  <c r="I87" i="2"/>
  <c r="I79" i="2"/>
  <c r="I71" i="2"/>
  <c r="I47" i="2"/>
  <c r="I39" i="2"/>
  <c r="I31" i="2"/>
  <c r="H6" i="2"/>
  <c r="K84" i="2"/>
  <c r="L84" i="2" s="1"/>
  <c r="M12" i="2"/>
  <c r="K49" i="2"/>
  <c r="M76" i="2"/>
  <c r="H89" i="2"/>
  <c r="H9" i="2"/>
  <c r="H88" i="2"/>
  <c r="H87" i="2"/>
  <c r="H7" i="2"/>
  <c r="H78" i="2"/>
  <c r="H38" i="2"/>
  <c r="H117" i="2"/>
  <c r="H109" i="2"/>
  <c r="H85" i="2"/>
  <c r="H77" i="2"/>
  <c r="H69" i="2"/>
  <c r="H45" i="2"/>
  <c r="H37" i="2"/>
  <c r="H29" i="2"/>
  <c r="H5" i="2"/>
  <c r="H119" i="2"/>
  <c r="H79" i="2"/>
  <c r="H39" i="2"/>
  <c r="H118" i="2"/>
  <c r="H46" i="2"/>
  <c r="H116" i="2"/>
  <c r="H108" i="2"/>
  <c r="H76" i="2"/>
  <c r="H68" i="2"/>
  <c r="H36" i="2"/>
  <c r="H28" i="2"/>
  <c r="L3" i="2"/>
  <c r="P3" i="2" s="1"/>
  <c r="H49" i="2"/>
  <c r="H48" i="2"/>
  <c r="H47" i="2"/>
  <c r="H86" i="2"/>
  <c r="H115" i="2"/>
  <c r="H107" i="2"/>
  <c r="H99" i="2"/>
  <c r="H75" i="2"/>
  <c r="H67" i="2"/>
  <c r="H59" i="2"/>
  <c r="G99" i="2"/>
  <c r="G59" i="2"/>
  <c r="G19" i="2"/>
  <c r="G98" i="2"/>
  <c r="G18" i="2"/>
  <c r="G57" i="2"/>
  <c r="G17" i="2"/>
  <c r="G88" i="2"/>
  <c r="G48" i="2"/>
  <c r="G16" i="2"/>
  <c r="G119" i="2"/>
  <c r="G95" i="2"/>
  <c r="G87" i="2"/>
  <c r="G79" i="2"/>
  <c r="G55" i="2"/>
  <c r="G47" i="2"/>
  <c r="G39" i="2"/>
  <c r="G15" i="2"/>
  <c r="G7" i="2"/>
  <c r="G97" i="2"/>
  <c r="G96" i="2"/>
  <c r="G118" i="2"/>
  <c r="G86" i="2"/>
  <c r="G78" i="2"/>
  <c r="G46" i="2"/>
  <c r="G38" i="2"/>
  <c r="G6" i="2"/>
  <c r="G58" i="2"/>
  <c r="G89" i="2"/>
  <c r="G49" i="2"/>
  <c r="G9" i="2"/>
  <c r="G117" i="2"/>
  <c r="G109" i="2"/>
  <c r="G85" i="2"/>
  <c r="G77" i="2"/>
  <c r="G69" i="2"/>
  <c r="G45" i="2"/>
  <c r="M98" i="2"/>
  <c r="K26" i="2"/>
  <c r="M74" i="2"/>
  <c r="M58" i="2"/>
  <c r="K58" i="2"/>
  <c r="K42" i="2"/>
  <c r="M10" i="2"/>
  <c r="K105" i="2"/>
  <c r="M89" i="2"/>
  <c r="M73" i="2"/>
  <c r="K57" i="2"/>
  <c r="K41" i="2"/>
  <c r="M33" i="2"/>
  <c r="K33" i="2"/>
  <c r="L33" i="2" s="1"/>
  <c r="K10" i="2"/>
  <c r="M57" i="2"/>
  <c r="K74" i="2"/>
  <c r="K73" i="2"/>
  <c r="M114" i="2"/>
  <c r="M50" i="2"/>
  <c r="M34" i="2"/>
  <c r="K18" i="2"/>
  <c r="K114" i="2"/>
  <c r="M97" i="2"/>
  <c r="K97" i="2"/>
  <c r="M9" i="2"/>
  <c r="K113" i="2"/>
  <c r="M42" i="2"/>
  <c r="K89" i="2"/>
  <c r="K50" i="2"/>
  <c r="K34" i="2"/>
  <c r="M112" i="2"/>
  <c r="K112" i="2"/>
  <c r="M96" i="2"/>
  <c r="K96" i="2"/>
  <c r="M15" i="2"/>
  <c r="M104" i="2"/>
  <c r="K104" i="2"/>
  <c r="M88" i="2"/>
  <c r="K88" i="2"/>
  <c r="K48" i="2"/>
  <c r="K8" i="2"/>
  <c r="M103" i="2"/>
  <c r="K103" i="2"/>
  <c r="M87" i="2"/>
  <c r="K87" i="2"/>
  <c r="M23" i="2"/>
  <c r="K23" i="2"/>
  <c r="M7" i="2"/>
  <c r="K7" i="2"/>
  <c r="K62" i="2"/>
  <c r="K30" i="2"/>
  <c r="K22" i="2"/>
  <c r="L73" i="2" l="1"/>
  <c r="K55" i="2"/>
  <c r="K64" i="2"/>
  <c r="L64" i="2" s="1"/>
  <c r="M63" i="2"/>
  <c r="M66" i="2"/>
  <c r="M106" i="2"/>
  <c r="K72" i="2"/>
  <c r="L72" i="2" s="1"/>
  <c r="M16" i="2"/>
  <c r="M82" i="2"/>
  <c r="K32" i="2"/>
  <c r="L34" i="2"/>
  <c r="L12" i="2"/>
  <c r="P12" i="2" s="1"/>
  <c r="L65" i="2"/>
  <c r="P65" i="2" s="1"/>
  <c r="K94" i="2"/>
  <c r="L94" i="2" s="1"/>
  <c r="L35" i="2"/>
  <c r="N35" i="2" s="1"/>
  <c r="K24" i="2"/>
  <c r="L24" i="2" s="1"/>
  <c r="M90" i="2"/>
  <c r="K121" i="2"/>
  <c r="K92" i="2"/>
  <c r="L92" i="2" s="1"/>
  <c r="K54" i="2"/>
  <c r="L54" i="2" s="1"/>
  <c r="L105" i="2"/>
  <c r="L32" i="2"/>
  <c r="L8" i="2"/>
  <c r="K71" i="2"/>
  <c r="L71" i="2" s="1"/>
  <c r="L66" i="2"/>
  <c r="L26" i="2"/>
  <c r="K102" i="2"/>
  <c r="L102" i="2" s="1"/>
  <c r="K70" i="2"/>
  <c r="L70" i="2" s="1"/>
  <c r="L114" i="2"/>
  <c r="N114" i="2" s="1"/>
  <c r="K14" i="2"/>
  <c r="L14" i="2" s="1"/>
  <c r="M47" i="2"/>
  <c r="K25" i="2"/>
  <c r="L25" i="2" s="1"/>
  <c r="L74" i="2"/>
  <c r="M115" i="2"/>
  <c r="K115" i="2"/>
  <c r="L115" i="2" s="1"/>
  <c r="N115" i="2" s="1"/>
  <c r="L113" i="2"/>
  <c r="P113" i="2" s="1"/>
  <c r="M36" i="2"/>
  <c r="K53" i="2"/>
  <c r="L53" i="2" s="1"/>
  <c r="M53" i="2"/>
  <c r="L23" i="2"/>
  <c r="K2" i="2"/>
  <c r="L2" i="2" s="1"/>
  <c r="N2" i="2" s="1"/>
  <c r="L62" i="2"/>
  <c r="M111" i="2"/>
  <c r="M65" i="2"/>
  <c r="L36" i="2"/>
  <c r="P36" i="2" s="1"/>
  <c r="K83" i="2"/>
  <c r="L83" i="2" s="1"/>
  <c r="P83" i="2" s="1"/>
  <c r="M83" i="2"/>
  <c r="K120" i="2"/>
  <c r="L120" i="2" s="1"/>
  <c r="M45" i="2"/>
  <c r="K45" i="2"/>
  <c r="L45" i="2" s="1"/>
  <c r="P45" i="2" s="1"/>
  <c r="K85" i="2"/>
  <c r="L85" i="2" s="1"/>
  <c r="M85" i="2"/>
  <c r="K13" i="2"/>
  <c r="L13" i="2" s="1"/>
  <c r="M13" i="2"/>
  <c r="L22" i="2"/>
  <c r="M17" i="2"/>
  <c r="L104" i="2"/>
  <c r="P104" i="2" s="1"/>
  <c r="L42" i="2"/>
  <c r="L75" i="2"/>
  <c r="P75" i="2" s="1"/>
  <c r="M43" i="2"/>
  <c r="K43" i="2"/>
  <c r="L43" i="2" s="1"/>
  <c r="M44" i="2"/>
  <c r="K44" i="2"/>
  <c r="L44" i="2" s="1"/>
  <c r="P44" i="2" s="1"/>
  <c r="K46" i="2"/>
  <c r="L46" i="2" s="1"/>
  <c r="K95" i="2"/>
  <c r="L95" i="2" s="1"/>
  <c r="K56" i="2"/>
  <c r="L56" i="2" s="1"/>
  <c r="N56" i="2" s="1"/>
  <c r="L103" i="2"/>
  <c r="P103" i="2" s="1"/>
  <c r="K60" i="2"/>
  <c r="L60" i="2" s="1"/>
  <c r="N60" i="2" s="1"/>
  <c r="K52" i="2"/>
  <c r="L52" i="2" s="1"/>
  <c r="N52" i="2" s="1"/>
  <c r="K6" i="2"/>
  <c r="L6" i="2" s="1"/>
  <c r="K86" i="2"/>
  <c r="L86" i="2" s="1"/>
  <c r="L112" i="2"/>
  <c r="P112" i="2" s="1"/>
  <c r="L10" i="2"/>
  <c r="L121" i="2"/>
  <c r="P121" i="2" s="1"/>
  <c r="L106" i="2"/>
  <c r="L76" i="2"/>
  <c r="N76" i="2" s="1"/>
  <c r="K93" i="2"/>
  <c r="L93" i="2" s="1"/>
  <c r="M4" i="2"/>
  <c r="K4" i="2"/>
  <c r="L4" i="2" s="1"/>
  <c r="K5" i="2"/>
  <c r="L5" i="2" s="1"/>
  <c r="M5" i="2"/>
  <c r="M39" i="2"/>
  <c r="K79" i="2"/>
  <c r="L9" i="2"/>
  <c r="N9" i="2" s="1"/>
  <c r="L111" i="2"/>
  <c r="P111" i="2" s="1"/>
  <c r="K118" i="2"/>
  <c r="L118" i="2" s="1"/>
  <c r="K31" i="2"/>
  <c r="L31" i="2" s="1"/>
  <c r="L18" i="2"/>
  <c r="L116" i="2"/>
  <c r="N116" i="2" s="1"/>
  <c r="L100" i="2"/>
  <c r="P100" i="2" s="1"/>
  <c r="L80" i="2"/>
  <c r="K38" i="2"/>
  <c r="L38" i="2" s="1"/>
  <c r="L50" i="2"/>
  <c r="M116" i="2"/>
  <c r="L41" i="2"/>
  <c r="M37" i="2"/>
  <c r="K37" i="2"/>
  <c r="L37" i="2" s="1"/>
  <c r="M11" i="2"/>
  <c r="K11" i="2"/>
  <c r="L11" i="2" s="1"/>
  <c r="N11" i="2" s="1"/>
  <c r="L28" i="2"/>
  <c r="N28" i="2" s="1"/>
  <c r="M19" i="2"/>
  <c r="K19" i="2"/>
  <c r="L19" i="2" s="1"/>
  <c r="K101" i="2"/>
  <c r="L101" i="2" s="1"/>
  <c r="P101" i="2" s="1"/>
  <c r="M101" i="2"/>
  <c r="K110" i="2"/>
  <c r="L110" i="2" s="1"/>
  <c r="M100" i="2"/>
  <c r="M91" i="2"/>
  <c r="K91" i="2"/>
  <c r="L91" i="2" s="1"/>
  <c r="N91" i="2" s="1"/>
  <c r="M119" i="2"/>
  <c r="K81" i="2"/>
  <c r="L81" i="2" s="1"/>
  <c r="P81" i="2" s="1"/>
  <c r="M99" i="2"/>
  <c r="K99" i="2"/>
  <c r="M80" i="2"/>
  <c r="L90" i="2"/>
  <c r="P90" i="2" s="1"/>
  <c r="M107" i="2"/>
  <c r="K107" i="2"/>
  <c r="L107" i="2" s="1"/>
  <c r="K77" i="2"/>
  <c r="L77" i="2" s="1"/>
  <c r="M77" i="2"/>
  <c r="N3" i="2"/>
  <c r="L39" i="2"/>
  <c r="P39" i="2" s="1"/>
  <c r="M28" i="2"/>
  <c r="M27" i="2"/>
  <c r="K27" i="2"/>
  <c r="L27" i="2" s="1"/>
  <c r="M109" i="2"/>
  <c r="K109" i="2"/>
  <c r="L109" i="2" s="1"/>
  <c r="K61" i="2"/>
  <c r="L61" i="2" s="1"/>
  <c r="M61" i="2"/>
  <c r="K78" i="2"/>
  <c r="K40" i="2"/>
  <c r="L40" i="2" s="1"/>
  <c r="N12" i="2"/>
  <c r="L47" i="2"/>
  <c r="P47" i="2" s="1"/>
  <c r="M51" i="2"/>
  <c r="K51" i="2"/>
  <c r="L51" i="2" s="1"/>
  <c r="K68" i="2"/>
  <c r="L68" i="2" s="1"/>
  <c r="M68" i="2"/>
  <c r="K21" i="2"/>
  <c r="L21" i="2" s="1"/>
  <c r="M21" i="2"/>
  <c r="K117" i="2"/>
  <c r="L117" i="2" s="1"/>
  <c r="M117" i="2"/>
  <c r="K67" i="2"/>
  <c r="L67" i="2" s="1"/>
  <c r="M67" i="2"/>
  <c r="M108" i="2"/>
  <c r="K108" i="2"/>
  <c r="L108" i="2" s="1"/>
  <c r="K20" i="2"/>
  <c r="L20" i="2" s="1"/>
  <c r="P20" i="2" s="1"/>
  <c r="M20" i="2"/>
  <c r="M69" i="2"/>
  <c r="K69" i="2"/>
  <c r="L69" i="2" s="1"/>
  <c r="P69" i="2" s="1"/>
  <c r="L30" i="2"/>
  <c r="P30" i="2" s="1"/>
  <c r="L55" i="2"/>
  <c r="N55" i="2" s="1"/>
  <c r="L17" i="2"/>
  <c r="P17" i="2" s="1"/>
  <c r="M59" i="2"/>
  <c r="K59" i="2"/>
  <c r="L59" i="2" s="1"/>
  <c r="P59" i="2" s="1"/>
  <c r="K29" i="2"/>
  <c r="L29" i="2" s="1"/>
  <c r="M29" i="2"/>
  <c r="L88" i="2"/>
  <c r="L57" i="2"/>
  <c r="P57" i="2" s="1"/>
  <c r="L96" i="2"/>
  <c r="L97" i="2"/>
  <c r="P97" i="2" s="1"/>
  <c r="L7" i="2"/>
  <c r="L89" i="2"/>
  <c r="L87" i="2"/>
  <c r="P87" i="2" s="1"/>
  <c r="L58" i="2"/>
  <c r="P58" i="2" s="1"/>
  <c r="L98" i="2"/>
  <c r="L15" i="2"/>
  <c r="L16" i="2"/>
  <c r="P16" i="2" s="1"/>
  <c r="L48" i="2"/>
  <c r="P48" i="2" s="1"/>
  <c r="L99" i="2"/>
  <c r="P99" i="2" s="1"/>
  <c r="L78" i="2"/>
  <c r="L119" i="2"/>
  <c r="N119" i="2" s="1"/>
  <c r="L49" i="2"/>
  <c r="N49" i="2" s="1"/>
  <c r="L79" i="2"/>
  <c r="P79" i="2" s="1"/>
  <c r="N100" i="2"/>
  <c r="P56" i="2"/>
  <c r="P80" i="2"/>
  <c r="N80" i="2"/>
  <c r="N20" i="2"/>
  <c r="P84" i="2"/>
  <c r="N84" i="2"/>
  <c r="P43" i="2"/>
  <c r="N43" i="2"/>
  <c r="P9" i="2"/>
  <c r="P73" i="2"/>
  <c r="N73" i="2"/>
  <c r="P25" i="2"/>
  <c r="N25" i="2"/>
  <c r="P8" i="2"/>
  <c r="N8" i="2"/>
  <c r="P64" i="2"/>
  <c r="N64" i="2"/>
  <c r="P34" i="2"/>
  <c r="N34" i="2"/>
  <c r="N111" i="2"/>
  <c r="P23" i="2"/>
  <c r="N23" i="2"/>
  <c r="N65" i="2"/>
  <c r="N94" i="2" l="1"/>
  <c r="P94" i="2"/>
  <c r="N72" i="2"/>
  <c r="P72" i="2"/>
  <c r="P35" i="2"/>
  <c r="P52" i="2"/>
  <c r="P76" i="2"/>
  <c r="N16" i="2"/>
  <c r="S16" i="2" s="1"/>
  <c r="T16" i="2" s="1"/>
  <c r="N83" i="2"/>
  <c r="P119" i="2"/>
  <c r="N44" i="2"/>
  <c r="N92" i="2"/>
  <c r="P92" i="2"/>
  <c r="S92" i="2" s="1"/>
  <c r="T92" i="2" s="1"/>
  <c r="P117" i="2"/>
  <c r="N117" i="2"/>
  <c r="S117" i="2" s="1"/>
  <c r="T117" i="2" s="1"/>
  <c r="N37" i="2"/>
  <c r="S37" i="2" s="1"/>
  <c r="T37" i="2" s="1"/>
  <c r="P37" i="2"/>
  <c r="N57" i="2"/>
  <c r="S57" i="2" s="1"/>
  <c r="T57" i="2" s="1"/>
  <c r="P114" i="2"/>
  <c r="S114" i="2" s="1"/>
  <c r="T114" i="2" s="1"/>
  <c r="P116" i="2"/>
  <c r="N17" i="2"/>
  <c r="N121" i="2"/>
  <c r="S121" i="2" s="1"/>
  <c r="T121" i="2" s="1"/>
  <c r="P4" i="2"/>
  <c r="N4" i="2"/>
  <c r="S4" i="2" s="1"/>
  <c r="T4" i="2" s="1"/>
  <c r="N120" i="2"/>
  <c r="P120" i="2"/>
  <c r="S120" i="2" s="1"/>
  <c r="T120" i="2" s="1"/>
  <c r="P85" i="2"/>
  <c r="N85" i="2"/>
  <c r="N53" i="2"/>
  <c r="P53" i="2"/>
  <c r="N13" i="2"/>
  <c r="P13" i="2"/>
  <c r="S13" i="2" s="1"/>
  <c r="T13" i="2" s="1"/>
  <c r="P5" i="2"/>
  <c r="N5" i="2"/>
  <c r="S5" i="2" s="1"/>
  <c r="T5" i="2" s="1"/>
  <c r="N36" i="2"/>
  <c r="N47" i="2"/>
  <c r="S47" i="2" s="1"/>
  <c r="T47" i="2" s="1"/>
  <c r="P115" i="2"/>
  <c r="S115" i="2" s="1"/>
  <c r="T115" i="2" s="1"/>
  <c r="P11" i="2"/>
  <c r="S11" i="2" s="1"/>
  <c r="T11" i="2" s="1"/>
  <c r="N113" i="2"/>
  <c r="S113" i="2" s="1"/>
  <c r="T113" i="2" s="1"/>
  <c r="N112" i="2"/>
  <c r="S112" i="2" s="1"/>
  <c r="T112" i="2" s="1"/>
  <c r="P93" i="2"/>
  <c r="N93" i="2"/>
  <c r="S93" i="2" s="1"/>
  <c r="T93" i="2" s="1"/>
  <c r="N104" i="2"/>
  <c r="S104" i="2" s="1"/>
  <c r="T104" i="2" s="1"/>
  <c r="N75" i="2"/>
  <c r="S75" i="2" s="1"/>
  <c r="T75" i="2" s="1"/>
  <c r="N103" i="2"/>
  <c r="S103" i="2" s="1"/>
  <c r="T103" i="2" s="1"/>
  <c r="P108" i="2"/>
  <c r="N108" i="2"/>
  <c r="S17" i="2"/>
  <c r="T17" i="2" s="1"/>
  <c r="P28" i="2"/>
  <c r="S28" i="2" s="1"/>
  <c r="T28" i="2" s="1"/>
  <c r="N39" i="2"/>
  <c r="S39" i="2" s="1"/>
  <c r="T39" i="2" s="1"/>
  <c r="P60" i="2"/>
  <c r="S60" i="2" s="1"/>
  <c r="T60" i="2" s="1"/>
  <c r="N45" i="2"/>
  <c r="S45" i="2" s="1"/>
  <c r="T45" i="2" s="1"/>
  <c r="N90" i="2"/>
  <c r="S90" i="2" s="1"/>
  <c r="T90" i="2" s="1"/>
  <c r="P67" i="2"/>
  <c r="N67" i="2"/>
  <c r="N107" i="2"/>
  <c r="P107" i="2"/>
  <c r="P61" i="2"/>
  <c r="N61" i="2"/>
  <c r="S61" i="2" s="1"/>
  <c r="T61" i="2" s="1"/>
  <c r="N21" i="2"/>
  <c r="P21" i="2"/>
  <c r="P68" i="2"/>
  <c r="N68" i="2"/>
  <c r="P51" i="2"/>
  <c r="S51" i="2" s="1"/>
  <c r="T51" i="2" s="1"/>
  <c r="N51" i="2"/>
  <c r="P109" i="2"/>
  <c r="N109" i="2"/>
  <c r="S109" i="2" s="1"/>
  <c r="T109" i="2" s="1"/>
  <c r="P29" i="2"/>
  <c r="N29" i="2"/>
  <c r="S29" i="2" s="1"/>
  <c r="T29" i="2" s="1"/>
  <c r="P19" i="2"/>
  <c r="N19" i="2"/>
  <c r="N27" i="2"/>
  <c r="S27" i="2" s="1"/>
  <c r="T27" i="2" s="1"/>
  <c r="P27" i="2"/>
  <c r="P77" i="2"/>
  <c r="N77" i="2"/>
  <c r="S77" i="2" s="1"/>
  <c r="T77" i="2" s="1"/>
  <c r="N81" i="2"/>
  <c r="S81" i="2" s="1"/>
  <c r="T81" i="2" s="1"/>
  <c r="S116" i="2"/>
  <c r="T116" i="2" s="1"/>
  <c r="P55" i="2"/>
  <c r="S55" i="2" s="1"/>
  <c r="T55" i="2" s="1"/>
  <c r="N101" i="2"/>
  <c r="S101" i="2" s="1"/>
  <c r="T101" i="2" s="1"/>
  <c r="N30" i="2"/>
  <c r="S30" i="2" s="1"/>
  <c r="T30" i="2" s="1"/>
  <c r="N69" i="2"/>
  <c r="S69" i="2" s="1"/>
  <c r="T69" i="2" s="1"/>
  <c r="N97" i="2"/>
  <c r="S97" i="2" s="1"/>
  <c r="T97" i="2" s="1"/>
  <c r="P91" i="2"/>
  <c r="S91" i="2" s="1"/>
  <c r="T91" i="2" s="1"/>
  <c r="N58" i="2"/>
  <c r="S58" i="2" s="1"/>
  <c r="T58" i="2" s="1"/>
  <c r="N87" i="2"/>
  <c r="S87" i="2" s="1"/>
  <c r="T87" i="2" s="1"/>
  <c r="P49" i="2"/>
  <c r="S49" i="2" s="1"/>
  <c r="T49" i="2" s="1"/>
  <c r="N79" i="2"/>
  <c r="S79" i="2" s="1"/>
  <c r="T79" i="2" s="1"/>
  <c r="N59" i="2"/>
  <c r="S59" i="2" s="1"/>
  <c r="T59" i="2" s="1"/>
  <c r="N48" i="2"/>
  <c r="S48" i="2" s="1"/>
  <c r="T48" i="2" s="1"/>
  <c r="S73" i="2"/>
  <c r="T73" i="2" s="1"/>
  <c r="N99" i="2"/>
  <c r="S99" i="2" s="1"/>
  <c r="T99" i="2" s="1"/>
  <c r="P63" i="2"/>
  <c r="N63" i="2"/>
  <c r="P82" i="2"/>
  <c r="N82" i="2"/>
  <c r="P24" i="2"/>
  <c r="N24" i="2"/>
  <c r="S24" i="2" s="1"/>
  <c r="T24" i="2" s="1"/>
  <c r="P31" i="2"/>
  <c r="N31" i="2"/>
  <c r="P7" i="2"/>
  <c r="N7" i="2"/>
  <c r="P71" i="2"/>
  <c r="N71" i="2"/>
  <c r="P14" i="2"/>
  <c r="N14" i="2"/>
  <c r="S14" i="2" s="1"/>
  <c r="T14" i="2" s="1"/>
  <c r="P62" i="2"/>
  <c r="N62" i="2"/>
  <c r="P40" i="2"/>
  <c r="N40" i="2"/>
  <c r="P42" i="2"/>
  <c r="N42" i="2"/>
  <c r="P86" i="2"/>
  <c r="N86" i="2"/>
  <c r="S86" i="2" s="1"/>
  <c r="T86" i="2" s="1"/>
  <c r="P106" i="2"/>
  <c r="N106" i="2"/>
  <c r="P50" i="2"/>
  <c r="N50" i="2"/>
  <c r="P105" i="2"/>
  <c r="N105" i="2"/>
  <c r="P118" i="2"/>
  <c r="N118" i="2"/>
  <c r="S118" i="2" s="1"/>
  <c r="T118" i="2" s="1"/>
  <c r="P32" i="2"/>
  <c r="N32" i="2"/>
  <c r="P96" i="2"/>
  <c r="N96" i="2"/>
  <c r="P38" i="2"/>
  <c r="N38" i="2"/>
  <c r="P6" i="2"/>
  <c r="N6" i="2"/>
  <c r="S6" i="2" s="1"/>
  <c r="T6" i="2" s="1"/>
  <c r="P33" i="2"/>
  <c r="N33" i="2"/>
  <c r="P22" i="2"/>
  <c r="N22" i="2"/>
  <c r="P54" i="2"/>
  <c r="N54" i="2"/>
  <c r="P10" i="2"/>
  <c r="N10" i="2"/>
  <c r="S10" i="2" s="1"/>
  <c r="T10" i="2" s="1"/>
  <c r="P66" i="2"/>
  <c r="N66" i="2"/>
  <c r="P88" i="2"/>
  <c r="N88" i="2"/>
  <c r="P15" i="2"/>
  <c r="N15" i="2"/>
  <c r="P89" i="2"/>
  <c r="N89" i="2"/>
  <c r="S89" i="2" s="1"/>
  <c r="T89" i="2" s="1"/>
  <c r="P98" i="2"/>
  <c r="N98" i="2"/>
  <c r="P78" i="2"/>
  <c r="N78" i="2"/>
  <c r="P102" i="2"/>
  <c r="N102" i="2"/>
  <c r="P70" i="2"/>
  <c r="N70" i="2"/>
  <c r="S70" i="2" s="1"/>
  <c r="T70" i="2" s="1"/>
  <c r="P26" i="2"/>
  <c r="N26" i="2"/>
  <c r="P41" i="2"/>
  <c r="N41" i="2"/>
  <c r="P74" i="2"/>
  <c r="N74" i="2"/>
  <c r="P110" i="2"/>
  <c r="N110" i="2"/>
  <c r="P95" i="2"/>
  <c r="N95" i="2"/>
  <c r="P18" i="2"/>
  <c r="N18" i="2"/>
  <c r="P46" i="2"/>
  <c r="N46" i="2"/>
  <c r="P2" i="2"/>
  <c r="T2" i="2" s="1"/>
  <c r="S36" i="2"/>
  <c r="T36" i="2" s="1"/>
  <c r="S72" i="2"/>
  <c r="T72" i="2" s="1"/>
  <c r="S119" i="2"/>
  <c r="T119" i="2" s="1"/>
  <c r="S100" i="2"/>
  <c r="T100" i="2" s="1"/>
  <c r="S20" i="2"/>
  <c r="T20" i="2" s="1"/>
  <c r="S52" i="2"/>
  <c r="T52" i="2" s="1"/>
  <c r="S23" i="2"/>
  <c r="T23" i="2" s="1"/>
  <c r="S94" i="2"/>
  <c r="T94" i="2" s="1"/>
  <c r="S8" i="2"/>
  <c r="T8" i="2" s="1"/>
  <c r="S111" i="2"/>
  <c r="T111" i="2" s="1"/>
  <c r="S43" i="2"/>
  <c r="T43" i="2" s="1"/>
  <c r="S76" i="2"/>
  <c r="T76" i="2" s="1"/>
  <c r="S12" i="2"/>
  <c r="T12" i="2" s="1"/>
  <c r="S65" i="2"/>
  <c r="T65" i="2" s="1"/>
  <c r="S64" i="2"/>
  <c r="T64" i="2" s="1"/>
  <c r="S35" i="2"/>
  <c r="T35" i="2" s="1"/>
  <c r="S80" i="2"/>
  <c r="T80" i="2" s="1"/>
  <c r="S83" i="2"/>
  <c r="T83" i="2" s="1"/>
  <c r="S9" i="2"/>
  <c r="T9" i="2" s="1"/>
  <c r="S84" i="2"/>
  <c r="T84" i="2" s="1"/>
  <c r="S34" i="2"/>
  <c r="T34" i="2" s="1"/>
  <c r="S44" i="2"/>
  <c r="T44" i="2" s="1"/>
  <c r="S56" i="2"/>
  <c r="T56" i="2" s="1"/>
  <c r="S25" i="2"/>
  <c r="T25" i="2" s="1"/>
  <c r="S3" i="2"/>
  <c r="T3" i="2" s="1"/>
  <c r="S53" i="2" l="1"/>
  <c r="T53" i="2" s="1"/>
  <c r="S19" i="2"/>
  <c r="T19" i="2" s="1"/>
  <c r="S68" i="2"/>
  <c r="T68" i="2" s="1"/>
  <c r="S67" i="2"/>
  <c r="T67" i="2" s="1"/>
  <c r="S85" i="2"/>
  <c r="T85" i="2" s="1"/>
  <c r="S107" i="2"/>
  <c r="T107" i="2" s="1"/>
  <c r="S18" i="2"/>
  <c r="T18" i="2" s="1"/>
  <c r="S41" i="2"/>
  <c r="T41" i="2" s="1"/>
  <c r="S78" i="2"/>
  <c r="T78" i="2" s="1"/>
  <c r="S88" i="2"/>
  <c r="T88" i="2" s="1"/>
  <c r="S22" i="2"/>
  <c r="T22" i="2" s="1"/>
  <c r="S96" i="2"/>
  <c r="T96" i="2" s="1"/>
  <c r="S50" i="2"/>
  <c r="T50" i="2" s="1"/>
  <c r="S40" i="2"/>
  <c r="T40" i="2" s="1"/>
  <c r="S63" i="2"/>
  <c r="T63" i="2" s="1"/>
  <c r="S108" i="2"/>
  <c r="T108" i="2" s="1"/>
  <c r="S21" i="2"/>
  <c r="T21" i="2" s="1"/>
  <c r="S46" i="2"/>
  <c r="T46" i="2" s="1"/>
  <c r="S74" i="2"/>
  <c r="T74" i="2" s="1"/>
  <c r="S102" i="2"/>
  <c r="T102" i="2" s="1"/>
  <c r="S15" i="2"/>
  <c r="T15" i="2" s="1"/>
  <c r="S54" i="2"/>
  <c r="T54" i="2" s="1"/>
  <c r="S38" i="2"/>
  <c r="T38" i="2" s="1"/>
  <c r="S105" i="2"/>
  <c r="T105" i="2" s="1"/>
  <c r="S42" i="2"/>
  <c r="T42" i="2" s="1"/>
  <c r="S71" i="2"/>
  <c r="T71" i="2" s="1"/>
  <c r="S82" i="2"/>
  <c r="T82" i="2" s="1"/>
  <c r="S110" i="2"/>
  <c r="T110" i="2" s="1"/>
  <c r="S95" i="2"/>
  <c r="T95" i="2" s="1"/>
  <c r="S26" i="2"/>
  <c r="T26" i="2" s="1"/>
  <c r="S98" i="2"/>
  <c r="T98" i="2" s="1"/>
  <c r="S66" i="2"/>
  <c r="T66" i="2" s="1"/>
  <c r="S33" i="2"/>
  <c r="T33" i="2" s="1"/>
  <c r="S32" i="2"/>
  <c r="T32" i="2" s="1"/>
  <c r="S106" i="2"/>
  <c r="T106" i="2" s="1"/>
  <c r="S62" i="2"/>
  <c r="T62" i="2" s="1"/>
  <c r="S31" i="2"/>
  <c r="T31" i="2" s="1"/>
  <c r="S7" i="2"/>
  <c r="T7" i="2" s="1"/>
  <c r="D26" i="3" l="1" a="1"/>
  <c r="D26" i="3" s="1"/>
  <c r="D22" i="3" a="1"/>
  <c r="D22" i="3" s="1"/>
  <c r="H24" i="3" a="1"/>
  <c r="H24" i="3" s="1"/>
  <c r="H27" i="3" a="1"/>
  <c r="H27" i="3" s="1"/>
  <c r="H15" i="3" a="1"/>
  <c r="H15" i="3" s="1"/>
  <c r="H26" i="3" a="1"/>
  <c r="H26" i="3" s="1"/>
  <c r="F29" i="3" a="1"/>
  <c r="F29" i="3" s="1"/>
  <c r="H14" i="3" a="1"/>
  <c r="H14" i="3" s="1"/>
  <c r="D25" i="3" a="1"/>
  <c r="D25" i="3" s="1"/>
  <c r="H22" i="3" a="1"/>
  <c r="H22" i="3" s="1"/>
  <c r="H23" i="3" a="1"/>
  <c r="H23" i="3" s="1"/>
  <c r="H13" i="3" a="1"/>
  <c r="H13" i="3" s="1"/>
  <c r="H12" i="3" a="1"/>
  <c r="H12" i="3" s="1"/>
  <c r="D24" i="3" a="1"/>
  <c r="D24" i="3" s="1"/>
  <c r="D27" i="3" a="1"/>
  <c r="D27" i="3" s="1"/>
  <c r="D23" i="3" a="1"/>
  <c r="D23" i="3" s="1"/>
  <c r="H25" i="3" a="1"/>
  <c r="H2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<sst xmlns="http://schemas.openxmlformats.org/spreadsheetml/2006/main" count="330" uniqueCount="109">
  <si>
    <t>EMP001</t>
  </si>
  <si>
    <t>Aarav Sharma</t>
  </si>
  <si>
    <t>Engineering</t>
  </si>
  <si>
    <t>Software Engineer</t>
  </si>
  <si>
    <t>HDFC Bank</t>
  </si>
  <si>
    <t>50100234561001</t>
  </si>
  <si>
    <t>AAAAA1237A</t>
  </si>
  <si>
    <t>Yes</t>
  </si>
  <si>
    <t>Active</t>
  </si>
  <si>
    <t>EMP002</t>
  </si>
  <si>
    <t>Riya Verma</t>
  </si>
  <si>
    <t>HR</t>
  </si>
  <si>
    <t>HR Executive</t>
  </si>
  <si>
    <t>ICICI Bank</t>
  </si>
  <si>
    <t>00340123456702</t>
  </si>
  <si>
    <t>BBBBB2345B</t>
  </si>
  <si>
    <t>EMP003</t>
  </si>
  <si>
    <t>Kunal Jain</t>
  </si>
  <si>
    <t>Finance</t>
  </si>
  <si>
    <t>Accountant</t>
  </si>
  <si>
    <t>SBI</t>
  </si>
  <si>
    <t>31245678903001</t>
  </si>
  <si>
    <t>CCCCC3456C</t>
  </si>
  <si>
    <t>EMP004</t>
  </si>
  <si>
    <t>Ananya Singh</t>
  </si>
  <si>
    <t>Marketing</t>
  </si>
  <si>
    <t>Marketing Executive</t>
  </si>
  <si>
    <t>Axis Bank</t>
  </si>
  <si>
    <t>91201004567804</t>
  </si>
  <si>
    <t>DDDDD0456D</t>
  </si>
  <si>
    <t>EMP005</t>
  </si>
  <si>
    <t>Rahul Mehta</t>
  </si>
  <si>
    <t>Data Analyst</t>
  </si>
  <si>
    <t>50100234561005</t>
  </si>
  <si>
    <t>EEEEE5678E</t>
  </si>
  <si>
    <t>EMP006</t>
  </si>
  <si>
    <t>Priya Patel</t>
  </si>
  <si>
    <t>Operations</t>
  </si>
  <si>
    <t>Operations Executive</t>
  </si>
  <si>
    <t>31245678906006</t>
  </si>
  <si>
    <t>FFFFF6789F</t>
  </si>
  <si>
    <t>EMP007</t>
  </si>
  <si>
    <t>Aditya Gupta</t>
  </si>
  <si>
    <t>ML Engineer</t>
  </si>
  <si>
    <t>00340123456707</t>
  </si>
  <si>
    <t>GGGGG7098G</t>
  </si>
  <si>
    <t>EMP008</t>
  </si>
  <si>
    <t>Sneha Joshi</t>
  </si>
  <si>
    <t>Financial Analyst</t>
  </si>
  <si>
    <t>91201004567808</t>
  </si>
  <si>
    <t>HHHHH8901H</t>
  </si>
  <si>
    <t>EMP009</t>
  </si>
  <si>
    <t>Mohit Verma</t>
  </si>
  <si>
    <t>Sales</t>
  </si>
  <si>
    <t>Sales Executive</t>
  </si>
  <si>
    <t>50100234561009</t>
  </si>
  <si>
    <t>JJJJJ9012J</t>
  </si>
  <si>
    <t>EMP010</t>
  </si>
  <si>
    <t>Neha Kapoor</t>
  </si>
  <si>
    <t>HR Manager</t>
  </si>
  <si>
    <t>31245678900010</t>
  </si>
  <si>
    <t>KKKKK0123K</t>
  </si>
  <si>
    <t>Employee ID</t>
  </si>
  <si>
    <t>Employee Name</t>
  </si>
  <si>
    <t>Department</t>
  </si>
  <si>
    <t>Designation</t>
  </si>
  <si>
    <t>Date of Joining</t>
  </si>
  <si>
    <t>Bank Name</t>
  </si>
  <si>
    <t>Bank Account No.</t>
  </si>
  <si>
    <t>PAN</t>
  </si>
  <si>
    <t>PF Applicable</t>
  </si>
  <si>
    <t>ESI Applicable</t>
  </si>
  <si>
    <t>Status</t>
  </si>
  <si>
    <t>Loan/Advance EMI recovery</t>
  </si>
  <si>
    <t>Salary Month</t>
  </si>
  <si>
    <t>Working Days</t>
  </si>
  <si>
    <t>LOP Days</t>
  </si>
  <si>
    <t>Paid Days</t>
  </si>
  <si>
    <t>Basic Salary</t>
  </si>
  <si>
    <t>HRA</t>
  </si>
  <si>
    <t>Conveyance</t>
  </si>
  <si>
    <t>Special Allowance</t>
  </si>
  <si>
    <t>Other Earnings</t>
  </si>
  <si>
    <t>Payable Basic</t>
  </si>
  <si>
    <t>ESI</t>
  </si>
  <si>
    <t>Professional Tax</t>
  </si>
  <si>
    <t>TDS</t>
  </si>
  <si>
    <t>Other Deductions</t>
  </si>
  <si>
    <t>Other Deduction Remark</t>
  </si>
  <si>
    <t>Total Deductions</t>
  </si>
  <si>
    <t>Net Salary</t>
  </si>
  <si>
    <t>SALARY SLIP</t>
  </si>
  <si>
    <t>EMPLOYEE DETAILS</t>
  </si>
  <si>
    <t>ATTENDANCE</t>
  </si>
  <si>
    <t>EARNINGS</t>
  </si>
  <si>
    <t>DEDUCTIONS</t>
  </si>
  <si>
    <t>Provident Fund (PF)</t>
  </si>
  <si>
    <t>House Rent Allowance</t>
  </si>
  <si>
    <t>Conveyance Allowance</t>
  </si>
  <si>
    <t>GROSS EARNINGS</t>
  </si>
  <si>
    <t>TOTAL DEDUCTIONS</t>
  </si>
  <si>
    <t>NET SALARY PAYABLE</t>
  </si>
  <si>
    <t>Stark Industries</t>
  </si>
  <si>
    <t>Gross Earnings</t>
  </si>
  <si>
    <t>Authorized Signatory</t>
  </si>
  <si>
    <t>Vishwas</t>
  </si>
  <si>
    <t>Signature</t>
  </si>
  <si>
    <t>Employee Signatory</t>
  </si>
  <si>
    <t>Indore, Madhya Pradesh   |   hr@stark.example   |   +91 90231 10213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</si>
</sst>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mmm\-yyyy"/>
    <numFmt numFmtId="165" formatCode="dd\-mmm\-yyyy"/>
    <numFmt numFmtId="166" formatCode="_ [$₹-4009]\ * #,##0.00_ ;_ [$₹-4009]\ * \-#,##0.00_ ;_ [$₹-4009]\ * &quot;-&quot;??_ ;_ @_ "/>
    <numFmt numFmtId="167" formatCode="mmm/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b/>
      <sz val="12"/>
      <color rgb="FF1F4E78"/>
      <name val="Calibri"/>
      <family val="2"/>
    </font>
    <font>
      <b/>
      <sz val="12"/>
      <name val="Calibri"/>
      <family val="2"/>
    </font>
    <font>
      <b/>
      <sz val="12"/>
      <color theme="1"/>
      <name val="Arial Black"/>
      <family val="2"/>
    </font>
    <font>
      <sz val="10"/>
      <color rgb="FFFF0000"/>
      <name val="Edwardian Script ITC"/>
      <family val="4"/>
    </font>
    <font>
      <b/>
      <sz val="12"/>
      <color theme="1"/>
      <name val="Calibri"/>
      <family val="2"/>
      <scheme val="minor"/>
    </font>
    <font>
      <b/>
      <u/>
      <sz val="12"/>
      <color rgb="FF1F4E78"/>
      <name val="Calibri"/>
      <family val="2"/>
    </font>
    <font>
      <b/>
      <sz val="12"/>
      <color theme="1" tint="4.9989318521683403E-2"/>
      <name val="Calibri"/>
      <family val="2"/>
    </font>
    <font>
      <b/>
      <sz val="12"/>
      <color theme="1" tint="4.9989318521683403E-2"/>
      <name val="Calibri"/>
      <family val="2"/>
      <scheme val="minor"/>
    </font>
    <font>
      <b/>
      <i/>
      <sz val="12"/>
      <color rgb="FF808080"/>
      <name val="Calibri"/>
      <family val="2"/>
    </font>
    <font>
      <b/>
      <i/>
      <u/>
      <sz val="14"/>
      <color rgb="FFFF0000"/>
      <name val="Edwardian Script ITC"/>
      <family val="4"/>
    </font>
    <font>
      <b/>
      <i/>
      <u/>
      <sz val="18"/>
      <color rgb="FFFF0000"/>
      <name val="Edwardian Script ITC"/>
      <family val="4"/>
    </font>
    <font>
      <b/>
      <i/>
      <u/>
      <sz val="24"/>
      <color rgb="FFFF0000"/>
      <name val="Edwardian Script ITC"/>
      <family val="4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A2E0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 tint="-0.249977111117893"/>
        <bgColor theme="4" tint="0.79998168889431442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/>
    <xf numFmtId="0" fontId="0" fillId="4" borderId="0" xfId="0" applyFill="1"/>
    <xf numFmtId="3" fontId="6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/>
    <xf numFmtId="0" fontId="6" fillId="0" borderId="1" xfId="0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2" fillId="0" borderId="0" xfId="0" applyFont="1"/>
    <xf numFmtId="0" fontId="12" fillId="0" borderId="1" xfId="0" applyFont="1" applyBorder="1"/>
    <xf numFmtId="0" fontId="12" fillId="0" borderId="4" xfId="0" applyFont="1" applyBorder="1"/>
    <xf numFmtId="0" fontId="14" fillId="0" borderId="1" xfId="0" applyFont="1" applyBorder="1" applyAlignment="1">
      <alignment textRotation="24"/>
    </xf>
    <xf numFmtId="0" fontId="11" fillId="5" borderId="2" xfId="0" applyFont="1" applyFill="1" applyBorder="1"/>
    <xf numFmtId="0" fontId="15" fillId="0" borderId="1" xfId="0" applyFont="1" applyBorder="1"/>
    <xf numFmtId="167" fontId="12" fillId="0" borderId="1" xfId="0" applyNumberFormat="1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5" fillId="0" borderId="0" xfId="0" applyFont="1"/>
    <xf numFmtId="0" fontId="15" fillId="0" borderId="5" xfId="0" applyFont="1" applyBorder="1"/>
    <xf numFmtId="0" fontId="15" fillId="0" borderId="3" xfId="0" applyFont="1" applyBorder="1"/>
    <xf numFmtId="0" fontId="15" fillId="0" borderId="10" xfId="0" applyFont="1" applyBorder="1"/>
    <xf numFmtId="0" fontId="15" fillId="0" borderId="9" xfId="0" applyFont="1" applyBorder="1"/>
    <xf numFmtId="166" fontId="12" fillId="0" borderId="1" xfId="1" applyNumberFormat="1" applyFont="1" applyBorder="1" applyAlignment="1">
      <alignment horizontal="right"/>
    </xf>
    <xf numFmtId="166" fontId="12" fillId="0" borderId="1" xfId="0" applyNumberFormat="1" applyFont="1" applyBorder="1" applyAlignment="1">
      <alignment horizontal="right"/>
    </xf>
    <xf numFmtId="0" fontId="20" fillId="0" borderId="0" xfId="0" applyFont="1" applyAlignment="1">
      <alignment horizontal="center" textRotation="24"/>
    </xf>
    <xf numFmtId="44" fontId="12" fillId="0" borderId="1" xfId="1" applyFont="1" applyBorder="1" applyAlignment="1">
      <alignment horizontal="right"/>
    </xf>
    <xf numFmtId="0" fontId="2" fillId="7" borderId="6" xfId="0" applyFont="1" applyFill="1" applyBorder="1"/>
    <xf numFmtId="0" fontId="6" fillId="8" borderId="6" xfId="0" applyFont="1" applyFill="1" applyBorder="1" applyAlignment="1">
      <alignment horizontal="center"/>
    </xf>
    <xf numFmtId="3" fontId="6" fillId="8" borderId="6" xfId="0" applyNumberFormat="1" applyFont="1" applyFill="1" applyBorder="1"/>
    <xf numFmtId="3" fontId="6" fillId="9" borderId="6" xfId="0" applyNumberFormat="1" applyFont="1" applyFill="1" applyBorder="1"/>
    <xf numFmtId="0" fontId="13" fillId="0" borderId="0" xfId="0" applyFont="1" applyAlignment="1">
      <alignment horizontal="center"/>
    </xf>
    <xf numFmtId="0" fontId="22" fillId="0" borderId="0" xfId="0" applyFont="1" applyAlignment="1">
      <alignment horizontal="center" vertical="top" textRotation="24"/>
    </xf>
    <xf numFmtId="0" fontId="22" fillId="0" borderId="11" xfId="0" applyFont="1" applyBorder="1" applyAlignment="1">
      <alignment horizontal="center" vertical="top" textRotation="24"/>
    </xf>
    <xf numFmtId="0" fontId="21" fillId="0" borderId="0" xfId="0" applyFont="1" applyAlignment="1">
      <alignment horizontal="center" vertical="center" textRotation="24"/>
    </xf>
    <xf numFmtId="0" fontId="21" fillId="0" borderId="11" xfId="0" applyFont="1" applyBorder="1" applyAlignment="1">
      <alignment horizontal="center" vertical="center" textRotation="24"/>
    </xf>
    <xf numFmtId="0" fontId="15" fillId="0" borderId="0" xfId="0" applyFont="1" applyAlignment="1">
      <alignment horizontal="center" vertical="center"/>
    </xf>
    <xf numFmtId="0" fontId="12" fillId="0" borderId="1" xfId="0" applyFont="1" applyBorder="1"/>
    <xf numFmtId="0" fontId="15" fillId="0" borderId="1" xfId="0" applyFont="1" applyBorder="1"/>
    <xf numFmtId="0" fontId="10" fillId="6" borderId="0" xfId="0" applyFont="1" applyFill="1" applyAlignment="1">
      <alignment horizontal="left" vertical="center" indent="1"/>
    </xf>
    <xf numFmtId="0" fontId="15" fillId="6" borderId="0" xfId="0" applyFont="1" applyFill="1"/>
    <xf numFmtId="166" fontId="10" fillId="6" borderId="0" xfId="0" applyNumberFormat="1" applyFont="1" applyFill="1" applyAlignment="1">
      <alignment horizontal="right"/>
    </xf>
    <xf numFmtId="166" fontId="15" fillId="6" borderId="0" xfId="0" applyNumberFormat="1" applyFont="1" applyFill="1" applyAlignment="1">
      <alignment horizontal="right"/>
    </xf>
    <xf numFmtId="0" fontId="10" fillId="3" borderId="1" xfId="0" applyFont="1" applyFill="1" applyBorder="1" applyAlignment="1">
      <alignment horizontal="left" vertical="center" indent="1"/>
    </xf>
    <xf numFmtId="0" fontId="15" fillId="3" borderId="1" xfId="0" applyFont="1" applyFill="1" applyBorder="1"/>
    <xf numFmtId="0" fontId="9" fillId="3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/>
    <xf numFmtId="167" fontId="11" fillId="5" borderId="7" xfId="0" applyNumberFormat="1" applyFont="1" applyFill="1" applyBorder="1" applyAlignment="1">
      <alignment horizontal="center"/>
    </xf>
    <xf numFmtId="167" fontId="11" fillId="5" borderId="8" xfId="0" applyNumberFormat="1" applyFont="1" applyFill="1" applyBorder="1" applyAlignment="1">
      <alignment horizontal="center"/>
    </xf>
    <xf numFmtId="0" fontId="19" fillId="0" borderId="0" xfId="0" applyFont="1"/>
    <xf numFmtId="165" fontId="12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left"/>
    </xf>
  </cellXfs>
  <cellStyles count="2">
    <cellStyle name="Currency" xfId="1" builtinId="4"/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FCE4D6"/>
        </patternFill>
      </fill>
    </dxf>
  </dxfs>
  <tableStyles count="0" defaultTableStyle="TableStyleMedium2" defaultPivotStyle="PivotStyleLight16"/>
  <colors>
    <mruColors>
      <color rgb="FF0A2E08"/>
      <color rgb="FF1F5127"/>
      <color rgb="FFD2D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429952</xdr:colOff>
      <xdr:row>12</xdr:row>
      <xdr:rowOff>173820</xdr:rowOff>
    </xdr:from>
    <xdr:to>
      <xdr:col>7</xdr:col>
      <xdr:colOff>381706</xdr:colOff>
      <xdr:row>24</xdr:row>
      <xdr:rowOff>31599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4CBBC2-7F1A-483D-8415-2AFD12464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1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GlowEdges/>
                  </a14:imgEffect>
                  <a14:imgEffect>
                    <a14:colorTemperature colorTemp="5807"/>
                  </a14:imgEffect>
                  <a14:imgEffect>
                    <a14:saturation sat="1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500000">
          <a:off x="429952" y="2599520"/>
          <a:ext cx="5209554" cy="2296179"/>
        </a:xfrm>
        <a:prstGeom prst="rect">
          <a:avLst/>
        </a:prstGeom>
        <a:noFill/>
        <a:ln>
          <a:noFill/>
        </a:ln>
        <a:effectLst>
          <a:glow rad="127000">
            <a:schemeClr val="accent1">
              <a:alpha val="0"/>
            </a:schemeClr>
          </a:glow>
          <a:reflection stA="0" dir="5400000" sy="-100000" algn="bl" rotWithShape="0"/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 z="114300">
          <a:bevelT w="139700" h="139700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163892</xdr:colOff>
      <xdr:row>2</xdr:row>
      <xdr:rowOff>48420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A28EF0-D83C-BC3D-184F-04C2ED770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70000" contrast="-70000"/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52892" cy="442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304800</xdr:colOff>
      <xdr:row>10</xdr:row>
      <xdr:rowOff>107950</xdr:rowOff>
    </xdr:to>
    <xdr:sp macro="" textlink="">
      <xdr:nvSpPr>
        <xdr:cNvPr id="3081" name="AutoShape 9" descr=", AI generated">
          <a:extLst>
            <a:ext uri="{FF2B5EF4-FFF2-40B4-BE49-F238E27FC236}">
              <a16:creationId xmlns:a16="http://schemas.microsoft.com/office/drawing/2014/main" id="{C8E5F0FE-145B-5FEC-2F80-CADB631514C7}"/>
            </a:ext>
          </a:extLst>
        </xdr:cNvPr>
        <xdr:cNvSpPr>
          <a:spLocks noChangeAspect="1" noChangeArrowheads="1"/>
        </xdr:cNvSpPr>
      </xdr:nvSpPr>
      <xdr:spPr bwMode="auto">
        <a:xfrm>
          <a:off x="10953750" y="17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Milk Glass">
      <a:fillStyleLst>
        <a:solidFill>
          <a:schemeClr val="phClr"/>
        </a:solidFill>
        <a:gradFill rotWithShape="1">
          <a:gsLst>
            <a:gs pos="0">
              <a:schemeClr val="phClr">
                <a:tint val="15000"/>
                <a:satMod val="250000"/>
              </a:schemeClr>
            </a:gs>
            <a:gs pos="49000">
              <a:schemeClr val="phClr">
                <a:tint val="50000"/>
                <a:satMod val="200000"/>
              </a:schemeClr>
            </a:gs>
            <a:gs pos="49100">
              <a:schemeClr val="phClr">
                <a:tint val="64000"/>
                <a:satMod val="160000"/>
              </a:schemeClr>
            </a:gs>
            <a:gs pos="92000">
              <a:schemeClr val="phClr">
                <a:tint val="50000"/>
                <a:satMod val="200000"/>
              </a:schemeClr>
            </a:gs>
            <a:gs pos="100000">
              <a:schemeClr val="phClr">
                <a:tint val="43000"/>
                <a:satMod val="19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74000"/>
              </a:schemeClr>
            </a:gs>
            <a:gs pos="49000">
              <a:schemeClr val="phClr">
                <a:tint val="96000"/>
                <a:shade val="84000"/>
                <a:satMod val="110000"/>
              </a:schemeClr>
            </a:gs>
            <a:gs pos="49100">
              <a:schemeClr val="phClr">
                <a:shade val="55000"/>
                <a:satMod val="150000"/>
              </a:schemeClr>
            </a:gs>
            <a:gs pos="92000">
              <a:schemeClr val="phClr">
                <a:tint val="98000"/>
                <a:shade val="90000"/>
                <a:satMod val="128000"/>
              </a:schemeClr>
            </a:gs>
            <a:gs pos="100000">
              <a:schemeClr val="phClr">
                <a:tint val="90000"/>
                <a:shade val="97000"/>
                <a:satMod val="128000"/>
              </a:schemeClr>
            </a:gs>
          </a:gsLst>
          <a:lin ang="5400000" scaled="1"/>
        </a:gradFill>
      </a:fillStyleLst>
      <a:lnStyleLst>
        <a:ln w="11430" cap="flat" cmpd="sng" algn="ctr">
          <a:solidFill>
            <a:schemeClr val="phClr"/>
          </a:solidFill>
          <a:prstDash val="solid"/>
        </a:ln>
        <a:ln w="40000" cap="flat" cmpd="sng" algn="ctr">
          <a:solidFill>
            <a:schemeClr val="phClr"/>
          </a:solidFill>
          <a:prstDash val="solid"/>
        </a:ln>
        <a:ln w="31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chemeClr val="phClr">
                <a:shade val="30000"/>
                <a:satMod val="150000"/>
                <a:alpha val="38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500000"/>
            </a:lightRig>
          </a:scene3d>
          <a:sp3d extrusionH="127000" prstMaterial="powder">
            <a:bevelT w="50800" h="635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zoomScale="56" workbookViewId="0">
      <selection activeCell="D5" sqref="D5"/>
    </sheetView>
  </sheetViews>
  <sheetFormatPr defaultRowHeight="14.5" x14ac:dyDescent="0.35"/>
  <cols>
    <col min="1" max="1" width="11.26953125" bestFit="1" customWidth="1"/>
    <col min="2" max="2" width="14.453125" bestFit="1" customWidth="1"/>
    <col min="3" max="3" width="14.453125" customWidth="1"/>
    <col min="4" max="4" width="10.90625" bestFit="1" customWidth="1"/>
    <col min="5" max="5" width="17.08984375" bestFit="1" customWidth="1"/>
    <col min="6" max="6" width="13.1796875" bestFit="1" customWidth="1"/>
    <col min="7" max="7" width="10.26953125" bestFit="1" customWidth="1"/>
    <col min="8" max="8" width="15.54296875" bestFit="1" customWidth="1"/>
    <col min="9" max="9" width="11.54296875" bestFit="1" customWidth="1"/>
    <col min="10" max="10" width="11.81640625" bestFit="1" customWidth="1"/>
    <col min="11" max="11" width="12.36328125" bestFit="1" customWidth="1"/>
    <col min="12" max="12" width="5.90625" bestFit="1" customWidth="1"/>
  </cols>
  <sheetData>
    <row r="1" spans="1:16" x14ac:dyDescent="0.35">
      <c r="A1" s="4" t="s">
        <v>62</v>
      </c>
      <c r="B1" s="4" t="s">
        <v>63</v>
      </c>
      <c r="C1" s="4" t="s">
        <v>106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70</v>
      </c>
      <c r="K1" s="4" t="s">
        <v>71</v>
      </c>
      <c r="L1" s="4" t="s">
        <v>72</v>
      </c>
      <c r="P1" s="8">
        <v>46023</v>
      </c>
    </row>
    <row r="2" spans="1:16" ht="34" x14ac:dyDescent="0.35">
      <c r="A2" s="2" t="s">
        <v>0</v>
      </c>
      <c r="B2" s="1" t="s">
        <v>1</v>
      </c>
      <c r="C2" s="16" t="s">
        <v>1</v>
      </c>
      <c r="D2" s="2" t="s">
        <v>2</v>
      </c>
      <c r="E2" s="2" t="s">
        <v>3</v>
      </c>
      <c r="F2" s="3">
        <v>45306</v>
      </c>
      <c r="G2" s="1" t="s">
        <v>4</v>
      </c>
      <c r="H2" s="1" t="s">
        <v>5</v>
      </c>
      <c r="I2" s="1" t="s">
        <v>6</v>
      </c>
      <c r="J2" s="2" t="s">
        <v>7</v>
      </c>
      <c r="K2" s="2" t="s">
        <v>7</v>
      </c>
      <c r="L2" s="2" t="s">
        <v>8</v>
      </c>
      <c r="P2" s="8">
        <v>46054</v>
      </c>
    </row>
    <row r="3" spans="1:16" ht="31" x14ac:dyDescent="0.35">
      <c r="A3" s="2" t="s">
        <v>9</v>
      </c>
      <c r="B3" s="1" t="s">
        <v>10</v>
      </c>
      <c r="C3" s="16" t="s">
        <v>10</v>
      </c>
      <c r="D3" s="2" t="s">
        <v>11</v>
      </c>
      <c r="E3" s="2" t="s">
        <v>12</v>
      </c>
      <c r="F3" s="3">
        <v>45361</v>
      </c>
      <c r="G3" s="1" t="s">
        <v>13</v>
      </c>
      <c r="H3" s="1" t="s">
        <v>14</v>
      </c>
      <c r="I3" s="1" t="s">
        <v>15</v>
      </c>
      <c r="J3" s="2" t="s">
        <v>7</v>
      </c>
      <c r="K3" s="2" t="s">
        <v>7</v>
      </c>
      <c r="L3" s="2" t="s">
        <v>8</v>
      </c>
      <c r="P3" s="8">
        <v>46082</v>
      </c>
    </row>
    <row r="4" spans="1:16" ht="29.5" x14ac:dyDescent="0.35">
      <c r="A4" s="2" t="s">
        <v>16</v>
      </c>
      <c r="B4" s="1" t="s">
        <v>17</v>
      </c>
      <c r="C4" s="16" t="s">
        <v>17</v>
      </c>
      <c r="D4" s="2" t="s">
        <v>18</v>
      </c>
      <c r="E4" s="2" t="s">
        <v>19</v>
      </c>
      <c r="F4" s="3">
        <v>45112</v>
      </c>
      <c r="G4" s="1" t="s">
        <v>20</v>
      </c>
      <c r="H4" s="1" t="s">
        <v>21</v>
      </c>
      <c r="I4" s="1" t="s">
        <v>22</v>
      </c>
      <c r="J4" s="2" t="s">
        <v>7</v>
      </c>
      <c r="K4" s="2" t="s">
        <v>7</v>
      </c>
      <c r="L4" s="2" t="s">
        <v>8</v>
      </c>
      <c r="P4" s="8">
        <v>46113</v>
      </c>
    </row>
    <row r="5" spans="1:16" ht="34" x14ac:dyDescent="0.35">
      <c r="A5" s="2" t="s">
        <v>23</v>
      </c>
      <c r="B5" s="1" t="s">
        <v>24</v>
      </c>
      <c r="C5" s="16" t="s">
        <v>24</v>
      </c>
      <c r="D5" s="2" t="s">
        <v>25</v>
      </c>
      <c r="E5" s="2" t="s">
        <v>26</v>
      </c>
      <c r="F5" s="3">
        <v>45708</v>
      </c>
      <c r="G5" s="1" t="s">
        <v>27</v>
      </c>
      <c r="H5" s="1" t="s">
        <v>28</v>
      </c>
      <c r="I5" s="1" t="s">
        <v>29</v>
      </c>
      <c r="J5" s="2" t="s">
        <v>7</v>
      </c>
      <c r="K5" s="2" t="s">
        <v>7</v>
      </c>
      <c r="L5" s="2" t="s">
        <v>8</v>
      </c>
      <c r="P5" s="8">
        <v>46143</v>
      </c>
    </row>
    <row r="6" spans="1:16" ht="32" x14ac:dyDescent="0.35">
      <c r="A6" s="2" t="s">
        <v>30</v>
      </c>
      <c r="B6" s="1" t="s">
        <v>31</v>
      </c>
      <c r="C6" s="16" t="s">
        <v>31</v>
      </c>
      <c r="D6" s="2" t="s">
        <v>2</v>
      </c>
      <c r="E6" s="2" t="s">
        <v>32</v>
      </c>
      <c r="F6" s="3">
        <v>45516</v>
      </c>
      <c r="G6" s="1" t="s">
        <v>4</v>
      </c>
      <c r="H6" s="1" t="s">
        <v>33</v>
      </c>
      <c r="I6" s="1" t="s">
        <v>34</v>
      </c>
      <c r="J6" s="2" t="s">
        <v>7</v>
      </c>
      <c r="K6" s="2" t="s">
        <v>7</v>
      </c>
      <c r="L6" s="2" t="s">
        <v>8</v>
      </c>
      <c r="P6" s="8">
        <v>46174</v>
      </c>
    </row>
    <row r="7" spans="1:16" ht="29.5" x14ac:dyDescent="0.35">
      <c r="A7" s="2" t="s">
        <v>35</v>
      </c>
      <c r="B7" s="1" t="s">
        <v>36</v>
      </c>
      <c r="C7" s="16" t="s">
        <v>36</v>
      </c>
      <c r="D7" s="2" t="s">
        <v>37</v>
      </c>
      <c r="E7" s="2" t="s">
        <v>38</v>
      </c>
      <c r="F7" s="3">
        <v>45187</v>
      </c>
      <c r="G7" s="1" t="s">
        <v>20</v>
      </c>
      <c r="H7" s="1" t="s">
        <v>39</v>
      </c>
      <c r="I7" s="1" t="s">
        <v>40</v>
      </c>
      <c r="J7" s="2" t="s">
        <v>7</v>
      </c>
      <c r="K7" s="2" t="s">
        <v>7</v>
      </c>
      <c r="L7" s="2" t="s">
        <v>8</v>
      </c>
      <c r="P7" s="8">
        <v>46204</v>
      </c>
    </row>
    <row r="8" spans="1:16" ht="31.5" x14ac:dyDescent="0.35">
      <c r="A8" s="2" t="s">
        <v>41</v>
      </c>
      <c r="B8" s="1" t="s">
        <v>42</v>
      </c>
      <c r="C8" s="16" t="s">
        <v>42</v>
      </c>
      <c r="D8" s="2" t="s">
        <v>2</v>
      </c>
      <c r="E8" s="2" t="s">
        <v>43</v>
      </c>
      <c r="F8" s="3">
        <v>45659</v>
      </c>
      <c r="G8" s="1" t="s">
        <v>13</v>
      </c>
      <c r="H8" s="1" t="s">
        <v>44</v>
      </c>
      <c r="I8" s="1" t="s">
        <v>45</v>
      </c>
      <c r="J8" s="2" t="s">
        <v>7</v>
      </c>
      <c r="K8" s="2" t="s">
        <v>7</v>
      </c>
      <c r="L8" s="2" t="s">
        <v>8</v>
      </c>
      <c r="P8" s="8">
        <v>46235</v>
      </c>
    </row>
    <row r="9" spans="1:16" ht="29.5" x14ac:dyDescent="0.35">
      <c r="A9" s="2" t="s">
        <v>46</v>
      </c>
      <c r="B9" s="1" t="s">
        <v>47</v>
      </c>
      <c r="C9" s="16" t="s">
        <v>47</v>
      </c>
      <c r="D9" s="2" t="s">
        <v>18</v>
      </c>
      <c r="E9" s="2" t="s">
        <v>48</v>
      </c>
      <c r="F9" s="3">
        <v>45407</v>
      </c>
      <c r="G9" s="1" t="s">
        <v>27</v>
      </c>
      <c r="H9" s="1" t="s">
        <v>49</v>
      </c>
      <c r="I9" s="1" t="s">
        <v>50</v>
      </c>
      <c r="J9" s="2" t="s">
        <v>7</v>
      </c>
      <c r="K9" s="2" t="s">
        <v>7</v>
      </c>
      <c r="L9" s="2" t="s">
        <v>8</v>
      </c>
      <c r="P9" s="8">
        <v>46266</v>
      </c>
    </row>
    <row r="10" spans="1:16" ht="32" x14ac:dyDescent="0.35">
      <c r="A10" s="2" t="s">
        <v>51</v>
      </c>
      <c r="B10" s="1" t="s">
        <v>52</v>
      </c>
      <c r="C10" s="16" t="s">
        <v>52</v>
      </c>
      <c r="D10" s="2" t="s">
        <v>53</v>
      </c>
      <c r="E10" s="2" t="s">
        <v>54</v>
      </c>
      <c r="F10" s="3">
        <v>45454</v>
      </c>
      <c r="G10" s="1" t="s">
        <v>4</v>
      </c>
      <c r="H10" s="1" t="s">
        <v>55</v>
      </c>
      <c r="I10" s="1" t="s">
        <v>56</v>
      </c>
      <c r="J10" s="2" t="s">
        <v>7</v>
      </c>
      <c r="K10" s="2" t="s">
        <v>7</v>
      </c>
      <c r="L10" s="2" t="s">
        <v>8</v>
      </c>
      <c r="P10" s="8">
        <v>46296</v>
      </c>
    </row>
    <row r="11" spans="1:16" ht="32" x14ac:dyDescent="0.35">
      <c r="A11" s="2" t="s">
        <v>57</v>
      </c>
      <c r="B11" s="1" t="s">
        <v>58</v>
      </c>
      <c r="C11" s="16" t="s">
        <v>58</v>
      </c>
      <c r="D11" s="2" t="s">
        <v>11</v>
      </c>
      <c r="E11" s="2" t="s">
        <v>59</v>
      </c>
      <c r="F11" s="3">
        <v>44873</v>
      </c>
      <c r="G11" s="1" t="s">
        <v>20</v>
      </c>
      <c r="H11" s="1" t="s">
        <v>60</v>
      </c>
      <c r="I11" s="1" t="s">
        <v>61</v>
      </c>
      <c r="J11" s="2" t="s">
        <v>7</v>
      </c>
      <c r="K11" s="2" t="s">
        <v>7</v>
      </c>
      <c r="L11" s="2" t="s">
        <v>8</v>
      </c>
      <c r="P11" s="8">
        <v>46327</v>
      </c>
    </row>
    <row r="12" spans="1:16" x14ac:dyDescent="0.35">
      <c r="P12" s="8">
        <v>46357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D739-4185-4593-8EBE-6DCD49F597C3}">
  <dimension ref="A1:E11"/>
  <sheetViews>
    <sheetView workbookViewId="0">
      <selection activeCell="F21" sqref="F21"/>
    </sheetView>
  </sheetViews>
  <sheetFormatPr defaultRowHeight="14.5" x14ac:dyDescent="0.35"/>
  <cols>
    <col min="1" max="1" width="11.26953125" bestFit="1" customWidth="1"/>
    <col min="2" max="2" width="10.453125" bestFit="1" customWidth="1"/>
    <col min="3" max="3" width="5.81640625" bestFit="1" customWidth="1"/>
    <col min="4" max="4" width="10.81640625" bestFit="1" customWidth="1"/>
    <col min="5" max="5" width="15.6328125" bestFit="1" customWidth="1"/>
  </cols>
  <sheetData>
    <row r="1" spans="1:5" x14ac:dyDescent="0.35">
      <c r="A1" s="30" t="s">
        <v>62</v>
      </c>
      <c r="B1" s="30" t="s">
        <v>78</v>
      </c>
      <c r="C1" s="30" t="s">
        <v>79</v>
      </c>
      <c r="D1" s="30" t="s">
        <v>80</v>
      </c>
      <c r="E1" s="30" t="s">
        <v>81</v>
      </c>
    </row>
    <row r="2" spans="1:5" x14ac:dyDescent="0.35">
      <c r="A2" s="31" t="str">
        <f>'Employee Master Table'!A2</f>
        <v>EMP001</v>
      </c>
      <c r="B2" s="32">
        <v>30000</v>
      </c>
      <c r="C2" s="32">
        <f>B2*40/100</f>
        <v>12000</v>
      </c>
      <c r="D2" s="32">
        <f>B2*10/100</f>
        <v>3000</v>
      </c>
      <c r="E2" s="32">
        <v>5000</v>
      </c>
    </row>
    <row r="3" spans="1:5" x14ac:dyDescent="0.35">
      <c r="A3" s="31" t="str">
        <f>'Employee Master Table'!A3</f>
        <v>EMP002</v>
      </c>
      <c r="B3" s="33">
        <v>25000</v>
      </c>
      <c r="C3" s="32">
        <f t="shared" ref="C3:C11" si="0">B3*40/100</f>
        <v>10000</v>
      </c>
      <c r="D3" s="32">
        <f t="shared" ref="D3:D11" si="1">B3*10/100</f>
        <v>2500</v>
      </c>
      <c r="E3" s="33">
        <v>4000</v>
      </c>
    </row>
    <row r="4" spans="1:5" x14ac:dyDescent="0.35">
      <c r="A4" s="31" t="str">
        <f>'Employee Master Table'!A4</f>
        <v>EMP003</v>
      </c>
      <c r="B4" s="32">
        <v>28000</v>
      </c>
      <c r="C4" s="32">
        <f t="shared" si="0"/>
        <v>11200</v>
      </c>
      <c r="D4" s="32">
        <f t="shared" si="1"/>
        <v>2800</v>
      </c>
      <c r="E4" s="32">
        <v>4500</v>
      </c>
    </row>
    <row r="5" spans="1:5" x14ac:dyDescent="0.35">
      <c r="A5" s="31" t="str">
        <f>'Employee Master Table'!A5</f>
        <v>EMP004</v>
      </c>
      <c r="B5" s="32">
        <v>26000</v>
      </c>
      <c r="C5" s="32">
        <f t="shared" si="0"/>
        <v>10400</v>
      </c>
      <c r="D5" s="32">
        <f t="shared" si="1"/>
        <v>2600</v>
      </c>
      <c r="E5" s="32">
        <v>4000</v>
      </c>
    </row>
    <row r="6" spans="1:5" x14ac:dyDescent="0.35">
      <c r="A6" s="31" t="str">
        <f>'Employee Master Table'!A6</f>
        <v>EMP005</v>
      </c>
      <c r="B6" s="33">
        <v>32000</v>
      </c>
      <c r="C6" s="32">
        <f t="shared" si="0"/>
        <v>12800</v>
      </c>
      <c r="D6" s="32">
        <f t="shared" si="1"/>
        <v>3200</v>
      </c>
      <c r="E6" s="33">
        <v>5500</v>
      </c>
    </row>
    <row r="7" spans="1:5" x14ac:dyDescent="0.35">
      <c r="A7" s="31" t="str">
        <f>'Employee Master Table'!A7</f>
        <v>EMP006</v>
      </c>
      <c r="B7" s="32">
        <v>24000</v>
      </c>
      <c r="C7" s="32">
        <f t="shared" si="0"/>
        <v>9600</v>
      </c>
      <c r="D7" s="32">
        <f t="shared" si="1"/>
        <v>2400</v>
      </c>
      <c r="E7" s="32">
        <v>3500</v>
      </c>
    </row>
    <row r="8" spans="1:5" x14ac:dyDescent="0.35">
      <c r="A8" s="31" t="str">
        <f>'Employee Master Table'!A8</f>
        <v>EMP007</v>
      </c>
      <c r="B8" s="33">
        <v>40000</v>
      </c>
      <c r="C8" s="32">
        <f t="shared" si="0"/>
        <v>16000</v>
      </c>
      <c r="D8" s="32">
        <f t="shared" si="1"/>
        <v>4000</v>
      </c>
      <c r="E8" s="33">
        <v>7000</v>
      </c>
    </row>
    <row r="9" spans="1:5" x14ac:dyDescent="0.35">
      <c r="A9" s="31" t="str">
        <f>'Employee Master Table'!A9</f>
        <v>EMP008</v>
      </c>
      <c r="B9" s="32">
        <v>30000</v>
      </c>
      <c r="C9" s="32">
        <f t="shared" si="0"/>
        <v>12000</v>
      </c>
      <c r="D9" s="32">
        <f t="shared" si="1"/>
        <v>3000</v>
      </c>
      <c r="E9" s="32">
        <v>5000</v>
      </c>
    </row>
    <row r="10" spans="1:5" x14ac:dyDescent="0.35">
      <c r="A10" s="31" t="str">
        <f>'Employee Master Table'!A10</f>
        <v>EMP009</v>
      </c>
      <c r="B10" s="33">
        <v>23000</v>
      </c>
      <c r="C10" s="32">
        <f t="shared" si="0"/>
        <v>9200</v>
      </c>
      <c r="D10" s="32">
        <f t="shared" si="1"/>
        <v>2300</v>
      </c>
      <c r="E10" s="33">
        <v>3500</v>
      </c>
    </row>
    <row r="11" spans="1:5" x14ac:dyDescent="0.35">
      <c r="A11" s="31" t="str">
        <f>'Employee Master Table'!A11</f>
        <v>EMP010</v>
      </c>
      <c r="B11" s="33">
        <v>45000</v>
      </c>
      <c r="C11" s="32">
        <f t="shared" si="0"/>
        <v>18000</v>
      </c>
      <c r="D11" s="32">
        <f t="shared" si="1"/>
        <v>4500</v>
      </c>
      <c r="E11" s="33">
        <v>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130A-0D28-4D43-B44C-A1AB49DAE3E4}">
  <dimension ref="A1:T121"/>
  <sheetViews>
    <sheetView zoomScale="69" workbookViewId="0">
      <pane xSplit="2" topLeftCell="C1" activePane="topRight" state="frozen"/>
      <selection pane="topRight" activeCell="S2" sqref="S2"/>
    </sheetView>
  </sheetViews>
  <sheetFormatPr defaultRowHeight="14.5" x14ac:dyDescent="0.35"/>
  <cols>
    <col min="1" max="1" width="13.81640625" bestFit="1" customWidth="1"/>
    <col min="2" max="2" width="14.6328125" bestFit="1" customWidth="1"/>
    <col min="3" max="3" width="15" bestFit="1" customWidth="1"/>
    <col min="4" max="4" width="11.26953125" bestFit="1" customWidth="1"/>
    <col min="5" max="5" width="11.54296875" style="10" bestFit="1" customWidth="1"/>
    <col min="6" max="6" width="13.81640625" style="10" bestFit="1" customWidth="1"/>
    <col min="7" max="7" width="6.26953125" bestFit="1" customWidth="1"/>
    <col min="8" max="8" width="13.6328125" bestFit="1" customWidth="1"/>
    <col min="9" max="9" width="19.6328125" bestFit="1" customWidth="1"/>
    <col min="10" max="10" width="16.36328125" bestFit="1" customWidth="1"/>
    <col min="11" max="11" width="15.7265625" bestFit="1" customWidth="1"/>
    <col min="12" max="12" width="14.1796875" style="10" bestFit="1" customWidth="1"/>
    <col min="13" max="13" width="5.54296875" bestFit="1" customWidth="1"/>
    <col min="14" max="14" width="6" bestFit="1" customWidth="1"/>
    <col min="15" max="15" width="18.6328125" bestFit="1" customWidth="1"/>
    <col min="16" max="16" width="5.90625" bestFit="1" customWidth="1"/>
    <col min="17" max="17" width="19.08984375" bestFit="1" customWidth="1"/>
    <col min="18" max="18" width="26.36328125" bestFit="1" customWidth="1"/>
    <col min="19" max="19" width="18.81640625" style="10" bestFit="1" customWidth="1"/>
    <col min="20" max="20" width="11.7265625" style="10" bestFit="1" customWidth="1"/>
  </cols>
  <sheetData>
    <row r="1" spans="1:20" ht="32" customHeight="1" x14ac:dyDescent="0.35">
      <c r="A1" s="11" t="s">
        <v>62</v>
      </c>
      <c r="B1" s="11" t="s">
        <v>74</v>
      </c>
      <c r="C1" s="11" t="s">
        <v>75</v>
      </c>
      <c r="D1" s="11" t="s">
        <v>76</v>
      </c>
      <c r="E1" s="12" t="s">
        <v>77</v>
      </c>
      <c r="F1" s="12" t="s">
        <v>78</v>
      </c>
      <c r="G1" s="11" t="s">
        <v>97</v>
      </c>
      <c r="H1" s="11" t="s">
        <v>98</v>
      </c>
      <c r="I1" s="11" t="s">
        <v>81</v>
      </c>
      <c r="J1" s="11" t="s">
        <v>82</v>
      </c>
      <c r="K1" s="11" t="s">
        <v>83</v>
      </c>
      <c r="L1" s="12" t="s">
        <v>103</v>
      </c>
      <c r="M1" s="12" t="s">
        <v>96</v>
      </c>
      <c r="N1" s="11" t="s">
        <v>84</v>
      </c>
      <c r="O1" s="11" t="s">
        <v>85</v>
      </c>
      <c r="P1" s="11" t="s">
        <v>86</v>
      </c>
      <c r="Q1" s="11" t="s">
        <v>87</v>
      </c>
      <c r="R1" s="11" t="s">
        <v>88</v>
      </c>
      <c r="S1" s="12" t="s">
        <v>89</v>
      </c>
      <c r="T1" s="12" t="s">
        <v>90</v>
      </c>
    </row>
    <row r="2" spans="1:20" x14ac:dyDescent="0.35">
      <c r="A2" s="7" t="s">
        <v>0</v>
      </c>
      <c r="B2" s="8">
        <v>46023</v>
      </c>
      <c r="C2" s="5">
        <f t="shared" ref="C2:C65" si="0">DAY(EOMONTH(B2,0))</f>
        <v>31</v>
      </c>
      <c r="D2" s="5">
        <v>1</v>
      </c>
      <c r="E2" s="6">
        <f t="shared" ref="E2:E65" si="1">C2-D2</f>
        <v>30</v>
      </c>
      <c r="F2" s="6">
        <f>_xlfn.XLOOKUP(A2,'Salary Structure'!A:A,'Salary Structure'!B:B,"NOT FOUND")</f>
        <v>30000</v>
      </c>
      <c r="G2" s="5">
        <f>_xlfn.XLOOKUP(A2,'Salary Structure'!A:A,'Salary Structure'!C:C,"NOT FOUND")*E2/C2</f>
        <v>11612.903225806451</v>
      </c>
      <c r="H2" s="5">
        <f>_xlfn.XLOOKUP(A2,'Salary Structure'!A:A,'Salary Structure'!D:D,"NOT FOUND")*E2/C2</f>
        <v>2903.2258064516127</v>
      </c>
      <c r="I2" s="5">
        <f>_xlfn.XLOOKUP(A2,'Salary Structure'!A:A,'Salary Structure'!E:E,"NOT FOUND")*E2/C2</f>
        <v>4838.7096774193551</v>
      </c>
      <c r="J2" s="5">
        <v>0</v>
      </c>
      <c r="K2" s="5">
        <f t="shared" ref="K2:K65" si="2">ROUND(F2*E2/C2,0)</f>
        <v>29032</v>
      </c>
      <c r="L2" s="6">
        <f>SUM(G2:K2)</f>
        <v>48386.838709677424</v>
      </c>
      <c r="M2" s="5">
        <f>F2*12/100</f>
        <v>3600</v>
      </c>
      <c r="N2" s="5">
        <f>L2*75/10000</f>
        <v>362.90129032258068</v>
      </c>
      <c r="O2" s="5">
        <v>208</v>
      </c>
      <c r="P2" s="5">
        <f>L2*3/100</f>
        <v>1451.6051612903227</v>
      </c>
      <c r="Q2" s="5">
        <v>0</v>
      </c>
      <c r="R2" s="9"/>
      <c r="S2" s="6">
        <f>M2+N2+O2+P2+Q2</f>
        <v>5622.5064516129041</v>
      </c>
      <c r="T2" s="6">
        <f t="shared" ref="T2:T65" si="3">L2-S2</f>
        <v>42764.332258064518</v>
      </c>
    </row>
    <row r="3" spans="1:20" x14ac:dyDescent="0.35">
      <c r="A3" s="7" t="s">
        <v>9</v>
      </c>
      <c r="B3" s="8">
        <v>46023</v>
      </c>
      <c r="C3" s="5">
        <f t="shared" si="0"/>
        <v>31</v>
      </c>
      <c r="D3" s="5">
        <v>2</v>
      </c>
      <c r="E3" s="6">
        <f t="shared" si="1"/>
        <v>29</v>
      </c>
      <c r="F3" s="6">
        <f>_xlfn.XLOOKUP(A3,'Salary Structure'!A:A,'Salary Structure'!B:B,"NOT FOUND")</f>
        <v>25000</v>
      </c>
      <c r="G3" s="5">
        <f>_xlfn.XLOOKUP(A3,'Salary Structure'!A:A,'Salary Structure'!C:C,"NOT FOUND")*E3/C3</f>
        <v>9354.8387096774186</v>
      </c>
      <c r="H3" s="5">
        <f>_xlfn.XLOOKUP(A3,'Salary Structure'!A:A,'Salary Structure'!D:D,"NOT FOUND")*E3/C3</f>
        <v>2338.7096774193546</v>
      </c>
      <c r="I3" s="5">
        <f>_xlfn.XLOOKUP(A3,'Salary Structure'!A:A,'Salary Structure'!E:E,"NOT FOUND")*E3/C3</f>
        <v>3741.9354838709678</v>
      </c>
      <c r="J3" s="5">
        <v>0</v>
      </c>
      <c r="K3" s="5">
        <f t="shared" si="2"/>
        <v>23387</v>
      </c>
      <c r="L3" s="6">
        <f t="shared" ref="L3:L66" si="4">SUM(G3:K3)</f>
        <v>38822.483870967742</v>
      </c>
      <c r="M3" s="5">
        <f t="shared" ref="M3:M66" si="5">F3*12/100</f>
        <v>3000</v>
      </c>
      <c r="N3" s="5">
        <f t="shared" ref="N3:N66" si="6">L3*75/10000</f>
        <v>291.16862903225808</v>
      </c>
      <c r="O3" s="5">
        <v>208</v>
      </c>
      <c r="P3" s="5">
        <f t="shared" ref="P3:P66" si="7">L3*3/100</f>
        <v>1164.6745161290323</v>
      </c>
      <c r="Q3" s="5">
        <v>0</v>
      </c>
      <c r="R3" s="9"/>
      <c r="S3" s="6">
        <f t="shared" ref="S3:S65" si="8">M3+N3+O3+P3+Q3</f>
        <v>4663.8431451612905</v>
      </c>
      <c r="T3" s="6">
        <f t="shared" si="3"/>
        <v>34158.64072580645</v>
      </c>
    </row>
    <row r="4" spans="1:20" x14ac:dyDescent="0.35">
      <c r="A4" s="7" t="s">
        <v>16</v>
      </c>
      <c r="B4" s="8">
        <v>46023</v>
      </c>
      <c r="C4" s="5">
        <f t="shared" si="0"/>
        <v>31</v>
      </c>
      <c r="D4" s="5">
        <v>1</v>
      </c>
      <c r="E4" s="6">
        <f t="shared" si="1"/>
        <v>30</v>
      </c>
      <c r="F4" s="6">
        <f>_xlfn.XLOOKUP(A4,'Salary Structure'!A:A,'Salary Structure'!B:B,"NOT FOUND")</f>
        <v>28000</v>
      </c>
      <c r="G4" s="5">
        <f>_xlfn.XLOOKUP(A4,'Salary Structure'!A:A,'Salary Structure'!C:C,"NOT FOUND")*E4/C4</f>
        <v>10838.709677419354</v>
      </c>
      <c r="H4" s="5">
        <f>_xlfn.XLOOKUP(A4,'Salary Structure'!A:A,'Salary Structure'!D:D,"NOT FOUND")*E4/C4</f>
        <v>2709.6774193548385</v>
      </c>
      <c r="I4" s="5">
        <f>_xlfn.XLOOKUP(A4,'Salary Structure'!A:A,'Salary Structure'!E:E,"NOT FOUND")*E4/C4</f>
        <v>4354.8387096774195</v>
      </c>
      <c r="J4" s="5">
        <v>0</v>
      </c>
      <c r="K4" s="5">
        <f t="shared" si="2"/>
        <v>27097</v>
      </c>
      <c r="L4" s="6">
        <f t="shared" si="4"/>
        <v>45000.225806451614</v>
      </c>
      <c r="M4" s="5">
        <f t="shared" si="5"/>
        <v>3360</v>
      </c>
      <c r="N4" s="5">
        <f t="shared" si="6"/>
        <v>337.5016935483871</v>
      </c>
      <c r="O4" s="5">
        <v>208</v>
      </c>
      <c r="P4" s="5">
        <f t="shared" si="7"/>
        <v>1350.0067741935484</v>
      </c>
      <c r="Q4" s="5">
        <v>300</v>
      </c>
      <c r="R4" s="9" t="s">
        <v>73</v>
      </c>
      <c r="S4" s="6">
        <f t="shared" si="8"/>
        <v>5555.5084677419354</v>
      </c>
      <c r="T4" s="6">
        <f t="shared" si="3"/>
        <v>39444.717338709677</v>
      </c>
    </row>
    <row r="5" spans="1:20" x14ac:dyDescent="0.35">
      <c r="A5" s="7" t="s">
        <v>23</v>
      </c>
      <c r="B5" s="8">
        <v>46023</v>
      </c>
      <c r="C5" s="5">
        <f t="shared" si="0"/>
        <v>31</v>
      </c>
      <c r="D5" s="5">
        <v>0</v>
      </c>
      <c r="E5" s="6">
        <f t="shared" si="1"/>
        <v>31</v>
      </c>
      <c r="F5" s="6">
        <f>_xlfn.XLOOKUP(A5,'Salary Structure'!A:A,'Salary Structure'!B:B,"NOT FOUND")</f>
        <v>26000</v>
      </c>
      <c r="G5" s="5">
        <f>_xlfn.XLOOKUP(A5,'Salary Structure'!A:A,'Salary Structure'!C:C,"NOT FOUND")*E5/C5</f>
        <v>10400</v>
      </c>
      <c r="H5" s="5">
        <f>_xlfn.XLOOKUP(A5,'Salary Structure'!A:A,'Salary Structure'!D:D,"NOT FOUND")*E5/C5</f>
        <v>2600</v>
      </c>
      <c r="I5" s="5">
        <f>_xlfn.XLOOKUP(A5,'Salary Structure'!A:A,'Salary Structure'!E:E,"NOT FOUND")*E5/C5</f>
        <v>4000</v>
      </c>
      <c r="J5" s="5">
        <v>0</v>
      </c>
      <c r="K5" s="5">
        <f t="shared" si="2"/>
        <v>26000</v>
      </c>
      <c r="L5" s="6">
        <f t="shared" si="4"/>
        <v>43000</v>
      </c>
      <c r="M5" s="5">
        <f t="shared" si="5"/>
        <v>3120</v>
      </c>
      <c r="N5" s="5">
        <f t="shared" si="6"/>
        <v>322.5</v>
      </c>
      <c r="O5" s="5">
        <v>208</v>
      </c>
      <c r="P5" s="5">
        <f t="shared" si="7"/>
        <v>1290</v>
      </c>
      <c r="Q5" s="5">
        <v>0</v>
      </c>
      <c r="R5" s="9"/>
      <c r="S5" s="6">
        <f t="shared" si="8"/>
        <v>4940.5</v>
      </c>
      <c r="T5" s="6">
        <f t="shared" si="3"/>
        <v>38059.5</v>
      </c>
    </row>
    <row r="6" spans="1:20" x14ac:dyDescent="0.35">
      <c r="A6" s="7" t="s">
        <v>30</v>
      </c>
      <c r="B6" s="8">
        <v>46023</v>
      </c>
      <c r="C6" s="5">
        <f t="shared" si="0"/>
        <v>31</v>
      </c>
      <c r="D6" s="5">
        <v>2</v>
      </c>
      <c r="E6" s="6">
        <f t="shared" si="1"/>
        <v>29</v>
      </c>
      <c r="F6" s="6">
        <f>_xlfn.XLOOKUP(A6,'Salary Structure'!A:A,'Salary Structure'!B:B,"NOT FOUND")</f>
        <v>32000</v>
      </c>
      <c r="G6" s="5">
        <f>_xlfn.XLOOKUP(A6,'Salary Structure'!A:A,'Salary Structure'!C:C,"NOT FOUND")*E6/C6</f>
        <v>11974.193548387097</v>
      </c>
      <c r="H6" s="5">
        <f>_xlfn.XLOOKUP(A6,'Salary Structure'!A:A,'Salary Structure'!D:D,"NOT FOUND")*E6/C6</f>
        <v>2993.5483870967741</v>
      </c>
      <c r="I6" s="5">
        <f>_xlfn.XLOOKUP(A6,'Salary Structure'!A:A,'Salary Structure'!E:E,"NOT FOUND")*E6/C6</f>
        <v>5145.1612903225805</v>
      </c>
      <c r="J6" s="5">
        <v>0</v>
      </c>
      <c r="K6" s="5">
        <f t="shared" si="2"/>
        <v>29935</v>
      </c>
      <c r="L6" s="6">
        <f t="shared" si="4"/>
        <v>50047.903225806454</v>
      </c>
      <c r="M6" s="5">
        <f t="shared" si="5"/>
        <v>3840</v>
      </c>
      <c r="N6" s="5">
        <f t="shared" si="6"/>
        <v>375.3592741935484</v>
      </c>
      <c r="O6" s="5">
        <v>208</v>
      </c>
      <c r="P6" s="5">
        <f t="shared" si="7"/>
        <v>1501.4370967741936</v>
      </c>
      <c r="Q6" s="5">
        <v>0</v>
      </c>
      <c r="R6" s="9"/>
      <c r="S6" s="6">
        <f t="shared" si="8"/>
        <v>5924.7963709677415</v>
      </c>
      <c r="T6" s="6">
        <f t="shared" si="3"/>
        <v>44123.106854838712</v>
      </c>
    </row>
    <row r="7" spans="1:20" x14ac:dyDescent="0.35">
      <c r="A7" s="7" t="s">
        <v>35</v>
      </c>
      <c r="B7" s="8">
        <v>46023</v>
      </c>
      <c r="C7" s="5">
        <f t="shared" si="0"/>
        <v>31</v>
      </c>
      <c r="D7" s="5">
        <v>1</v>
      </c>
      <c r="E7" s="6">
        <f t="shared" si="1"/>
        <v>30</v>
      </c>
      <c r="F7" s="6">
        <f>_xlfn.XLOOKUP(A7,'Salary Structure'!A:A,'Salary Structure'!B:B,"NOT FOUND")</f>
        <v>24000</v>
      </c>
      <c r="G7" s="5">
        <f>_xlfn.XLOOKUP(A7,'Salary Structure'!A:A,'Salary Structure'!C:C,"NOT FOUND")*E7/C7</f>
        <v>9290.322580645161</v>
      </c>
      <c r="H7" s="5">
        <f>_xlfn.XLOOKUP(A7,'Salary Structure'!A:A,'Salary Structure'!D:D,"NOT FOUND")*E7/C7</f>
        <v>2322.5806451612902</v>
      </c>
      <c r="I7" s="5">
        <f>_xlfn.XLOOKUP(A7,'Salary Structure'!A:A,'Salary Structure'!E:E,"NOT FOUND")*E7/C7</f>
        <v>3387.0967741935483</v>
      </c>
      <c r="J7" s="5">
        <v>0</v>
      </c>
      <c r="K7" s="5">
        <f t="shared" si="2"/>
        <v>23226</v>
      </c>
      <c r="L7" s="6">
        <f t="shared" si="4"/>
        <v>38226</v>
      </c>
      <c r="M7" s="5">
        <f t="shared" si="5"/>
        <v>2880</v>
      </c>
      <c r="N7" s="5">
        <f t="shared" si="6"/>
        <v>286.69499999999999</v>
      </c>
      <c r="O7" s="5">
        <v>208</v>
      </c>
      <c r="P7" s="5">
        <f t="shared" si="7"/>
        <v>1146.78</v>
      </c>
      <c r="Q7" s="5">
        <v>0</v>
      </c>
      <c r="R7" s="9"/>
      <c r="S7" s="6">
        <f t="shared" si="8"/>
        <v>4521.4750000000004</v>
      </c>
      <c r="T7" s="6">
        <f t="shared" si="3"/>
        <v>33704.525000000001</v>
      </c>
    </row>
    <row r="8" spans="1:20" x14ac:dyDescent="0.35">
      <c r="A8" s="7" t="s">
        <v>41</v>
      </c>
      <c r="B8" s="8">
        <v>46023</v>
      </c>
      <c r="C8" s="5">
        <f t="shared" si="0"/>
        <v>31</v>
      </c>
      <c r="D8" s="5">
        <v>2</v>
      </c>
      <c r="E8" s="6">
        <f t="shared" si="1"/>
        <v>29</v>
      </c>
      <c r="F8" s="6">
        <f>_xlfn.XLOOKUP(A8,'Salary Structure'!A:A,'Salary Structure'!B:B,"NOT FOUND")</f>
        <v>40000</v>
      </c>
      <c r="G8" s="5">
        <f>_xlfn.XLOOKUP(A8,'Salary Structure'!A:A,'Salary Structure'!C:C,"NOT FOUND")*E8/C8</f>
        <v>14967.741935483871</v>
      </c>
      <c r="H8" s="5">
        <f>_xlfn.XLOOKUP(A8,'Salary Structure'!A:A,'Salary Structure'!D:D,"NOT FOUND")*E8/C8</f>
        <v>3741.9354838709678</v>
      </c>
      <c r="I8" s="5">
        <f>_xlfn.XLOOKUP(A8,'Salary Structure'!A:A,'Salary Structure'!E:E,"NOT FOUND")*E8/C8</f>
        <v>6548.3870967741932</v>
      </c>
      <c r="J8" s="5">
        <v>0</v>
      </c>
      <c r="K8" s="5">
        <f t="shared" si="2"/>
        <v>37419</v>
      </c>
      <c r="L8" s="6">
        <f t="shared" si="4"/>
        <v>62677.06451612903</v>
      </c>
      <c r="M8" s="5">
        <f t="shared" si="5"/>
        <v>4800</v>
      </c>
      <c r="N8" s="5">
        <f t="shared" si="6"/>
        <v>470.07798387096778</v>
      </c>
      <c r="O8" s="5">
        <v>208</v>
      </c>
      <c r="P8" s="5">
        <f t="shared" si="7"/>
        <v>1880.3119354838709</v>
      </c>
      <c r="Q8" s="5">
        <v>0</v>
      </c>
      <c r="R8" s="9"/>
      <c r="S8" s="6">
        <f t="shared" si="8"/>
        <v>7358.3899193548386</v>
      </c>
      <c r="T8" s="6">
        <f t="shared" si="3"/>
        <v>55318.674596774188</v>
      </c>
    </row>
    <row r="9" spans="1:20" x14ac:dyDescent="0.35">
      <c r="A9" s="7" t="s">
        <v>46</v>
      </c>
      <c r="B9" s="8">
        <v>46023</v>
      </c>
      <c r="C9" s="5">
        <f t="shared" si="0"/>
        <v>31</v>
      </c>
      <c r="D9" s="5">
        <v>0</v>
      </c>
      <c r="E9" s="6">
        <f t="shared" si="1"/>
        <v>31</v>
      </c>
      <c r="F9" s="6">
        <f>_xlfn.XLOOKUP(A9,'Salary Structure'!A:A,'Salary Structure'!B:B,"NOT FOUND")</f>
        <v>30000</v>
      </c>
      <c r="G9" s="5">
        <f>_xlfn.XLOOKUP(A9,'Salary Structure'!A:A,'Salary Structure'!C:C,"NOT FOUND")*E9/C9</f>
        <v>12000</v>
      </c>
      <c r="H9" s="5">
        <f>_xlfn.XLOOKUP(A9,'Salary Structure'!A:A,'Salary Structure'!D:D,"NOT FOUND")*E9/C9</f>
        <v>3000</v>
      </c>
      <c r="I9" s="5">
        <f>_xlfn.XLOOKUP(A9,'Salary Structure'!A:A,'Salary Structure'!E:E,"NOT FOUND")*E9/C9</f>
        <v>5000</v>
      </c>
      <c r="J9" s="5">
        <v>0</v>
      </c>
      <c r="K9" s="5">
        <f t="shared" si="2"/>
        <v>30000</v>
      </c>
      <c r="L9" s="6">
        <f t="shared" si="4"/>
        <v>50000</v>
      </c>
      <c r="M9" s="5">
        <f t="shared" si="5"/>
        <v>3600</v>
      </c>
      <c r="N9" s="5">
        <f t="shared" si="6"/>
        <v>375</v>
      </c>
      <c r="O9" s="5">
        <v>208</v>
      </c>
      <c r="P9" s="5">
        <f t="shared" si="7"/>
        <v>1500</v>
      </c>
      <c r="Q9" s="5">
        <v>0</v>
      </c>
      <c r="R9" s="9"/>
      <c r="S9" s="6">
        <f t="shared" si="8"/>
        <v>5683</v>
      </c>
      <c r="T9" s="6">
        <f t="shared" si="3"/>
        <v>44317</v>
      </c>
    </row>
    <row r="10" spans="1:20" x14ac:dyDescent="0.35">
      <c r="A10" s="7" t="s">
        <v>51</v>
      </c>
      <c r="B10" s="8">
        <v>46023</v>
      </c>
      <c r="C10" s="5">
        <f t="shared" si="0"/>
        <v>31</v>
      </c>
      <c r="D10" s="5">
        <v>7</v>
      </c>
      <c r="E10" s="6">
        <f t="shared" si="1"/>
        <v>24</v>
      </c>
      <c r="F10" s="6">
        <f>_xlfn.XLOOKUP(A10,'Salary Structure'!A:A,'Salary Structure'!B:B,"NOT FOUND")</f>
        <v>23000</v>
      </c>
      <c r="G10" s="5">
        <f>_xlfn.XLOOKUP(A10,'Salary Structure'!A:A,'Salary Structure'!C:C,"NOT FOUND")*E10/C10</f>
        <v>7122.5806451612907</v>
      </c>
      <c r="H10" s="5">
        <f>_xlfn.XLOOKUP(A10,'Salary Structure'!A:A,'Salary Structure'!D:D,"NOT FOUND")*E10/C10</f>
        <v>1780.6451612903227</v>
      </c>
      <c r="I10" s="5">
        <f>_xlfn.XLOOKUP(A10,'Salary Structure'!A:A,'Salary Structure'!E:E,"NOT FOUND")*E10/C10</f>
        <v>2709.6774193548385</v>
      </c>
      <c r="J10" s="5">
        <v>0</v>
      </c>
      <c r="K10" s="5">
        <f t="shared" si="2"/>
        <v>17806</v>
      </c>
      <c r="L10" s="6">
        <f t="shared" si="4"/>
        <v>29418.903225806454</v>
      </c>
      <c r="M10" s="5">
        <f t="shared" si="5"/>
        <v>2760</v>
      </c>
      <c r="N10" s="5">
        <f t="shared" si="6"/>
        <v>220.6417741935484</v>
      </c>
      <c r="O10" s="5">
        <v>167</v>
      </c>
      <c r="P10" s="5">
        <f t="shared" si="7"/>
        <v>882.5670967741936</v>
      </c>
      <c r="Q10" s="5">
        <v>0</v>
      </c>
      <c r="R10" s="9"/>
      <c r="S10" s="6">
        <f t="shared" si="8"/>
        <v>4030.2088709677419</v>
      </c>
      <c r="T10" s="6">
        <f t="shared" si="3"/>
        <v>25388.694354838713</v>
      </c>
    </row>
    <row r="11" spans="1:20" x14ac:dyDescent="0.35">
      <c r="A11" s="7" t="s">
        <v>57</v>
      </c>
      <c r="B11" s="8">
        <v>46023</v>
      </c>
      <c r="C11" s="5">
        <f t="shared" si="0"/>
        <v>31</v>
      </c>
      <c r="D11" s="5">
        <v>0</v>
      </c>
      <c r="E11" s="6">
        <f t="shared" si="1"/>
        <v>31</v>
      </c>
      <c r="F11" s="6">
        <f>_xlfn.XLOOKUP(A11,'Salary Structure'!A:A,'Salary Structure'!B:B,"NOT FOUND")</f>
        <v>45000</v>
      </c>
      <c r="G11" s="5">
        <f>_xlfn.XLOOKUP(A11,'Salary Structure'!A:A,'Salary Structure'!C:C,"NOT FOUND")*E11/C11</f>
        <v>18000</v>
      </c>
      <c r="H11" s="5">
        <f>_xlfn.XLOOKUP(A11,'Salary Structure'!A:A,'Salary Structure'!D:D,"NOT FOUND")*E11/C11</f>
        <v>4500</v>
      </c>
      <c r="I11" s="5">
        <f>_xlfn.XLOOKUP(A11,'Salary Structure'!A:A,'Salary Structure'!E:E,"NOT FOUND")*E11/C11</f>
        <v>8000</v>
      </c>
      <c r="J11" s="5">
        <v>0</v>
      </c>
      <c r="K11" s="5">
        <f t="shared" si="2"/>
        <v>45000</v>
      </c>
      <c r="L11" s="6">
        <f t="shared" si="4"/>
        <v>75500</v>
      </c>
      <c r="M11" s="5">
        <f t="shared" si="5"/>
        <v>5400</v>
      </c>
      <c r="N11" s="5">
        <f t="shared" si="6"/>
        <v>566.25</v>
      </c>
      <c r="O11" s="5">
        <v>208</v>
      </c>
      <c r="P11" s="5">
        <f t="shared" si="7"/>
        <v>2265</v>
      </c>
      <c r="Q11" s="5">
        <v>500</v>
      </c>
      <c r="R11" s="9" t="s">
        <v>73</v>
      </c>
      <c r="S11" s="6">
        <f t="shared" si="8"/>
        <v>8939.25</v>
      </c>
      <c r="T11" s="6">
        <f t="shared" si="3"/>
        <v>66560.75</v>
      </c>
    </row>
    <row r="12" spans="1:20" x14ac:dyDescent="0.35">
      <c r="A12" s="7" t="s">
        <v>0</v>
      </c>
      <c r="B12" s="8">
        <v>46054</v>
      </c>
      <c r="C12" s="5">
        <f t="shared" si="0"/>
        <v>28</v>
      </c>
      <c r="D12" s="5">
        <v>2</v>
      </c>
      <c r="E12" s="6">
        <f t="shared" si="1"/>
        <v>26</v>
      </c>
      <c r="F12" s="6">
        <f>_xlfn.XLOOKUP(A12,'Salary Structure'!A:A,'Salary Structure'!B:B,"NOT FOUND")</f>
        <v>30000</v>
      </c>
      <c r="G12" s="5">
        <f>_xlfn.XLOOKUP(A12,'Salary Structure'!A:A,'Salary Structure'!C:C,"NOT FOUND")*E12/C12</f>
        <v>11142.857142857143</v>
      </c>
      <c r="H12" s="5">
        <f>_xlfn.XLOOKUP(A12,'Salary Structure'!A:A,'Salary Structure'!D:D,"NOT FOUND")*E12/C12</f>
        <v>2785.7142857142858</v>
      </c>
      <c r="I12" s="5">
        <f>_xlfn.XLOOKUP(A12,'Salary Structure'!A:A,'Salary Structure'!E:E,"NOT FOUND")*E12/C12</f>
        <v>4642.8571428571431</v>
      </c>
      <c r="J12" s="5">
        <v>0</v>
      </c>
      <c r="K12" s="5">
        <f t="shared" si="2"/>
        <v>27857</v>
      </c>
      <c r="L12" s="6">
        <f t="shared" si="4"/>
        <v>46428.428571428572</v>
      </c>
      <c r="M12" s="5">
        <f t="shared" si="5"/>
        <v>3600</v>
      </c>
      <c r="N12" s="5">
        <f t="shared" si="6"/>
        <v>348.21321428571429</v>
      </c>
      <c r="O12" s="5">
        <v>208</v>
      </c>
      <c r="P12" s="5">
        <f t="shared" si="7"/>
        <v>1392.8528571428571</v>
      </c>
      <c r="Q12" s="5">
        <v>0</v>
      </c>
      <c r="R12" s="9"/>
      <c r="S12" s="6">
        <f t="shared" si="8"/>
        <v>5549.0660714285714</v>
      </c>
      <c r="T12" s="6">
        <f t="shared" si="3"/>
        <v>40879.362500000003</v>
      </c>
    </row>
    <row r="13" spans="1:20" x14ac:dyDescent="0.35">
      <c r="A13" s="7" t="s">
        <v>9</v>
      </c>
      <c r="B13" s="8">
        <v>46054</v>
      </c>
      <c r="C13" s="5">
        <f t="shared" si="0"/>
        <v>28</v>
      </c>
      <c r="D13" s="5">
        <v>2</v>
      </c>
      <c r="E13" s="6">
        <f t="shared" si="1"/>
        <v>26</v>
      </c>
      <c r="F13" s="6">
        <f>_xlfn.XLOOKUP(A13,'Salary Structure'!A:A,'Salary Structure'!B:B,"NOT FOUND")</f>
        <v>25000</v>
      </c>
      <c r="G13" s="5">
        <f>_xlfn.XLOOKUP(A13,'Salary Structure'!A:A,'Salary Structure'!C:C,"NOT FOUND")*E13/C13</f>
        <v>9285.7142857142862</v>
      </c>
      <c r="H13" s="5">
        <f>_xlfn.XLOOKUP(A13,'Salary Structure'!A:A,'Salary Structure'!D:D,"NOT FOUND")*E13/C13</f>
        <v>2321.4285714285716</v>
      </c>
      <c r="I13" s="5">
        <f>_xlfn.XLOOKUP(A13,'Salary Structure'!A:A,'Salary Structure'!E:E,"NOT FOUND")*E13/C13</f>
        <v>3714.2857142857142</v>
      </c>
      <c r="J13" s="5">
        <v>0</v>
      </c>
      <c r="K13" s="5">
        <f t="shared" si="2"/>
        <v>23214</v>
      </c>
      <c r="L13" s="6">
        <f t="shared" si="4"/>
        <v>38535.428571428572</v>
      </c>
      <c r="M13" s="5">
        <f t="shared" si="5"/>
        <v>3000</v>
      </c>
      <c r="N13" s="5">
        <f t="shared" si="6"/>
        <v>289.0157142857143</v>
      </c>
      <c r="O13" s="5">
        <v>208</v>
      </c>
      <c r="P13" s="5">
        <f t="shared" si="7"/>
        <v>1156.0628571428572</v>
      </c>
      <c r="Q13" s="5">
        <v>0</v>
      </c>
      <c r="R13" s="9"/>
      <c r="S13" s="6">
        <f t="shared" si="8"/>
        <v>4653.0785714285712</v>
      </c>
      <c r="T13" s="6">
        <f t="shared" si="3"/>
        <v>33882.35</v>
      </c>
    </row>
    <row r="14" spans="1:20" x14ac:dyDescent="0.35">
      <c r="A14" s="7" t="s">
        <v>16</v>
      </c>
      <c r="B14" s="8">
        <v>46054</v>
      </c>
      <c r="C14" s="5">
        <f t="shared" si="0"/>
        <v>28</v>
      </c>
      <c r="D14" s="5">
        <v>6</v>
      </c>
      <c r="E14" s="6">
        <f t="shared" si="1"/>
        <v>22</v>
      </c>
      <c r="F14" s="6">
        <f>_xlfn.XLOOKUP(A14,'Salary Structure'!A:A,'Salary Structure'!B:B,"NOT FOUND")</f>
        <v>28000</v>
      </c>
      <c r="G14" s="5">
        <f>_xlfn.XLOOKUP(A14,'Salary Structure'!A:A,'Salary Structure'!C:C,"NOT FOUND")*E14/C14</f>
        <v>8800</v>
      </c>
      <c r="H14" s="5">
        <f>_xlfn.XLOOKUP(A14,'Salary Structure'!A:A,'Salary Structure'!D:D,"NOT FOUND")*E14/C14</f>
        <v>2200</v>
      </c>
      <c r="I14" s="5">
        <f>_xlfn.XLOOKUP(A14,'Salary Structure'!A:A,'Salary Structure'!E:E,"NOT FOUND")*E14/C14</f>
        <v>3535.7142857142858</v>
      </c>
      <c r="J14" s="5">
        <v>0</v>
      </c>
      <c r="K14" s="5">
        <f t="shared" si="2"/>
        <v>22000</v>
      </c>
      <c r="L14" s="6">
        <f t="shared" si="4"/>
        <v>36535.71428571429</v>
      </c>
      <c r="M14" s="5">
        <f t="shared" si="5"/>
        <v>3360</v>
      </c>
      <c r="N14" s="5">
        <f t="shared" si="6"/>
        <v>274.01785714285717</v>
      </c>
      <c r="O14" s="5">
        <v>208</v>
      </c>
      <c r="P14" s="5">
        <f t="shared" si="7"/>
        <v>1096.0714285714287</v>
      </c>
      <c r="Q14" s="5">
        <v>300</v>
      </c>
      <c r="R14" s="9" t="s">
        <v>73</v>
      </c>
      <c r="S14" s="6">
        <f t="shared" si="8"/>
        <v>5238.0892857142862</v>
      </c>
      <c r="T14" s="6">
        <f t="shared" si="3"/>
        <v>31297.625000000004</v>
      </c>
    </row>
    <row r="15" spans="1:20" x14ac:dyDescent="0.35">
      <c r="A15" s="7" t="s">
        <v>23</v>
      </c>
      <c r="B15" s="8">
        <v>46054</v>
      </c>
      <c r="C15" s="5">
        <f t="shared" si="0"/>
        <v>28</v>
      </c>
      <c r="D15" s="5">
        <v>2</v>
      </c>
      <c r="E15" s="6">
        <f t="shared" si="1"/>
        <v>26</v>
      </c>
      <c r="F15" s="6">
        <f>_xlfn.XLOOKUP(A15,'Salary Structure'!A:A,'Salary Structure'!B:B,"NOT FOUND")</f>
        <v>26000</v>
      </c>
      <c r="G15" s="5">
        <f>_xlfn.XLOOKUP(A15,'Salary Structure'!A:A,'Salary Structure'!C:C,"NOT FOUND")*E15/C15</f>
        <v>9657.1428571428569</v>
      </c>
      <c r="H15" s="5">
        <f>_xlfn.XLOOKUP(A15,'Salary Structure'!A:A,'Salary Structure'!D:D,"NOT FOUND")*E15/C15</f>
        <v>2414.2857142857142</v>
      </c>
      <c r="I15" s="5">
        <f>_xlfn.XLOOKUP(A15,'Salary Structure'!A:A,'Salary Structure'!E:E,"NOT FOUND")*E15/C15</f>
        <v>3714.2857142857142</v>
      </c>
      <c r="J15" s="5">
        <v>0</v>
      </c>
      <c r="K15" s="5">
        <f t="shared" si="2"/>
        <v>24143</v>
      </c>
      <c r="L15" s="6">
        <f t="shared" si="4"/>
        <v>39928.714285714283</v>
      </c>
      <c r="M15" s="5">
        <f t="shared" si="5"/>
        <v>3120</v>
      </c>
      <c r="N15" s="5">
        <f t="shared" si="6"/>
        <v>299.46535714285716</v>
      </c>
      <c r="O15" s="5">
        <v>208</v>
      </c>
      <c r="P15" s="5">
        <f t="shared" si="7"/>
        <v>1197.8614285714284</v>
      </c>
      <c r="Q15" s="5">
        <v>0</v>
      </c>
      <c r="R15" s="9"/>
      <c r="S15" s="6">
        <f t="shared" si="8"/>
        <v>4825.3267857142855</v>
      </c>
      <c r="T15" s="6">
        <f t="shared" si="3"/>
        <v>35103.387499999997</v>
      </c>
    </row>
    <row r="16" spans="1:20" x14ac:dyDescent="0.35">
      <c r="A16" s="7" t="s">
        <v>30</v>
      </c>
      <c r="B16" s="8">
        <v>46054</v>
      </c>
      <c r="C16" s="5">
        <f t="shared" si="0"/>
        <v>28</v>
      </c>
      <c r="D16" s="5">
        <v>0</v>
      </c>
      <c r="E16" s="6">
        <f t="shared" si="1"/>
        <v>28</v>
      </c>
      <c r="F16" s="6">
        <f>_xlfn.XLOOKUP(A16,'Salary Structure'!A:A,'Salary Structure'!B:B,"NOT FOUND")</f>
        <v>32000</v>
      </c>
      <c r="G16" s="5">
        <f>_xlfn.XLOOKUP(A16,'Salary Structure'!A:A,'Salary Structure'!C:C,"NOT FOUND")*E16/C16</f>
        <v>12800</v>
      </c>
      <c r="H16" s="5">
        <f>_xlfn.XLOOKUP(A16,'Salary Structure'!A:A,'Salary Structure'!D:D,"NOT FOUND")*E16/C16</f>
        <v>3200</v>
      </c>
      <c r="I16" s="5">
        <f>_xlfn.XLOOKUP(A16,'Salary Structure'!A:A,'Salary Structure'!E:E,"NOT FOUND")*E16/C16</f>
        <v>5500</v>
      </c>
      <c r="J16" s="5">
        <v>0</v>
      </c>
      <c r="K16" s="5">
        <f t="shared" si="2"/>
        <v>32000</v>
      </c>
      <c r="L16" s="6">
        <f t="shared" si="4"/>
        <v>53500</v>
      </c>
      <c r="M16" s="5">
        <f t="shared" si="5"/>
        <v>3840</v>
      </c>
      <c r="N16" s="5">
        <f t="shared" si="6"/>
        <v>401.25</v>
      </c>
      <c r="O16" s="5">
        <v>208</v>
      </c>
      <c r="P16" s="5">
        <f t="shared" si="7"/>
        <v>1605</v>
      </c>
      <c r="Q16" s="5">
        <v>0</v>
      </c>
      <c r="R16" s="9"/>
      <c r="S16" s="6">
        <f t="shared" si="8"/>
        <v>6054.25</v>
      </c>
      <c r="T16" s="6">
        <f t="shared" si="3"/>
        <v>47445.75</v>
      </c>
    </row>
    <row r="17" spans="1:20" x14ac:dyDescent="0.35">
      <c r="A17" s="7" t="s">
        <v>35</v>
      </c>
      <c r="B17" s="8">
        <v>46054</v>
      </c>
      <c r="C17" s="5">
        <f t="shared" si="0"/>
        <v>28</v>
      </c>
      <c r="D17" s="5">
        <v>2</v>
      </c>
      <c r="E17" s="6">
        <f t="shared" si="1"/>
        <v>26</v>
      </c>
      <c r="F17" s="6">
        <f>_xlfn.XLOOKUP(A17,'Salary Structure'!A:A,'Salary Structure'!B:B,"NOT FOUND")</f>
        <v>24000</v>
      </c>
      <c r="G17" s="5">
        <f>_xlfn.XLOOKUP(A17,'Salary Structure'!A:A,'Salary Structure'!C:C,"NOT FOUND")*E17/C17</f>
        <v>8914.2857142857138</v>
      </c>
      <c r="H17" s="5">
        <f>_xlfn.XLOOKUP(A17,'Salary Structure'!A:A,'Salary Structure'!D:D,"NOT FOUND")*E17/C17</f>
        <v>2228.5714285714284</v>
      </c>
      <c r="I17" s="5">
        <f>_xlfn.XLOOKUP(A17,'Salary Structure'!A:A,'Salary Structure'!E:E,"NOT FOUND")*E17/C17</f>
        <v>3250</v>
      </c>
      <c r="J17" s="5">
        <v>0</v>
      </c>
      <c r="K17" s="5">
        <f t="shared" si="2"/>
        <v>22286</v>
      </c>
      <c r="L17" s="6">
        <f t="shared" si="4"/>
        <v>36678.857142857145</v>
      </c>
      <c r="M17" s="5">
        <f t="shared" si="5"/>
        <v>2880</v>
      </c>
      <c r="N17" s="5">
        <f t="shared" si="6"/>
        <v>275.09142857142859</v>
      </c>
      <c r="O17" s="5">
        <v>208</v>
      </c>
      <c r="P17" s="5">
        <f t="shared" si="7"/>
        <v>1100.3657142857144</v>
      </c>
      <c r="Q17" s="5">
        <v>0</v>
      </c>
      <c r="R17" s="9"/>
      <c r="S17" s="6">
        <f t="shared" si="8"/>
        <v>4463.4571428571426</v>
      </c>
      <c r="T17" s="6">
        <f t="shared" si="3"/>
        <v>32215.4</v>
      </c>
    </row>
    <row r="18" spans="1:20" x14ac:dyDescent="0.35">
      <c r="A18" s="7" t="s">
        <v>41</v>
      </c>
      <c r="B18" s="8">
        <v>46054</v>
      </c>
      <c r="C18" s="5">
        <f t="shared" si="0"/>
        <v>28</v>
      </c>
      <c r="D18" s="5">
        <v>0</v>
      </c>
      <c r="E18" s="6">
        <f t="shared" si="1"/>
        <v>28</v>
      </c>
      <c r="F18" s="6">
        <f>_xlfn.XLOOKUP(A18,'Salary Structure'!A:A,'Salary Structure'!B:B,"NOT FOUND")</f>
        <v>40000</v>
      </c>
      <c r="G18" s="5">
        <f>_xlfn.XLOOKUP(A18,'Salary Structure'!A:A,'Salary Structure'!C:C,"NOT FOUND")*E18/C18</f>
        <v>16000</v>
      </c>
      <c r="H18" s="5">
        <f>_xlfn.XLOOKUP(A18,'Salary Structure'!A:A,'Salary Structure'!D:D,"NOT FOUND")*E18/C18</f>
        <v>4000</v>
      </c>
      <c r="I18" s="5">
        <f>_xlfn.XLOOKUP(A18,'Salary Structure'!A:A,'Salary Structure'!E:E,"NOT FOUND")*E18/C18</f>
        <v>7000</v>
      </c>
      <c r="J18" s="5">
        <v>0</v>
      </c>
      <c r="K18" s="5">
        <f t="shared" si="2"/>
        <v>40000</v>
      </c>
      <c r="L18" s="6">
        <f t="shared" si="4"/>
        <v>67000</v>
      </c>
      <c r="M18" s="5">
        <f t="shared" si="5"/>
        <v>4800</v>
      </c>
      <c r="N18" s="5">
        <f t="shared" si="6"/>
        <v>502.5</v>
      </c>
      <c r="O18" s="5">
        <v>208</v>
      </c>
      <c r="P18" s="5">
        <f t="shared" si="7"/>
        <v>2010</v>
      </c>
      <c r="Q18" s="5">
        <v>0</v>
      </c>
      <c r="R18" s="9"/>
      <c r="S18" s="6">
        <f t="shared" si="8"/>
        <v>7520.5</v>
      </c>
      <c r="T18" s="6">
        <f t="shared" si="3"/>
        <v>59479.5</v>
      </c>
    </row>
    <row r="19" spans="1:20" x14ac:dyDescent="0.35">
      <c r="A19" s="7" t="s">
        <v>46</v>
      </c>
      <c r="B19" s="8">
        <v>46054</v>
      </c>
      <c r="C19" s="5">
        <f t="shared" si="0"/>
        <v>28</v>
      </c>
      <c r="D19" s="5">
        <v>6</v>
      </c>
      <c r="E19" s="6">
        <f t="shared" si="1"/>
        <v>22</v>
      </c>
      <c r="F19" s="6">
        <f>_xlfn.XLOOKUP(A19,'Salary Structure'!A:A,'Salary Structure'!B:B,"NOT FOUND")</f>
        <v>30000</v>
      </c>
      <c r="G19" s="5">
        <f>_xlfn.XLOOKUP(A19,'Salary Structure'!A:A,'Salary Structure'!C:C,"NOT FOUND")*E19/C19</f>
        <v>9428.5714285714294</v>
      </c>
      <c r="H19" s="5">
        <f>_xlfn.XLOOKUP(A19,'Salary Structure'!A:A,'Salary Structure'!D:D,"NOT FOUND")*E19/C19</f>
        <v>2357.1428571428573</v>
      </c>
      <c r="I19" s="5">
        <f>_xlfn.XLOOKUP(A19,'Salary Structure'!A:A,'Salary Structure'!E:E,"NOT FOUND")*E19/C19</f>
        <v>3928.5714285714284</v>
      </c>
      <c r="J19" s="5">
        <v>0</v>
      </c>
      <c r="K19" s="5">
        <f t="shared" si="2"/>
        <v>23571</v>
      </c>
      <c r="L19" s="6">
        <f t="shared" si="4"/>
        <v>39285.28571428571</v>
      </c>
      <c r="M19" s="5">
        <f t="shared" si="5"/>
        <v>3600</v>
      </c>
      <c r="N19" s="5">
        <f t="shared" si="6"/>
        <v>294.6396428571428</v>
      </c>
      <c r="O19" s="5">
        <v>208</v>
      </c>
      <c r="P19" s="5">
        <f t="shared" si="7"/>
        <v>1178.5585714285712</v>
      </c>
      <c r="Q19" s="5">
        <v>0</v>
      </c>
      <c r="R19" s="9"/>
      <c r="S19" s="6">
        <f t="shared" si="8"/>
        <v>5281.1982142857141</v>
      </c>
      <c r="T19" s="6">
        <f t="shared" si="3"/>
        <v>34004.087499999994</v>
      </c>
    </row>
    <row r="20" spans="1:20" x14ac:dyDescent="0.35">
      <c r="A20" s="7" t="s">
        <v>51</v>
      </c>
      <c r="B20" s="8">
        <v>46054</v>
      </c>
      <c r="C20" s="5">
        <f t="shared" si="0"/>
        <v>28</v>
      </c>
      <c r="D20" s="5">
        <v>4</v>
      </c>
      <c r="E20" s="6">
        <f t="shared" si="1"/>
        <v>24</v>
      </c>
      <c r="F20" s="6">
        <f>_xlfn.XLOOKUP(A20,'Salary Structure'!A:A,'Salary Structure'!B:B,"NOT FOUND")</f>
        <v>23000</v>
      </c>
      <c r="G20" s="5">
        <f>_xlfn.XLOOKUP(A20,'Salary Structure'!A:A,'Salary Structure'!C:C,"NOT FOUND")*E20/C20</f>
        <v>7885.7142857142853</v>
      </c>
      <c r="H20" s="5">
        <f>_xlfn.XLOOKUP(A20,'Salary Structure'!A:A,'Salary Structure'!D:D,"NOT FOUND")*E20/C20</f>
        <v>1971.4285714285713</v>
      </c>
      <c r="I20" s="5">
        <f>_xlfn.XLOOKUP(A20,'Salary Structure'!A:A,'Salary Structure'!E:E,"NOT FOUND")*E20/C20</f>
        <v>3000</v>
      </c>
      <c r="J20" s="5">
        <v>0</v>
      </c>
      <c r="K20" s="5">
        <f t="shared" si="2"/>
        <v>19714</v>
      </c>
      <c r="L20" s="6">
        <f t="shared" si="4"/>
        <v>32571.142857142855</v>
      </c>
      <c r="M20" s="5">
        <f t="shared" si="5"/>
        <v>2760</v>
      </c>
      <c r="N20" s="5">
        <f t="shared" si="6"/>
        <v>244.28357142857141</v>
      </c>
      <c r="O20" s="5">
        <v>208</v>
      </c>
      <c r="P20" s="5">
        <f t="shared" si="7"/>
        <v>977.13428571428562</v>
      </c>
      <c r="Q20" s="5">
        <v>0</v>
      </c>
      <c r="R20" s="9"/>
      <c r="S20" s="6">
        <f t="shared" si="8"/>
        <v>4189.4178571428574</v>
      </c>
      <c r="T20" s="6">
        <f t="shared" si="3"/>
        <v>28381.724999999999</v>
      </c>
    </row>
    <row r="21" spans="1:20" x14ac:dyDescent="0.35">
      <c r="A21" s="7" t="s">
        <v>57</v>
      </c>
      <c r="B21" s="8">
        <v>46054</v>
      </c>
      <c r="C21" s="5">
        <f t="shared" si="0"/>
        <v>28</v>
      </c>
      <c r="D21" s="5">
        <v>1</v>
      </c>
      <c r="E21" s="6">
        <f t="shared" si="1"/>
        <v>27</v>
      </c>
      <c r="F21" s="6">
        <f>_xlfn.XLOOKUP(A21,'Salary Structure'!A:A,'Salary Structure'!B:B,"NOT FOUND")</f>
        <v>45000</v>
      </c>
      <c r="G21" s="5">
        <f>_xlfn.XLOOKUP(A21,'Salary Structure'!A:A,'Salary Structure'!C:C,"NOT FOUND")*E21/C21</f>
        <v>17357.142857142859</v>
      </c>
      <c r="H21" s="5">
        <f>_xlfn.XLOOKUP(A21,'Salary Structure'!A:A,'Salary Structure'!D:D,"NOT FOUND")*E21/C21</f>
        <v>4339.2857142857147</v>
      </c>
      <c r="I21" s="5">
        <f>_xlfn.XLOOKUP(A21,'Salary Structure'!A:A,'Salary Structure'!E:E,"NOT FOUND")*E21/C21</f>
        <v>7714.2857142857147</v>
      </c>
      <c r="J21" s="5">
        <v>1500</v>
      </c>
      <c r="K21" s="5">
        <f t="shared" si="2"/>
        <v>43393</v>
      </c>
      <c r="L21" s="6">
        <f t="shared" si="4"/>
        <v>74303.71428571429</v>
      </c>
      <c r="M21" s="5">
        <f t="shared" si="5"/>
        <v>5400</v>
      </c>
      <c r="N21" s="5">
        <f t="shared" si="6"/>
        <v>557.27785714285721</v>
      </c>
      <c r="O21" s="5">
        <v>208</v>
      </c>
      <c r="P21" s="5">
        <f t="shared" si="7"/>
        <v>2229.1114285714289</v>
      </c>
      <c r="Q21" s="5">
        <v>500</v>
      </c>
      <c r="R21" s="9" t="s">
        <v>73</v>
      </c>
      <c r="S21" s="6">
        <f t="shared" si="8"/>
        <v>8894.3892857142855</v>
      </c>
      <c r="T21" s="6">
        <f t="shared" si="3"/>
        <v>65409.325000000004</v>
      </c>
    </row>
    <row r="22" spans="1:20" x14ac:dyDescent="0.35">
      <c r="A22" s="7" t="s">
        <v>0</v>
      </c>
      <c r="B22" s="8">
        <v>46082</v>
      </c>
      <c r="C22" s="5">
        <f t="shared" si="0"/>
        <v>31</v>
      </c>
      <c r="D22" s="5">
        <v>0</v>
      </c>
      <c r="E22" s="6">
        <f t="shared" si="1"/>
        <v>31</v>
      </c>
      <c r="F22" s="6">
        <f>_xlfn.XLOOKUP(A22,'Salary Structure'!A:A,'Salary Structure'!B:B,"NOT FOUND")</f>
        <v>30000</v>
      </c>
      <c r="G22" s="5">
        <f>_xlfn.XLOOKUP(A22,'Salary Structure'!A:A,'Salary Structure'!C:C,"NOT FOUND")*E22/C22</f>
        <v>12000</v>
      </c>
      <c r="H22" s="5">
        <f>_xlfn.XLOOKUP(A22,'Salary Structure'!A:A,'Salary Structure'!D:D,"NOT FOUND")*E22/C22</f>
        <v>3000</v>
      </c>
      <c r="I22" s="5">
        <f>_xlfn.XLOOKUP(A22,'Salary Structure'!A:A,'Salary Structure'!E:E,"NOT FOUND")*E22/C22</f>
        <v>5000</v>
      </c>
      <c r="J22" s="5">
        <v>0</v>
      </c>
      <c r="K22" s="5">
        <f t="shared" si="2"/>
        <v>30000</v>
      </c>
      <c r="L22" s="6">
        <f t="shared" si="4"/>
        <v>50000</v>
      </c>
      <c r="M22" s="5">
        <f t="shared" si="5"/>
        <v>3600</v>
      </c>
      <c r="N22" s="5">
        <f t="shared" si="6"/>
        <v>375</v>
      </c>
      <c r="O22" s="5">
        <v>212</v>
      </c>
      <c r="P22" s="5">
        <f t="shared" si="7"/>
        <v>1500</v>
      </c>
      <c r="Q22" s="5">
        <v>0</v>
      </c>
      <c r="R22" s="9"/>
      <c r="S22" s="6">
        <f t="shared" si="8"/>
        <v>5687</v>
      </c>
      <c r="T22" s="6">
        <f t="shared" si="3"/>
        <v>44313</v>
      </c>
    </row>
    <row r="23" spans="1:20" x14ac:dyDescent="0.35">
      <c r="A23" s="7" t="s">
        <v>9</v>
      </c>
      <c r="B23" s="8">
        <v>46082</v>
      </c>
      <c r="C23" s="5">
        <f t="shared" si="0"/>
        <v>31</v>
      </c>
      <c r="D23" s="5">
        <v>2</v>
      </c>
      <c r="E23" s="6">
        <f t="shared" si="1"/>
        <v>29</v>
      </c>
      <c r="F23" s="6">
        <f>_xlfn.XLOOKUP(A23,'Salary Structure'!A:A,'Salary Structure'!B:B,"NOT FOUND")</f>
        <v>25000</v>
      </c>
      <c r="G23" s="5">
        <f>_xlfn.XLOOKUP(A23,'Salary Structure'!A:A,'Salary Structure'!C:C,"NOT FOUND")*E23/C23</f>
        <v>9354.8387096774186</v>
      </c>
      <c r="H23" s="5">
        <f>_xlfn.XLOOKUP(A23,'Salary Structure'!A:A,'Salary Structure'!D:D,"NOT FOUND")*E23/C23</f>
        <v>2338.7096774193546</v>
      </c>
      <c r="I23" s="5">
        <f>_xlfn.XLOOKUP(A23,'Salary Structure'!A:A,'Salary Structure'!E:E,"NOT FOUND")*E23/C23</f>
        <v>3741.9354838709678</v>
      </c>
      <c r="J23" s="5">
        <v>0</v>
      </c>
      <c r="K23" s="5">
        <f t="shared" si="2"/>
        <v>23387</v>
      </c>
      <c r="L23" s="6">
        <f t="shared" si="4"/>
        <v>38822.483870967742</v>
      </c>
      <c r="M23" s="5">
        <f t="shared" si="5"/>
        <v>3000</v>
      </c>
      <c r="N23" s="5">
        <f t="shared" si="6"/>
        <v>291.16862903225808</v>
      </c>
      <c r="O23" s="5">
        <v>212</v>
      </c>
      <c r="P23" s="5">
        <f t="shared" si="7"/>
        <v>1164.6745161290323</v>
      </c>
      <c r="Q23" s="5">
        <v>0</v>
      </c>
      <c r="R23" s="9"/>
      <c r="S23" s="6">
        <f t="shared" si="8"/>
        <v>4667.8431451612905</v>
      </c>
      <c r="T23" s="6">
        <f t="shared" si="3"/>
        <v>34154.64072580645</v>
      </c>
    </row>
    <row r="24" spans="1:20" x14ac:dyDescent="0.35">
      <c r="A24" s="7" t="s">
        <v>16</v>
      </c>
      <c r="B24" s="8">
        <v>46082</v>
      </c>
      <c r="C24" s="5">
        <f t="shared" si="0"/>
        <v>31</v>
      </c>
      <c r="D24" s="5">
        <v>0</v>
      </c>
      <c r="E24" s="6">
        <f t="shared" si="1"/>
        <v>31</v>
      </c>
      <c r="F24" s="6">
        <f>_xlfn.XLOOKUP(A24,'Salary Structure'!A:A,'Salary Structure'!B:B,"NOT FOUND")</f>
        <v>28000</v>
      </c>
      <c r="G24" s="5">
        <f>_xlfn.XLOOKUP(A24,'Salary Structure'!A:A,'Salary Structure'!C:C,"NOT FOUND")*E24/C24</f>
        <v>11200</v>
      </c>
      <c r="H24" s="5">
        <f>_xlfn.XLOOKUP(A24,'Salary Structure'!A:A,'Salary Structure'!D:D,"NOT FOUND")*E24/C24</f>
        <v>2800</v>
      </c>
      <c r="I24" s="5">
        <f>_xlfn.XLOOKUP(A24,'Salary Structure'!A:A,'Salary Structure'!E:E,"NOT FOUND")*E24/C24</f>
        <v>4500</v>
      </c>
      <c r="J24" s="5">
        <v>0</v>
      </c>
      <c r="K24" s="5">
        <f t="shared" si="2"/>
        <v>28000</v>
      </c>
      <c r="L24" s="6">
        <f t="shared" si="4"/>
        <v>46500</v>
      </c>
      <c r="M24" s="5">
        <f t="shared" si="5"/>
        <v>3360</v>
      </c>
      <c r="N24" s="5">
        <f t="shared" si="6"/>
        <v>348.75</v>
      </c>
      <c r="O24" s="5">
        <v>212</v>
      </c>
      <c r="P24" s="5">
        <f t="shared" si="7"/>
        <v>1395</v>
      </c>
      <c r="Q24" s="5">
        <v>300</v>
      </c>
      <c r="R24" s="9" t="s">
        <v>73</v>
      </c>
      <c r="S24" s="6">
        <f t="shared" si="8"/>
        <v>5615.75</v>
      </c>
      <c r="T24" s="6">
        <f t="shared" si="3"/>
        <v>40884.25</v>
      </c>
    </row>
    <row r="25" spans="1:20" x14ac:dyDescent="0.35">
      <c r="A25" s="7" t="s">
        <v>23</v>
      </c>
      <c r="B25" s="8">
        <v>46082</v>
      </c>
      <c r="C25" s="5">
        <f t="shared" si="0"/>
        <v>31</v>
      </c>
      <c r="D25" s="5">
        <v>0</v>
      </c>
      <c r="E25" s="6">
        <f t="shared" si="1"/>
        <v>31</v>
      </c>
      <c r="F25" s="6">
        <f>_xlfn.XLOOKUP(A25,'Salary Structure'!A:A,'Salary Structure'!B:B,"NOT FOUND")</f>
        <v>26000</v>
      </c>
      <c r="G25" s="5">
        <f>_xlfn.XLOOKUP(A25,'Salary Structure'!A:A,'Salary Structure'!C:C,"NOT FOUND")*E25/C25</f>
        <v>10400</v>
      </c>
      <c r="H25" s="5">
        <f>_xlfn.XLOOKUP(A25,'Salary Structure'!A:A,'Salary Structure'!D:D,"NOT FOUND")*E25/C25</f>
        <v>2600</v>
      </c>
      <c r="I25" s="5">
        <f>_xlfn.XLOOKUP(A25,'Salary Structure'!A:A,'Salary Structure'!E:E,"NOT FOUND")*E25/C25</f>
        <v>4000</v>
      </c>
      <c r="J25" s="5">
        <v>0</v>
      </c>
      <c r="K25" s="5">
        <f t="shared" si="2"/>
        <v>26000</v>
      </c>
      <c r="L25" s="6">
        <f t="shared" si="4"/>
        <v>43000</v>
      </c>
      <c r="M25" s="5">
        <f t="shared" si="5"/>
        <v>3120</v>
      </c>
      <c r="N25" s="5">
        <f t="shared" si="6"/>
        <v>322.5</v>
      </c>
      <c r="O25" s="5">
        <v>212</v>
      </c>
      <c r="P25" s="5">
        <f t="shared" si="7"/>
        <v>1290</v>
      </c>
      <c r="Q25" s="5">
        <v>0</v>
      </c>
      <c r="R25" s="9"/>
      <c r="S25" s="6">
        <f t="shared" si="8"/>
        <v>4944.5</v>
      </c>
      <c r="T25" s="6">
        <f t="shared" si="3"/>
        <v>38055.5</v>
      </c>
    </row>
    <row r="26" spans="1:20" x14ac:dyDescent="0.35">
      <c r="A26" s="7" t="s">
        <v>30</v>
      </c>
      <c r="B26" s="8">
        <v>46082</v>
      </c>
      <c r="C26" s="5">
        <f t="shared" si="0"/>
        <v>31</v>
      </c>
      <c r="D26" s="5">
        <v>7</v>
      </c>
      <c r="E26" s="6">
        <f t="shared" si="1"/>
        <v>24</v>
      </c>
      <c r="F26" s="6">
        <f>_xlfn.XLOOKUP(A26,'Salary Structure'!A:A,'Salary Structure'!B:B,"NOT FOUND")</f>
        <v>32000</v>
      </c>
      <c r="G26" s="5">
        <f>_xlfn.XLOOKUP(A26,'Salary Structure'!A:A,'Salary Structure'!C:C,"NOT FOUND")*E26/C26</f>
        <v>9909.677419354839</v>
      </c>
      <c r="H26" s="5">
        <f>_xlfn.XLOOKUP(A26,'Salary Structure'!A:A,'Salary Structure'!D:D,"NOT FOUND")*E26/C26</f>
        <v>2477.4193548387098</v>
      </c>
      <c r="I26" s="5">
        <f>_xlfn.XLOOKUP(A26,'Salary Structure'!A:A,'Salary Structure'!E:E,"NOT FOUND")*E26/C26</f>
        <v>4258.0645161290322</v>
      </c>
      <c r="J26" s="5">
        <v>0</v>
      </c>
      <c r="K26" s="5">
        <f t="shared" si="2"/>
        <v>24774</v>
      </c>
      <c r="L26" s="6">
        <f t="shared" si="4"/>
        <v>41419.161290322583</v>
      </c>
      <c r="M26" s="5">
        <f t="shared" si="5"/>
        <v>3840</v>
      </c>
      <c r="N26" s="5">
        <f t="shared" si="6"/>
        <v>310.64370967741939</v>
      </c>
      <c r="O26" s="5">
        <v>212</v>
      </c>
      <c r="P26" s="5">
        <f t="shared" si="7"/>
        <v>1242.5748387096776</v>
      </c>
      <c r="Q26" s="5">
        <v>0</v>
      </c>
      <c r="R26" s="9"/>
      <c r="S26" s="6">
        <f t="shared" si="8"/>
        <v>5605.2185483870971</v>
      </c>
      <c r="T26" s="6">
        <f t="shared" si="3"/>
        <v>35813.942741935483</v>
      </c>
    </row>
    <row r="27" spans="1:20" x14ac:dyDescent="0.35">
      <c r="A27" s="7" t="s">
        <v>35</v>
      </c>
      <c r="B27" s="8">
        <v>46082</v>
      </c>
      <c r="C27" s="5">
        <f t="shared" si="0"/>
        <v>31</v>
      </c>
      <c r="D27" s="5">
        <v>0</v>
      </c>
      <c r="E27" s="6">
        <f t="shared" si="1"/>
        <v>31</v>
      </c>
      <c r="F27" s="6">
        <f>_xlfn.XLOOKUP(A27,'Salary Structure'!A:A,'Salary Structure'!B:B,"NOT FOUND")</f>
        <v>24000</v>
      </c>
      <c r="G27" s="5">
        <f>_xlfn.XLOOKUP(A27,'Salary Structure'!A:A,'Salary Structure'!C:C,"NOT FOUND")*E27/C27</f>
        <v>9600</v>
      </c>
      <c r="H27" s="5">
        <f>_xlfn.XLOOKUP(A27,'Salary Structure'!A:A,'Salary Structure'!D:D,"NOT FOUND")*E27/C27</f>
        <v>2400</v>
      </c>
      <c r="I27" s="5">
        <f>_xlfn.XLOOKUP(A27,'Salary Structure'!A:A,'Salary Structure'!E:E,"NOT FOUND")*E27/C27</f>
        <v>3500</v>
      </c>
      <c r="J27" s="5">
        <v>0</v>
      </c>
      <c r="K27" s="5">
        <f t="shared" si="2"/>
        <v>24000</v>
      </c>
      <c r="L27" s="6">
        <f t="shared" si="4"/>
        <v>39500</v>
      </c>
      <c r="M27" s="5">
        <f t="shared" si="5"/>
        <v>2880</v>
      </c>
      <c r="N27" s="5">
        <f t="shared" si="6"/>
        <v>296.25</v>
      </c>
      <c r="O27" s="5">
        <v>212</v>
      </c>
      <c r="P27" s="5">
        <f t="shared" si="7"/>
        <v>1185</v>
      </c>
      <c r="Q27" s="5">
        <v>0</v>
      </c>
      <c r="R27" s="9"/>
      <c r="S27" s="6">
        <f t="shared" si="8"/>
        <v>4573.25</v>
      </c>
      <c r="T27" s="6">
        <f t="shared" si="3"/>
        <v>34926.75</v>
      </c>
    </row>
    <row r="28" spans="1:20" x14ac:dyDescent="0.35">
      <c r="A28" s="7" t="s">
        <v>41</v>
      </c>
      <c r="B28" s="8">
        <v>46082</v>
      </c>
      <c r="C28" s="5">
        <f t="shared" si="0"/>
        <v>31</v>
      </c>
      <c r="D28" s="5">
        <v>4</v>
      </c>
      <c r="E28" s="6">
        <f t="shared" si="1"/>
        <v>27</v>
      </c>
      <c r="F28" s="6">
        <f>_xlfn.XLOOKUP(A28,'Salary Structure'!A:A,'Salary Structure'!B:B,"NOT FOUND")</f>
        <v>40000</v>
      </c>
      <c r="G28" s="5">
        <f>_xlfn.XLOOKUP(A28,'Salary Structure'!A:A,'Salary Structure'!C:C,"NOT FOUND")*E28/C28</f>
        <v>13935.483870967742</v>
      </c>
      <c r="H28" s="5">
        <f>_xlfn.XLOOKUP(A28,'Salary Structure'!A:A,'Salary Structure'!D:D,"NOT FOUND")*E28/C28</f>
        <v>3483.8709677419356</v>
      </c>
      <c r="I28" s="5">
        <f>_xlfn.XLOOKUP(A28,'Salary Structure'!A:A,'Salary Structure'!E:E,"NOT FOUND")*E28/C28</f>
        <v>6096.7741935483873</v>
      </c>
      <c r="J28" s="5">
        <v>0</v>
      </c>
      <c r="K28" s="5">
        <f t="shared" si="2"/>
        <v>34839</v>
      </c>
      <c r="L28" s="6">
        <f t="shared" si="4"/>
        <v>58355.129032258061</v>
      </c>
      <c r="M28" s="5">
        <f t="shared" si="5"/>
        <v>4800</v>
      </c>
      <c r="N28" s="5">
        <f t="shared" si="6"/>
        <v>437.66346774193545</v>
      </c>
      <c r="O28" s="5">
        <v>212</v>
      </c>
      <c r="P28" s="5">
        <f t="shared" si="7"/>
        <v>1750.6538709677418</v>
      </c>
      <c r="Q28" s="5">
        <v>0</v>
      </c>
      <c r="R28" s="9"/>
      <c r="S28" s="6">
        <f t="shared" si="8"/>
        <v>7200.3173387096767</v>
      </c>
      <c r="T28" s="6">
        <f t="shared" si="3"/>
        <v>51154.811693548385</v>
      </c>
    </row>
    <row r="29" spans="1:20" x14ac:dyDescent="0.35">
      <c r="A29" s="7" t="s">
        <v>46</v>
      </c>
      <c r="B29" s="8">
        <v>46082</v>
      </c>
      <c r="C29" s="5">
        <f t="shared" si="0"/>
        <v>31</v>
      </c>
      <c r="D29" s="5">
        <v>0</v>
      </c>
      <c r="E29" s="6">
        <f t="shared" si="1"/>
        <v>31</v>
      </c>
      <c r="F29" s="6">
        <f>_xlfn.XLOOKUP(A29,'Salary Structure'!A:A,'Salary Structure'!B:B,"NOT FOUND")</f>
        <v>30000</v>
      </c>
      <c r="G29" s="5">
        <f>_xlfn.XLOOKUP(A29,'Salary Structure'!A:A,'Salary Structure'!C:C,"NOT FOUND")*E29/C29</f>
        <v>12000</v>
      </c>
      <c r="H29" s="5">
        <f>_xlfn.XLOOKUP(A29,'Salary Structure'!A:A,'Salary Structure'!D:D,"NOT FOUND")*E29/C29</f>
        <v>3000</v>
      </c>
      <c r="I29" s="5">
        <f>_xlfn.XLOOKUP(A29,'Salary Structure'!A:A,'Salary Structure'!E:E,"NOT FOUND")*E29/C29</f>
        <v>5000</v>
      </c>
      <c r="J29" s="5">
        <v>0</v>
      </c>
      <c r="K29" s="5">
        <f t="shared" si="2"/>
        <v>30000</v>
      </c>
      <c r="L29" s="6">
        <f t="shared" si="4"/>
        <v>50000</v>
      </c>
      <c r="M29" s="5">
        <f t="shared" si="5"/>
        <v>3600</v>
      </c>
      <c r="N29" s="5">
        <f t="shared" si="6"/>
        <v>375</v>
      </c>
      <c r="O29" s="5">
        <v>212</v>
      </c>
      <c r="P29" s="5">
        <f t="shared" si="7"/>
        <v>1500</v>
      </c>
      <c r="Q29" s="5">
        <v>0</v>
      </c>
      <c r="R29" s="9"/>
      <c r="S29" s="6">
        <f t="shared" si="8"/>
        <v>5687</v>
      </c>
      <c r="T29" s="6">
        <f t="shared" si="3"/>
        <v>44313</v>
      </c>
    </row>
    <row r="30" spans="1:20" x14ac:dyDescent="0.35">
      <c r="A30" s="7" t="s">
        <v>51</v>
      </c>
      <c r="B30" s="8">
        <v>46082</v>
      </c>
      <c r="C30" s="5">
        <f t="shared" si="0"/>
        <v>31</v>
      </c>
      <c r="D30" s="5">
        <v>0</v>
      </c>
      <c r="E30" s="6">
        <f t="shared" si="1"/>
        <v>31</v>
      </c>
      <c r="F30" s="6">
        <f>_xlfn.XLOOKUP(A30,'Salary Structure'!A:A,'Salary Structure'!B:B,"NOT FOUND")</f>
        <v>23000</v>
      </c>
      <c r="G30" s="5">
        <f>_xlfn.XLOOKUP(A30,'Salary Structure'!A:A,'Salary Structure'!C:C,"NOT FOUND")*E30/C30</f>
        <v>9200</v>
      </c>
      <c r="H30" s="5">
        <f>_xlfn.XLOOKUP(A30,'Salary Structure'!A:A,'Salary Structure'!D:D,"NOT FOUND")*E30/C30</f>
        <v>2300</v>
      </c>
      <c r="I30" s="5">
        <f>_xlfn.XLOOKUP(A30,'Salary Structure'!A:A,'Salary Structure'!E:E,"NOT FOUND")*E30/C30</f>
        <v>3500</v>
      </c>
      <c r="J30" s="5">
        <v>0</v>
      </c>
      <c r="K30" s="5">
        <f t="shared" si="2"/>
        <v>23000</v>
      </c>
      <c r="L30" s="6">
        <f t="shared" si="4"/>
        <v>38000</v>
      </c>
      <c r="M30" s="5">
        <f t="shared" si="5"/>
        <v>2760</v>
      </c>
      <c r="N30" s="5">
        <f t="shared" si="6"/>
        <v>285</v>
      </c>
      <c r="O30" s="5">
        <v>212</v>
      </c>
      <c r="P30" s="5">
        <f t="shared" si="7"/>
        <v>1140</v>
      </c>
      <c r="Q30" s="5">
        <v>0</v>
      </c>
      <c r="R30" s="9"/>
      <c r="S30" s="6">
        <f t="shared" si="8"/>
        <v>4397</v>
      </c>
      <c r="T30" s="6">
        <f t="shared" si="3"/>
        <v>33603</v>
      </c>
    </row>
    <row r="31" spans="1:20" x14ac:dyDescent="0.35">
      <c r="A31" s="7" t="s">
        <v>57</v>
      </c>
      <c r="B31" s="8">
        <v>46082</v>
      </c>
      <c r="C31" s="5">
        <f t="shared" si="0"/>
        <v>31</v>
      </c>
      <c r="D31" s="5">
        <v>0</v>
      </c>
      <c r="E31" s="6">
        <f t="shared" si="1"/>
        <v>31</v>
      </c>
      <c r="F31" s="6">
        <f>_xlfn.XLOOKUP(A31,'Salary Structure'!A:A,'Salary Structure'!B:B,"NOT FOUND")</f>
        <v>45000</v>
      </c>
      <c r="G31" s="5">
        <f>_xlfn.XLOOKUP(A31,'Salary Structure'!A:A,'Salary Structure'!C:C,"NOT FOUND")*E31/C31</f>
        <v>18000</v>
      </c>
      <c r="H31" s="5">
        <f>_xlfn.XLOOKUP(A31,'Salary Structure'!A:A,'Salary Structure'!D:D,"NOT FOUND")*E31/C31</f>
        <v>4500</v>
      </c>
      <c r="I31" s="5">
        <f>_xlfn.XLOOKUP(A31,'Salary Structure'!A:A,'Salary Structure'!E:E,"NOT FOUND")*E31/C31</f>
        <v>8000</v>
      </c>
      <c r="J31" s="5">
        <v>0</v>
      </c>
      <c r="K31" s="5">
        <f t="shared" si="2"/>
        <v>45000</v>
      </c>
      <c r="L31" s="6">
        <f t="shared" si="4"/>
        <v>75500</v>
      </c>
      <c r="M31" s="5">
        <f t="shared" si="5"/>
        <v>5400</v>
      </c>
      <c r="N31" s="5">
        <f t="shared" si="6"/>
        <v>566.25</v>
      </c>
      <c r="O31" s="5">
        <v>212</v>
      </c>
      <c r="P31" s="5">
        <f t="shared" si="7"/>
        <v>2265</v>
      </c>
      <c r="Q31" s="5">
        <v>500</v>
      </c>
      <c r="R31" s="9" t="s">
        <v>73</v>
      </c>
      <c r="S31" s="6">
        <f t="shared" si="8"/>
        <v>8943.25</v>
      </c>
      <c r="T31" s="6">
        <f t="shared" si="3"/>
        <v>66556.75</v>
      </c>
    </row>
    <row r="32" spans="1:20" x14ac:dyDescent="0.35">
      <c r="A32" s="7" t="s">
        <v>0</v>
      </c>
      <c r="B32" s="8">
        <v>46113</v>
      </c>
      <c r="C32" s="5">
        <f t="shared" si="0"/>
        <v>30</v>
      </c>
      <c r="D32" s="5">
        <v>4</v>
      </c>
      <c r="E32" s="6">
        <f t="shared" si="1"/>
        <v>26</v>
      </c>
      <c r="F32" s="6">
        <f>_xlfn.XLOOKUP(A32,'Salary Structure'!A:A,'Salary Structure'!B:B,"NOT FOUND")</f>
        <v>30000</v>
      </c>
      <c r="G32" s="5">
        <f>_xlfn.XLOOKUP(A32,'Salary Structure'!A:A,'Salary Structure'!C:C,"NOT FOUND")*E32/C32</f>
        <v>10400</v>
      </c>
      <c r="H32" s="5">
        <f>_xlfn.XLOOKUP(A32,'Salary Structure'!A:A,'Salary Structure'!D:D,"NOT FOUND")*E32/C32</f>
        <v>2600</v>
      </c>
      <c r="I32" s="5">
        <f>_xlfn.XLOOKUP(A32,'Salary Structure'!A:A,'Salary Structure'!E:E,"NOT FOUND")*E32/C32</f>
        <v>4333.333333333333</v>
      </c>
      <c r="J32" s="5">
        <v>0</v>
      </c>
      <c r="K32" s="5">
        <f t="shared" si="2"/>
        <v>26000</v>
      </c>
      <c r="L32" s="6">
        <f t="shared" si="4"/>
        <v>43333.333333333328</v>
      </c>
      <c r="M32" s="5">
        <f t="shared" si="5"/>
        <v>3600</v>
      </c>
      <c r="N32" s="5">
        <f t="shared" si="6"/>
        <v>324.99999999999994</v>
      </c>
      <c r="O32" s="5">
        <v>208</v>
      </c>
      <c r="P32" s="5">
        <f t="shared" si="7"/>
        <v>1299.9999999999998</v>
      </c>
      <c r="Q32" s="5">
        <v>0</v>
      </c>
      <c r="R32" s="9"/>
      <c r="S32" s="6">
        <f t="shared" si="8"/>
        <v>5433</v>
      </c>
      <c r="T32" s="6">
        <f t="shared" si="3"/>
        <v>37900.333333333328</v>
      </c>
    </row>
    <row r="33" spans="1:20" x14ac:dyDescent="0.35">
      <c r="A33" s="7" t="s">
        <v>9</v>
      </c>
      <c r="B33" s="8">
        <v>46113</v>
      </c>
      <c r="C33" s="5">
        <f t="shared" si="0"/>
        <v>30</v>
      </c>
      <c r="D33" s="5">
        <v>3</v>
      </c>
      <c r="E33" s="6">
        <f t="shared" si="1"/>
        <v>27</v>
      </c>
      <c r="F33" s="6">
        <f>_xlfn.XLOOKUP(A33,'Salary Structure'!A:A,'Salary Structure'!B:B,"NOT FOUND")</f>
        <v>25000</v>
      </c>
      <c r="G33" s="5">
        <f>_xlfn.XLOOKUP(A33,'Salary Structure'!A:A,'Salary Structure'!C:C,"NOT FOUND")*E33/C33</f>
        <v>9000</v>
      </c>
      <c r="H33" s="5">
        <f>_xlfn.XLOOKUP(A33,'Salary Structure'!A:A,'Salary Structure'!D:D,"NOT FOUND")*E33/C33</f>
        <v>2250</v>
      </c>
      <c r="I33" s="5">
        <f>_xlfn.XLOOKUP(A33,'Salary Structure'!A:A,'Salary Structure'!E:E,"NOT FOUND")*E33/C33</f>
        <v>3600</v>
      </c>
      <c r="J33" s="5">
        <v>0</v>
      </c>
      <c r="K33" s="5">
        <f t="shared" si="2"/>
        <v>22500</v>
      </c>
      <c r="L33" s="6">
        <f t="shared" si="4"/>
        <v>37350</v>
      </c>
      <c r="M33" s="5">
        <f t="shared" si="5"/>
        <v>3000</v>
      </c>
      <c r="N33" s="5">
        <f t="shared" si="6"/>
        <v>280.125</v>
      </c>
      <c r="O33" s="5">
        <v>208</v>
      </c>
      <c r="P33" s="5">
        <f t="shared" si="7"/>
        <v>1120.5</v>
      </c>
      <c r="Q33" s="5">
        <v>0</v>
      </c>
      <c r="R33" s="9"/>
      <c r="S33" s="6">
        <f t="shared" si="8"/>
        <v>4608.625</v>
      </c>
      <c r="T33" s="6">
        <f t="shared" si="3"/>
        <v>32741.375</v>
      </c>
    </row>
    <row r="34" spans="1:20" x14ac:dyDescent="0.35">
      <c r="A34" s="7" t="s">
        <v>16</v>
      </c>
      <c r="B34" s="8">
        <v>46113</v>
      </c>
      <c r="C34" s="5">
        <f t="shared" si="0"/>
        <v>30</v>
      </c>
      <c r="D34" s="5">
        <v>0</v>
      </c>
      <c r="E34" s="6">
        <f t="shared" si="1"/>
        <v>30</v>
      </c>
      <c r="F34" s="6">
        <f>_xlfn.XLOOKUP(A34,'Salary Structure'!A:A,'Salary Structure'!B:B,"NOT FOUND")</f>
        <v>28000</v>
      </c>
      <c r="G34" s="5">
        <f>_xlfn.XLOOKUP(A34,'Salary Structure'!A:A,'Salary Structure'!C:C,"NOT FOUND")*E34/C34</f>
        <v>11200</v>
      </c>
      <c r="H34" s="5">
        <f>_xlfn.XLOOKUP(A34,'Salary Structure'!A:A,'Salary Structure'!D:D,"NOT FOUND")*E34/C34</f>
        <v>2800</v>
      </c>
      <c r="I34" s="5">
        <f>_xlfn.XLOOKUP(A34,'Salary Structure'!A:A,'Salary Structure'!E:E,"NOT FOUND")*E34/C34</f>
        <v>4500</v>
      </c>
      <c r="J34" s="5">
        <v>0</v>
      </c>
      <c r="K34" s="5">
        <f t="shared" si="2"/>
        <v>28000</v>
      </c>
      <c r="L34" s="6">
        <f t="shared" si="4"/>
        <v>46500</v>
      </c>
      <c r="M34" s="5">
        <f t="shared" si="5"/>
        <v>3360</v>
      </c>
      <c r="N34" s="5">
        <f t="shared" si="6"/>
        <v>348.75</v>
      </c>
      <c r="O34" s="5">
        <v>208</v>
      </c>
      <c r="P34" s="5">
        <f t="shared" si="7"/>
        <v>1395</v>
      </c>
      <c r="Q34" s="5">
        <v>300</v>
      </c>
      <c r="R34" s="9" t="s">
        <v>73</v>
      </c>
      <c r="S34" s="6">
        <f t="shared" si="8"/>
        <v>5611.75</v>
      </c>
      <c r="T34" s="6">
        <f t="shared" si="3"/>
        <v>40888.25</v>
      </c>
    </row>
    <row r="35" spans="1:20" x14ac:dyDescent="0.35">
      <c r="A35" s="7" t="s">
        <v>23</v>
      </c>
      <c r="B35" s="8">
        <v>46113</v>
      </c>
      <c r="C35" s="5">
        <f t="shared" si="0"/>
        <v>30</v>
      </c>
      <c r="D35" s="5">
        <v>2</v>
      </c>
      <c r="E35" s="6">
        <f t="shared" si="1"/>
        <v>28</v>
      </c>
      <c r="F35" s="6">
        <f>_xlfn.XLOOKUP(A35,'Salary Structure'!A:A,'Salary Structure'!B:B,"NOT FOUND")</f>
        <v>26000</v>
      </c>
      <c r="G35" s="5">
        <f>_xlfn.XLOOKUP(A35,'Salary Structure'!A:A,'Salary Structure'!C:C,"NOT FOUND")*E35/C35</f>
        <v>9706.6666666666661</v>
      </c>
      <c r="H35" s="5">
        <f>_xlfn.XLOOKUP(A35,'Salary Structure'!A:A,'Salary Structure'!D:D,"NOT FOUND")*E35/C35</f>
        <v>2426.6666666666665</v>
      </c>
      <c r="I35" s="5">
        <f>_xlfn.XLOOKUP(A35,'Salary Structure'!A:A,'Salary Structure'!E:E,"NOT FOUND")*E35/C35</f>
        <v>3733.3333333333335</v>
      </c>
      <c r="J35" s="5">
        <v>0</v>
      </c>
      <c r="K35" s="5">
        <f t="shared" si="2"/>
        <v>24267</v>
      </c>
      <c r="L35" s="6">
        <f t="shared" si="4"/>
        <v>40133.666666666664</v>
      </c>
      <c r="M35" s="5">
        <f t="shared" si="5"/>
        <v>3120</v>
      </c>
      <c r="N35" s="5">
        <f t="shared" si="6"/>
        <v>301.0025</v>
      </c>
      <c r="O35" s="5">
        <v>208</v>
      </c>
      <c r="P35" s="5">
        <f t="shared" si="7"/>
        <v>1204.01</v>
      </c>
      <c r="Q35" s="5">
        <v>0</v>
      </c>
      <c r="R35" s="9"/>
      <c r="S35" s="6">
        <f t="shared" si="8"/>
        <v>4833.0124999999998</v>
      </c>
      <c r="T35" s="6">
        <f t="shared" si="3"/>
        <v>35300.654166666667</v>
      </c>
    </row>
    <row r="36" spans="1:20" x14ac:dyDescent="0.35">
      <c r="A36" s="7" t="s">
        <v>30</v>
      </c>
      <c r="B36" s="8">
        <v>46113</v>
      </c>
      <c r="C36" s="5">
        <f t="shared" si="0"/>
        <v>30</v>
      </c>
      <c r="D36" s="5">
        <v>3</v>
      </c>
      <c r="E36" s="6">
        <f t="shared" si="1"/>
        <v>27</v>
      </c>
      <c r="F36" s="6">
        <f>_xlfn.XLOOKUP(A36,'Salary Structure'!A:A,'Salary Structure'!B:B,"NOT FOUND")</f>
        <v>32000</v>
      </c>
      <c r="G36" s="5">
        <f>_xlfn.XLOOKUP(A36,'Salary Structure'!A:A,'Salary Structure'!C:C,"NOT FOUND")*E36/C36</f>
        <v>11520</v>
      </c>
      <c r="H36" s="5">
        <f>_xlfn.XLOOKUP(A36,'Salary Structure'!A:A,'Salary Structure'!D:D,"NOT FOUND")*E36/C36</f>
        <v>2880</v>
      </c>
      <c r="I36" s="5">
        <f>_xlfn.XLOOKUP(A36,'Salary Structure'!A:A,'Salary Structure'!E:E,"NOT FOUND")*E36/C36</f>
        <v>4950</v>
      </c>
      <c r="J36" s="5">
        <v>2000</v>
      </c>
      <c r="K36" s="5">
        <f t="shared" si="2"/>
        <v>28800</v>
      </c>
      <c r="L36" s="6">
        <f t="shared" si="4"/>
        <v>50150</v>
      </c>
      <c r="M36" s="5">
        <f t="shared" si="5"/>
        <v>3840</v>
      </c>
      <c r="N36" s="5">
        <f t="shared" si="6"/>
        <v>376.125</v>
      </c>
      <c r="O36" s="5">
        <v>208</v>
      </c>
      <c r="P36" s="5">
        <f t="shared" si="7"/>
        <v>1504.5</v>
      </c>
      <c r="Q36" s="5">
        <v>0</v>
      </c>
      <c r="R36" s="9"/>
      <c r="S36" s="6">
        <f t="shared" si="8"/>
        <v>5928.625</v>
      </c>
      <c r="T36" s="6">
        <f t="shared" si="3"/>
        <v>44221.375</v>
      </c>
    </row>
    <row r="37" spans="1:20" x14ac:dyDescent="0.35">
      <c r="A37" s="7" t="s">
        <v>35</v>
      </c>
      <c r="B37" s="8">
        <v>46113</v>
      </c>
      <c r="C37" s="5">
        <f t="shared" si="0"/>
        <v>30</v>
      </c>
      <c r="D37" s="5">
        <v>0</v>
      </c>
      <c r="E37" s="6">
        <f t="shared" si="1"/>
        <v>30</v>
      </c>
      <c r="F37" s="6">
        <f>_xlfn.XLOOKUP(A37,'Salary Structure'!A:A,'Salary Structure'!B:B,"NOT FOUND")</f>
        <v>24000</v>
      </c>
      <c r="G37" s="5">
        <f>_xlfn.XLOOKUP(A37,'Salary Structure'!A:A,'Salary Structure'!C:C,"NOT FOUND")*E37/C37</f>
        <v>9600</v>
      </c>
      <c r="H37" s="5">
        <f>_xlfn.XLOOKUP(A37,'Salary Structure'!A:A,'Salary Structure'!D:D,"NOT FOUND")*E37/C37</f>
        <v>2400</v>
      </c>
      <c r="I37" s="5">
        <f>_xlfn.XLOOKUP(A37,'Salary Structure'!A:A,'Salary Structure'!E:E,"NOT FOUND")*E37/C37</f>
        <v>3500</v>
      </c>
      <c r="J37" s="5">
        <v>0</v>
      </c>
      <c r="K37" s="5">
        <f t="shared" si="2"/>
        <v>24000</v>
      </c>
      <c r="L37" s="6">
        <f t="shared" si="4"/>
        <v>39500</v>
      </c>
      <c r="M37" s="5">
        <f t="shared" si="5"/>
        <v>2880</v>
      </c>
      <c r="N37" s="5">
        <f t="shared" si="6"/>
        <v>296.25</v>
      </c>
      <c r="O37" s="5">
        <v>208</v>
      </c>
      <c r="P37" s="5">
        <f t="shared" si="7"/>
        <v>1185</v>
      </c>
      <c r="Q37" s="5">
        <v>0</v>
      </c>
      <c r="R37" s="9"/>
      <c r="S37" s="6">
        <f t="shared" si="8"/>
        <v>4569.25</v>
      </c>
      <c r="T37" s="6">
        <f t="shared" si="3"/>
        <v>34930.75</v>
      </c>
    </row>
    <row r="38" spans="1:20" x14ac:dyDescent="0.35">
      <c r="A38" s="7" t="s">
        <v>41</v>
      </c>
      <c r="B38" s="8">
        <v>46113</v>
      </c>
      <c r="C38" s="5">
        <f t="shared" si="0"/>
        <v>30</v>
      </c>
      <c r="D38" s="5">
        <v>0</v>
      </c>
      <c r="E38" s="6">
        <f t="shared" si="1"/>
        <v>30</v>
      </c>
      <c r="F38" s="6">
        <f>_xlfn.XLOOKUP(A38,'Salary Structure'!A:A,'Salary Structure'!B:B,"NOT FOUND")</f>
        <v>40000</v>
      </c>
      <c r="G38" s="5">
        <f>_xlfn.XLOOKUP(A38,'Salary Structure'!A:A,'Salary Structure'!C:C,"NOT FOUND")*E38/C38</f>
        <v>16000</v>
      </c>
      <c r="H38" s="5">
        <f>_xlfn.XLOOKUP(A38,'Salary Structure'!A:A,'Salary Structure'!D:D,"NOT FOUND")*E38/C38</f>
        <v>4000</v>
      </c>
      <c r="I38" s="5">
        <f>_xlfn.XLOOKUP(A38,'Salary Structure'!A:A,'Salary Structure'!E:E,"NOT FOUND")*E38/C38</f>
        <v>7000</v>
      </c>
      <c r="J38" s="5">
        <v>0</v>
      </c>
      <c r="K38" s="5">
        <f t="shared" si="2"/>
        <v>40000</v>
      </c>
      <c r="L38" s="6">
        <f t="shared" si="4"/>
        <v>67000</v>
      </c>
      <c r="M38" s="5">
        <f t="shared" si="5"/>
        <v>4800</v>
      </c>
      <c r="N38" s="5">
        <f t="shared" si="6"/>
        <v>502.5</v>
      </c>
      <c r="O38" s="5">
        <v>208</v>
      </c>
      <c r="P38" s="5">
        <f t="shared" si="7"/>
        <v>2010</v>
      </c>
      <c r="Q38" s="5">
        <v>0</v>
      </c>
      <c r="R38" s="9"/>
      <c r="S38" s="6">
        <f t="shared" si="8"/>
        <v>7520.5</v>
      </c>
      <c r="T38" s="6">
        <f t="shared" si="3"/>
        <v>59479.5</v>
      </c>
    </row>
    <row r="39" spans="1:20" x14ac:dyDescent="0.35">
      <c r="A39" s="7" t="s">
        <v>46</v>
      </c>
      <c r="B39" s="8">
        <v>46113</v>
      </c>
      <c r="C39" s="5">
        <f t="shared" si="0"/>
        <v>30</v>
      </c>
      <c r="D39" s="5">
        <v>0</v>
      </c>
      <c r="E39" s="6">
        <f t="shared" si="1"/>
        <v>30</v>
      </c>
      <c r="F39" s="6">
        <f>_xlfn.XLOOKUP(A39,'Salary Structure'!A:A,'Salary Structure'!B:B,"NOT FOUND")</f>
        <v>30000</v>
      </c>
      <c r="G39" s="5">
        <f>_xlfn.XLOOKUP(A39,'Salary Structure'!A:A,'Salary Structure'!C:C,"NOT FOUND")*E39/C39</f>
        <v>12000</v>
      </c>
      <c r="H39" s="5">
        <f>_xlfn.XLOOKUP(A39,'Salary Structure'!A:A,'Salary Structure'!D:D,"NOT FOUND")*E39/C39</f>
        <v>3000</v>
      </c>
      <c r="I39" s="5">
        <f>_xlfn.XLOOKUP(A39,'Salary Structure'!A:A,'Salary Structure'!E:E,"NOT FOUND")*E39/C39</f>
        <v>5000</v>
      </c>
      <c r="J39" s="5">
        <v>0</v>
      </c>
      <c r="K39" s="5">
        <f t="shared" si="2"/>
        <v>30000</v>
      </c>
      <c r="L39" s="6">
        <f t="shared" si="4"/>
        <v>50000</v>
      </c>
      <c r="M39" s="5">
        <f t="shared" si="5"/>
        <v>3600</v>
      </c>
      <c r="N39" s="5">
        <f t="shared" si="6"/>
        <v>375</v>
      </c>
      <c r="O39" s="5">
        <v>208</v>
      </c>
      <c r="P39" s="5">
        <f t="shared" si="7"/>
        <v>1500</v>
      </c>
      <c r="Q39" s="5">
        <v>0</v>
      </c>
      <c r="R39" s="9"/>
      <c r="S39" s="6">
        <f t="shared" si="8"/>
        <v>5683</v>
      </c>
      <c r="T39" s="6">
        <f t="shared" si="3"/>
        <v>44317</v>
      </c>
    </row>
    <row r="40" spans="1:20" x14ac:dyDescent="0.35">
      <c r="A40" s="7" t="s">
        <v>51</v>
      </c>
      <c r="B40" s="8">
        <v>46113</v>
      </c>
      <c r="C40" s="5">
        <f t="shared" si="0"/>
        <v>30</v>
      </c>
      <c r="D40" s="5">
        <v>2</v>
      </c>
      <c r="E40" s="6">
        <f t="shared" si="1"/>
        <v>28</v>
      </c>
      <c r="F40" s="6">
        <f>_xlfn.XLOOKUP(A40,'Salary Structure'!A:A,'Salary Structure'!B:B,"NOT FOUND")</f>
        <v>23000</v>
      </c>
      <c r="G40" s="5">
        <f>_xlfn.XLOOKUP(A40,'Salary Structure'!A:A,'Salary Structure'!C:C,"NOT FOUND")*E40/C40</f>
        <v>8586.6666666666661</v>
      </c>
      <c r="H40" s="5">
        <f>_xlfn.XLOOKUP(A40,'Salary Structure'!A:A,'Salary Structure'!D:D,"NOT FOUND")*E40/C40</f>
        <v>2146.6666666666665</v>
      </c>
      <c r="I40" s="5">
        <f>_xlfn.XLOOKUP(A40,'Salary Structure'!A:A,'Salary Structure'!E:E,"NOT FOUND")*E40/C40</f>
        <v>3266.6666666666665</v>
      </c>
      <c r="J40" s="5">
        <v>0</v>
      </c>
      <c r="K40" s="5">
        <f t="shared" si="2"/>
        <v>21467</v>
      </c>
      <c r="L40" s="6">
        <f t="shared" si="4"/>
        <v>35467</v>
      </c>
      <c r="M40" s="5">
        <f t="shared" si="5"/>
        <v>2760</v>
      </c>
      <c r="N40" s="5">
        <f t="shared" si="6"/>
        <v>266.0025</v>
      </c>
      <c r="O40" s="5">
        <v>208</v>
      </c>
      <c r="P40" s="5">
        <f t="shared" si="7"/>
        <v>1064.01</v>
      </c>
      <c r="Q40" s="5">
        <v>0</v>
      </c>
      <c r="R40" s="9"/>
      <c r="S40" s="6">
        <f t="shared" si="8"/>
        <v>4298.0124999999998</v>
      </c>
      <c r="T40" s="6">
        <f t="shared" si="3"/>
        <v>31168.987499999999</v>
      </c>
    </row>
    <row r="41" spans="1:20" x14ac:dyDescent="0.35">
      <c r="A41" s="7" t="s">
        <v>57</v>
      </c>
      <c r="B41" s="8">
        <v>46113</v>
      </c>
      <c r="C41" s="5">
        <f t="shared" si="0"/>
        <v>30</v>
      </c>
      <c r="D41" s="5">
        <v>1</v>
      </c>
      <c r="E41" s="6">
        <f t="shared" si="1"/>
        <v>29</v>
      </c>
      <c r="F41" s="6">
        <f>_xlfn.XLOOKUP(A41,'Salary Structure'!A:A,'Salary Structure'!B:B,"NOT FOUND")</f>
        <v>45000</v>
      </c>
      <c r="G41" s="5">
        <f>_xlfn.XLOOKUP(A41,'Salary Structure'!A:A,'Salary Structure'!C:C,"NOT FOUND")*E41/C41</f>
        <v>17400</v>
      </c>
      <c r="H41" s="5">
        <f>_xlfn.XLOOKUP(A41,'Salary Structure'!A:A,'Salary Structure'!D:D,"NOT FOUND")*E41/C41</f>
        <v>4350</v>
      </c>
      <c r="I41" s="5">
        <f>_xlfn.XLOOKUP(A41,'Salary Structure'!A:A,'Salary Structure'!E:E,"NOT FOUND")*E41/C41</f>
        <v>7733.333333333333</v>
      </c>
      <c r="J41" s="5">
        <v>0</v>
      </c>
      <c r="K41" s="5">
        <f t="shared" si="2"/>
        <v>43500</v>
      </c>
      <c r="L41" s="6">
        <f t="shared" si="4"/>
        <v>72983.333333333328</v>
      </c>
      <c r="M41" s="5">
        <f t="shared" si="5"/>
        <v>5400</v>
      </c>
      <c r="N41" s="5">
        <f t="shared" si="6"/>
        <v>547.375</v>
      </c>
      <c r="O41" s="5">
        <v>208</v>
      </c>
      <c r="P41" s="5">
        <f t="shared" si="7"/>
        <v>2189.5</v>
      </c>
      <c r="Q41" s="5">
        <v>500</v>
      </c>
      <c r="R41" s="9" t="s">
        <v>73</v>
      </c>
      <c r="S41" s="6">
        <f t="shared" si="8"/>
        <v>8844.875</v>
      </c>
      <c r="T41" s="6">
        <f t="shared" si="3"/>
        <v>64138.458333333328</v>
      </c>
    </row>
    <row r="42" spans="1:20" x14ac:dyDescent="0.35">
      <c r="A42" s="7" t="s">
        <v>0</v>
      </c>
      <c r="B42" s="8">
        <v>46143</v>
      </c>
      <c r="C42" s="5">
        <f t="shared" si="0"/>
        <v>31</v>
      </c>
      <c r="D42" s="5">
        <v>4</v>
      </c>
      <c r="E42" s="6">
        <f t="shared" si="1"/>
        <v>27</v>
      </c>
      <c r="F42" s="6">
        <f>_xlfn.XLOOKUP(A42,'Salary Structure'!A:A,'Salary Structure'!B:B,"NOT FOUND")</f>
        <v>30000</v>
      </c>
      <c r="G42" s="5">
        <f>_xlfn.XLOOKUP(A42,'Salary Structure'!A:A,'Salary Structure'!C:C,"NOT FOUND")*E42/C42</f>
        <v>10451.612903225807</v>
      </c>
      <c r="H42" s="5">
        <f>_xlfn.XLOOKUP(A42,'Salary Structure'!A:A,'Salary Structure'!D:D,"NOT FOUND")*E42/C42</f>
        <v>2612.9032258064517</v>
      </c>
      <c r="I42" s="5">
        <f>_xlfn.XLOOKUP(A42,'Salary Structure'!A:A,'Salary Structure'!E:E,"NOT FOUND")*E42/C42</f>
        <v>4354.8387096774195</v>
      </c>
      <c r="J42" s="5">
        <v>0</v>
      </c>
      <c r="K42" s="5">
        <f t="shared" si="2"/>
        <v>26129</v>
      </c>
      <c r="L42" s="6">
        <f t="shared" si="4"/>
        <v>43548.354838709682</v>
      </c>
      <c r="M42" s="5">
        <f t="shared" si="5"/>
        <v>3600</v>
      </c>
      <c r="N42" s="5">
        <f t="shared" si="6"/>
        <v>326.61266129032259</v>
      </c>
      <c r="O42" s="5">
        <v>208</v>
      </c>
      <c r="P42" s="5">
        <f t="shared" si="7"/>
        <v>1306.4506451612904</v>
      </c>
      <c r="Q42" s="5">
        <v>0</v>
      </c>
      <c r="R42" s="9"/>
      <c r="S42" s="6">
        <f t="shared" si="8"/>
        <v>5441.0633064516132</v>
      </c>
      <c r="T42" s="6">
        <f t="shared" si="3"/>
        <v>38107.291532258067</v>
      </c>
    </row>
    <row r="43" spans="1:20" x14ac:dyDescent="0.35">
      <c r="A43" s="7" t="s">
        <v>9</v>
      </c>
      <c r="B43" s="8">
        <v>46143</v>
      </c>
      <c r="C43" s="5">
        <f t="shared" si="0"/>
        <v>31</v>
      </c>
      <c r="D43" s="5">
        <v>0</v>
      </c>
      <c r="E43" s="6">
        <f t="shared" si="1"/>
        <v>31</v>
      </c>
      <c r="F43" s="6">
        <f>_xlfn.XLOOKUP(A43,'Salary Structure'!A:A,'Salary Structure'!B:B,"NOT FOUND")</f>
        <v>25000</v>
      </c>
      <c r="G43" s="5">
        <f>_xlfn.XLOOKUP(A43,'Salary Structure'!A:A,'Salary Structure'!C:C,"NOT FOUND")*E43/C43</f>
        <v>10000</v>
      </c>
      <c r="H43" s="5">
        <f>_xlfn.XLOOKUP(A43,'Salary Structure'!A:A,'Salary Structure'!D:D,"NOT FOUND")*E43/C43</f>
        <v>2500</v>
      </c>
      <c r="I43" s="5">
        <f>_xlfn.XLOOKUP(A43,'Salary Structure'!A:A,'Salary Structure'!E:E,"NOT FOUND")*E43/C43</f>
        <v>4000</v>
      </c>
      <c r="J43" s="5">
        <v>0</v>
      </c>
      <c r="K43" s="5">
        <f t="shared" si="2"/>
        <v>25000</v>
      </c>
      <c r="L43" s="6">
        <f t="shared" si="4"/>
        <v>41500</v>
      </c>
      <c r="M43" s="5">
        <f t="shared" si="5"/>
        <v>3000</v>
      </c>
      <c r="N43" s="5">
        <f t="shared" si="6"/>
        <v>311.25</v>
      </c>
      <c r="O43" s="5">
        <v>208</v>
      </c>
      <c r="P43" s="5">
        <f t="shared" si="7"/>
        <v>1245</v>
      </c>
      <c r="Q43" s="5">
        <v>0</v>
      </c>
      <c r="R43" s="9"/>
      <c r="S43" s="6">
        <f t="shared" si="8"/>
        <v>4764.25</v>
      </c>
      <c r="T43" s="6">
        <f t="shared" si="3"/>
        <v>36735.75</v>
      </c>
    </row>
    <row r="44" spans="1:20" x14ac:dyDescent="0.35">
      <c r="A44" s="7" t="s">
        <v>16</v>
      </c>
      <c r="B44" s="8">
        <v>46143</v>
      </c>
      <c r="C44" s="5">
        <f t="shared" si="0"/>
        <v>31</v>
      </c>
      <c r="D44" s="5">
        <v>2</v>
      </c>
      <c r="E44" s="6">
        <f t="shared" si="1"/>
        <v>29</v>
      </c>
      <c r="F44" s="6">
        <f>_xlfn.XLOOKUP(A44,'Salary Structure'!A:A,'Salary Structure'!B:B,"NOT FOUND")</f>
        <v>28000</v>
      </c>
      <c r="G44" s="5">
        <f>_xlfn.XLOOKUP(A44,'Salary Structure'!A:A,'Salary Structure'!C:C,"NOT FOUND")*E44/C44</f>
        <v>10477.41935483871</v>
      </c>
      <c r="H44" s="5">
        <f>_xlfn.XLOOKUP(A44,'Salary Structure'!A:A,'Salary Structure'!D:D,"NOT FOUND")*E44/C44</f>
        <v>2619.3548387096776</v>
      </c>
      <c r="I44" s="5">
        <f>_xlfn.XLOOKUP(A44,'Salary Structure'!A:A,'Salary Structure'!E:E,"NOT FOUND")*E44/C44</f>
        <v>4209.677419354839</v>
      </c>
      <c r="J44" s="5">
        <v>0</v>
      </c>
      <c r="K44" s="5">
        <f t="shared" si="2"/>
        <v>26194</v>
      </c>
      <c r="L44" s="6">
        <f t="shared" si="4"/>
        <v>43500.451612903227</v>
      </c>
      <c r="M44" s="5">
        <f t="shared" si="5"/>
        <v>3360</v>
      </c>
      <c r="N44" s="5">
        <f t="shared" si="6"/>
        <v>326.25338709677419</v>
      </c>
      <c r="O44" s="5">
        <v>208</v>
      </c>
      <c r="P44" s="5">
        <f t="shared" si="7"/>
        <v>1305.0135483870968</v>
      </c>
      <c r="Q44" s="5">
        <v>300</v>
      </c>
      <c r="R44" s="9" t="s">
        <v>73</v>
      </c>
      <c r="S44" s="6">
        <f t="shared" si="8"/>
        <v>5499.2669354838708</v>
      </c>
      <c r="T44" s="6">
        <f t="shared" si="3"/>
        <v>38001.184677419355</v>
      </c>
    </row>
    <row r="45" spans="1:20" x14ac:dyDescent="0.35">
      <c r="A45" s="7" t="s">
        <v>23</v>
      </c>
      <c r="B45" s="8">
        <v>46143</v>
      </c>
      <c r="C45" s="5">
        <f t="shared" si="0"/>
        <v>31</v>
      </c>
      <c r="D45" s="5">
        <v>4</v>
      </c>
      <c r="E45" s="6">
        <f t="shared" si="1"/>
        <v>27</v>
      </c>
      <c r="F45" s="6">
        <f>_xlfn.XLOOKUP(A45,'Salary Structure'!A:A,'Salary Structure'!B:B,"NOT FOUND")</f>
        <v>26000</v>
      </c>
      <c r="G45" s="5">
        <f>_xlfn.XLOOKUP(A45,'Salary Structure'!A:A,'Salary Structure'!C:C,"NOT FOUND")*E45/C45</f>
        <v>9058.0645161290322</v>
      </c>
      <c r="H45" s="5">
        <f>_xlfn.XLOOKUP(A45,'Salary Structure'!A:A,'Salary Structure'!D:D,"NOT FOUND")*E45/C45</f>
        <v>2264.516129032258</v>
      </c>
      <c r="I45" s="5">
        <f>_xlfn.XLOOKUP(A45,'Salary Structure'!A:A,'Salary Structure'!E:E,"NOT FOUND")*E45/C45</f>
        <v>3483.8709677419356</v>
      </c>
      <c r="J45" s="5">
        <v>0</v>
      </c>
      <c r="K45" s="5">
        <f t="shared" si="2"/>
        <v>22645</v>
      </c>
      <c r="L45" s="6">
        <f t="shared" si="4"/>
        <v>37451.451612903227</v>
      </c>
      <c r="M45" s="5">
        <f t="shared" si="5"/>
        <v>3120</v>
      </c>
      <c r="N45" s="5">
        <f t="shared" si="6"/>
        <v>280.88588709677418</v>
      </c>
      <c r="O45" s="5">
        <v>208</v>
      </c>
      <c r="P45" s="5">
        <f t="shared" si="7"/>
        <v>1123.5435483870967</v>
      </c>
      <c r="Q45" s="5">
        <v>0</v>
      </c>
      <c r="R45" s="9"/>
      <c r="S45" s="6">
        <f t="shared" si="8"/>
        <v>4732.4294354838712</v>
      </c>
      <c r="T45" s="6">
        <f t="shared" si="3"/>
        <v>32719.022177419356</v>
      </c>
    </row>
    <row r="46" spans="1:20" x14ac:dyDescent="0.35">
      <c r="A46" s="7" t="s">
        <v>30</v>
      </c>
      <c r="B46" s="8">
        <v>46143</v>
      </c>
      <c r="C46" s="5">
        <f t="shared" si="0"/>
        <v>31</v>
      </c>
      <c r="D46" s="5">
        <v>0</v>
      </c>
      <c r="E46" s="6">
        <f t="shared" si="1"/>
        <v>31</v>
      </c>
      <c r="F46" s="6">
        <f>_xlfn.XLOOKUP(A46,'Salary Structure'!A:A,'Salary Structure'!B:B,"NOT FOUND")</f>
        <v>32000</v>
      </c>
      <c r="G46" s="5">
        <f>_xlfn.XLOOKUP(A46,'Salary Structure'!A:A,'Salary Structure'!C:C,"NOT FOUND")*E46/C46</f>
        <v>12800</v>
      </c>
      <c r="H46" s="5">
        <f>_xlfn.XLOOKUP(A46,'Salary Structure'!A:A,'Salary Structure'!D:D,"NOT FOUND")*E46/C46</f>
        <v>3200</v>
      </c>
      <c r="I46" s="5">
        <f>_xlfn.XLOOKUP(A46,'Salary Structure'!A:A,'Salary Structure'!E:E,"NOT FOUND")*E46/C46</f>
        <v>5500</v>
      </c>
      <c r="J46" s="5">
        <v>0</v>
      </c>
      <c r="K46" s="5">
        <f t="shared" si="2"/>
        <v>32000</v>
      </c>
      <c r="L46" s="6">
        <f t="shared" si="4"/>
        <v>53500</v>
      </c>
      <c r="M46" s="5">
        <f t="shared" si="5"/>
        <v>3840</v>
      </c>
      <c r="N46" s="5">
        <f t="shared" si="6"/>
        <v>401.25</v>
      </c>
      <c r="O46" s="5">
        <v>208</v>
      </c>
      <c r="P46" s="5">
        <f t="shared" si="7"/>
        <v>1605</v>
      </c>
      <c r="Q46" s="5">
        <v>0</v>
      </c>
      <c r="R46" s="9"/>
      <c r="S46" s="6">
        <f t="shared" si="8"/>
        <v>6054.25</v>
      </c>
      <c r="T46" s="6">
        <f t="shared" si="3"/>
        <v>47445.75</v>
      </c>
    </row>
    <row r="47" spans="1:20" x14ac:dyDescent="0.35">
      <c r="A47" s="7" t="s">
        <v>35</v>
      </c>
      <c r="B47" s="8">
        <v>46143</v>
      </c>
      <c r="C47" s="5">
        <f t="shared" si="0"/>
        <v>31</v>
      </c>
      <c r="D47" s="5">
        <v>4</v>
      </c>
      <c r="E47" s="6">
        <f t="shared" si="1"/>
        <v>27</v>
      </c>
      <c r="F47" s="6">
        <f>_xlfn.XLOOKUP(A47,'Salary Structure'!A:A,'Salary Structure'!B:B,"NOT FOUND")</f>
        <v>24000</v>
      </c>
      <c r="G47" s="5">
        <f>_xlfn.XLOOKUP(A47,'Salary Structure'!A:A,'Salary Structure'!C:C,"NOT FOUND")*E47/C47</f>
        <v>8361.2903225806458</v>
      </c>
      <c r="H47" s="5">
        <f>_xlfn.XLOOKUP(A47,'Salary Structure'!A:A,'Salary Structure'!D:D,"NOT FOUND")*E47/C47</f>
        <v>2090.3225806451615</v>
      </c>
      <c r="I47" s="5">
        <f>_xlfn.XLOOKUP(A47,'Salary Structure'!A:A,'Salary Structure'!E:E,"NOT FOUND")*E47/C47</f>
        <v>3048.3870967741937</v>
      </c>
      <c r="J47" s="5">
        <v>0</v>
      </c>
      <c r="K47" s="5">
        <f t="shared" si="2"/>
        <v>20903</v>
      </c>
      <c r="L47" s="6">
        <f t="shared" si="4"/>
        <v>34403</v>
      </c>
      <c r="M47" s="5">
        <f t="shared" si="5"/>
        <v>2880</v>
      </c>
      <c r="N47" s="5">
        <f t="shared" si="6"/>
        <v>258.02249999999998</v>
      </c>
      <c r="O47" s="5">
        <v>208</v>
      </c>
      <c r="P47" s="5">
        <f t="shared" si="7"/>
        <v>1032.0899999999999</v>
      </c>
      <c r="Q47" s="5">
        <v>0</v>
      </c>
      <c r="R47" s="9"/>
      <c r="S47" s="6">
        <f t="shared" si="8"/>
        <v>4378.1125000000002</v>
      </c>
      <c r="T47" s="6">
        <f t="shared" si="3"/>
        <v>30024.887500000001</v>
      </c>
    </row>
    <row r="48" spans="1:20" x14ac:dyDescent="0.35">
      <c r="A48" s="7" t="s">
        <v>41</v>
      </c>
      <c r="B48" s="8">
        <v>46143</v>
      </c>
      <c r="C48" s="5">
        <f t="shared" si="0"/>
        <v>31</v>
      </c>
      <c r="D48" s="5">
        <v>1</v>
      </c>
      <c r="E48" s="6">
        <f t="shared" si="1"/>
        <v>30</v>
      </c>
      <c r="F48" s="6">
        <f>_xlfn.XLOOKUP(A48,'Salary Structure'!A:A,'Salary Structure'!B:B,"NOT FOUND")</f>
        <v>40000</v>
      </c>
      <c r="G48" s="5">
        <f>_xlfn.XLOOKUP(A48,'Salary Structure'!A:A,'Salary Structure'!C:C,"NOT FOUND")*E48/C48</f>
        <v>15483.870967741936</v>
      </c>
      <c r="H48" s="5">
        <f>_xlfn.XLOOKUP(A48,'Salary Structure'!A:A,'Salary Structure'!D:D,"NOT FOUND")*E48/C48</f>
        <v>3870.9677419354839</v>
      </c>
      <c r="I48" s="5">
        <f>_xlfn.XLOOKUP(A48,'Salary Structure'!A:A,'Salary Structure'!E:E,"NOT FOUND")*E48/C48</f>
        <v>6774.1935483870966</v>
      </c>
      <c r="J48" s="5">
        <v>0</v>
      </c>
      <c r="K48" s="5">
        <f t="shared" si="2"/>
        <v>38710</v>
      </c>
      <c r="L48" s="6">
        <f t="shared" si="4"/>
        <v>64839.032258064515</v>
      </c>
      <c r="M48" s="5">
        <f t="shared" si="5"/>
        <v>4800</v>
      </c>
      <c r="N48" s="5">
        <f t="shared" si="6"/>
        <v>486.29274193548383</v>
      </c>
      <c r="O48" s="5">
        <v>208</v>
      </c>
      <c r="P48" s="5">
        <f t="shared" si="7"/>
        <v>1945.1709677419356</v>
      </c>
      <c r="Q48" s="5">
        <v>0</v>
      </c>
      <c r="R48" s="9"/>
      <c r="S48" s="6">
        <f t="shared" si="8"/>
        <v>7439.4637096774195</v>
      </c>
      <c r="T48" s="6">
        <f t="shared" si="3"/>
        <v>57399.568548387098</v>
      </c>
    </row>
    <row r="49" spans="1:20" x14ac:dyDescent="0.35">
      <c r="A49" s="7" t="s">
        <v>46</v>
      </c>
      <c r="B49" s="8">
        <v>46143</v>
      </c>
      <c r="C49" s="5">
        <f t="shared" si="0"/>
        <v>31</v>
      </c>
      <c r="D49" s="5">
        <v>1</v>
      </c>
      <c r="E49" s="6">
        <f t="shared" si="1"/>
        <v>30</v>
      </c>
      <c r="F49" s="6">
        <f>_xlfn.XLOOKUP(A49,'Salary Structure'!A:A,'Salary Structure'!B:B,"NOT FOUND")</f>
        <v>30000</v>
      </c>
      <c r="G49" s="5">
        <f>_xlfn.XLOOKUP(A49,'Salary Structure'!A:A,'Salary Structure'!C:C,"NOT FOUND")*E49/C49</f>
        <v>11612.903225806451</v>
      </c>
      <c r="H49" s="5">
        <f>_xlfn.XLOOKUP(A49,'Salary Structure'!A:A,'Salary Structure'!D:D,"NOT FOUND")*E49/C49</f>
        <v>2903.2258064516127</v>
      </c>
      <c r="I49" s="5">
        <f>_xlfn.XLOOKUP(A49,'Salary Structure'!A:A,'Salary Structure'!E:E,"NOT FOUND")*E49/C49</f>
        <v>4838.7096774193551</v>
      </c>
      <c r="J49" s="5">
        <v>0</v>
      </c>
      <c r="K49" s="5">
        <f t="shared" si="2"/>
        <v>29032</v>
      </c>
      <c r="L49" s="6">
        <f t="shared" si="4"/>
        <v>48386.838709677424</v>
      </c>
      <c r="M49" s="5">
        <f t="shared" si="5"/>
        <v>3600</v>
      </c>
      <c r="N49" s="5">
        <f t="shared" si="6"/>
        <v>362.90129032258068</v>
      </c>
      <c r="O49" s="5">
        <v>208</v>
      </c>
      <c r="P49" s="5">
        <f t="shared" si="7"/>
        <v>1451.6051612903227</v>
      </c>
      <c r="Q49" s="5">
        <v>0</v>
      </c>
      <c r="R49" s="9"/>
      <c r="S49" s="6">
        <f t="shared" si="8"/>
        <v>5622.5064516129041</v>
      </c>
      <c r="T49" s="6">
        <f t="shared" si="3"/>
        <v>42764.332258064518</v>
      </c>
    </row>
    <row r="50" spans="1:20" x14ac:dyDescent="0.35">
      <c r="A50" s="7" t="s">
        <v>51</v>
      </c>
      <c r="B50" s="8">
        <v>46143</v>
      </c>
      <c r="C50" s="5">
        <f t="shared" si="0"/>
        <v>31</v>
      </c>
      <c r="D50" s="5">
        <v>2</v>
      </c>
      <c r="E50" s="6">
        <f t="shared" si="1"/>
        <v>29</v>
      </c>
      <c r="F50" s="6">
        <f>_xlfn.XLOOKUP(A50,'Salary Structure'!A:A,'Salary Structure'!B:B,"NOT FOUND")</f>
        <v>23000</v>
      </c>
      <c r="G50" s="5">
        <f>_xlfn.XLOOKUP(A50,'Salary Structure'!A:A,'Salary Structure'!C:C,"NOT FOUND")*E50/C50</f>
        <v>8606.4516129032254</v>
      </c>
      <c r="H50" s="5">
        <f>_xlfn.XLOOKUP(A50,'Salary Structure'!A:A,'Salary Structure'!D:D,"NOT FOUND")*E50/C50</f>
        <v>2151.6129032258063</v>
      </c>
      <c r="I50" s="5">
        <f>_xlfn.XLOOKUP(A50,'Salary Structure'!A:A,'Salary Structure'!E:E,"NOT FOUND")*E50/C50</f>
        <v>3274.1935483870966</v>
      </c>
      <c r="J50" s="5">
        <v>0</v>
      </c>
      <c r="K50" s="5">
        <f t="shared" si="2"/>
        <v>21516</v>
      </c>
      <c r="L50" s="6">
        <f t="shared" si="4"/>
        <v>35548.258064516129</v>
      </c>
      <c r="M50" s="5">
        <f t="shared" si="5"/>
        <v>2760</v>
      </c>
      <c r="N50" s="5">
        <f t="shared" si="6"/>
        <v>266.61193548387098</v>
      </c>
      <c r="O50" s="5">
        <v>208</v>
      </c>
      <c r="P50" s="5">
        <f t="shared" si="7"/>
        <v>1066.4477419354839</v>
      </c>
      <c r="Q50" s="5">
        <v>0</v>
      </c>
      <c r="R50" s="9"/>
      <c r="S50" s="6">
        <f t="shared" si="8"/>
        <v>4301.0596774193546</v>
      </c>
      <c r="T50" s="6">
        <f t="shared" si="3"/>
        <v>31247.198387096774</v>
      </c>
    </row>
    <row r="51" spans="1:20" x14ac:dyDescent="0.35">
      <c r="A51" s="7" t="s">
        <v>57</v>
      </c>
      <c r="B51" s="8">
        <v>46143</v>
      </c>
      <c r="C51" s="5">
        <f t="shared" si="0"/>
        <v>31</v>
      </c>
      <c r="D51" s="5">
        <v>4</v>
      </c>
      <c r="E51" s="6">
        <f t="shared" si="1"/>
        <v>27</v>
      </c>
      <c r="F51" s="6">
        <f>_xlfn.XLOOKUP(A51,'Salary Structure'!A:A,'Salary Structure'!B:B,"NOT FOUND")</f>
        <v>45000</v>
      </c>
      <c r="G51" s="5">
        <f>_xlfn.XLOOKUP(A51,'Salary Structure'!A:A,'Salary Structure'!C:C,"NOT FOUND")*E51/C51</f>
        <v>15677.41935483871</v>
      </c>
      <c r="H51" s="5">
        <f>_xlfn.XLOOKUP(A51,'Salary Structure'!A:A,'Salary Structure'!D:D,"NOT FOUND")*E51/C51</f>
        <v>3919.3548387096776</v>
      </c>
      <c r="I51" s="5">
        <f>_xlfn.XLOOKUP(A51,'Salary Structure'!A:A,'Salary Structure'!E:E,"NOT FOUND")*E51/C51</f>
        <v>6967.7419354838712</v>
      </c>
      <c r="J51" s="5">
        <v>0</v>
      </c>
      <c r="K51" s="5">
        <f t="shared" si="2"/>
        <v>39194</v>
      </c>
      <c r="L51" s="6">
        <f t="shared" si="4"/>
        <v>65758.516129032258</v>
      </c>
      <c r="M51" s="5">
        <f t="shared" si="5"/>
        <v>5400</v>
      </c>
      <c r="N51" s="5">
        <f t="shared" si="6"/>
        <v>493.18887096774193</v>
      </c>
      <c r="O51" s="5">
        <v>208</v>
      </c>
      <c r="P51" s="5">
        <f t="shared" si="7"/>
        <v>1972.755483870968</v>
      </c>
      <c r="Q51" s="5">
        <v>500</v>
      </c>
      <c r="R51" s="9" t="s">
        <v>73</v>
      </c>
      <c r="S51" s="6">
        <f t="shared" si="8"/>
        <v>8573.9443548387098</v>
      </c>
      <c r="T51" s="6">
        <f t="shared" si="3"/>
        <v>57184.571774193551</v>
      </c>
    </row>
    <row r="52" spans="1:20" x14ac:dyDescent="0.35">
      <c r="A52" s="7" t="s">
        <v>0</v>
      </c>
      <c r="B52" s="8">
        <v>46174</v>
      </c>
      <c r="C52" s="5">
        <f t="shared" si="0"/>
        <v>30</v>
      </c>
      <c r="D52" s="5">
        <v>0</v>
      </c>
      <c r="E52" s="6">
        <f t="shared" si="1"/>
        <v>30</v>
      </c>
      <c r="F52" s="6">
        <f>_xlfn.XLOOKUP(A52,'Salary Structure'!A:A,'Salary Structure'!B:B,"NOT FOUND")</f>
        <v>30000</v>
      </c>
      <c r="G52" s="5">
        <f>_xlfn.XLOOKUP(A52,'Salary Structure'!A:A,'Salary Structure'!C:C,"NOT FOUND")*E52/C52</f>
        <v>12000</v>
      </c>
      <c r="H52" s="5">
        <f>_xlfn.XLOOKUP(A52,'Salary Structure'!A:A,'Salary Structure'!D:D,"NOT FOUND")*E52/C52</f>
        <v>3000</v>
      </c>
      <c r="I52" s="5">
        <f>_xlfn.XLOOKUP(A52,'Salary Structure'!A:A,'Salary Structure'!E:E,"NOT FOUND")*E52/C52</f>
        <v>5000</v>
      </c>
      <c r="J52" s="5">
        <v>0</v>
      </c>
      <c r="K52" s="5">
        <f t="shared" si="2"/>
        <v>30000</v>
      </c>
      <c r="L52" s="6">
        <f t="shared" si="4"/>
        <v>50000</v>
      </c>
      <c r="M52" s="5">
        <f t="shared" si="5"/>
        <v>3600</v>
      </c>
      <c r="N52" s="5">
        <f t="shared" si="6"/>
        <v>375</v>
      </c>
      <c r="O52" s="5">
        <v>208</v>
      </c>
      <c r="P52" s="5">
        <f t="shared" si="7"/>
        <v>1500</v>
      </c>
      <c r="Q52" s="5">
        <v>0</v>
      </c>
      <c r="R52" s="9"/>
      <c r="S52" s="6">
        <f t="shared" si="8"/>
        <v>5683</v>
      </c>
      <c r="T52" s="6">
        <f t="shared" si="3"/>
        <v>44317</v>
      </c>
    </row>
    <row r="53" spans="1:20" x14ac:dyDescent="0.35">
      <c r="A53" s="7" t="s">
        <v>9</v>
      </c>
      <c r="B53" s="8">
        <v>46174</v>
      </c>
      <c r="C53" s="5">
        <f t="shared" si="0"/>
        <v>30</v>
      </c>
      <c r="D53" s="5">
        <v>0</v>
      </c>
      <c r="E53" s="6">
        <f t="shared" si="1"/>
        <v>30</v>
      </c>
      <c r="F53" s="6">
        <f>_xlfn.XLOOKUP(A53,'Salary Structure'!A:A,'Salary Structure'!B:B,"NOT FOUND")</f>
        <v>25000</v>
      </c>
      <c r="G53" s="5">
        <f>_xlfn.XLOOKUP(A53,'Salary Structure'!A:A,'Salary Structure'!C:C,"NOT FOUND")*E53/C53</f>
        <v>10000</v>
      </c>
      <c r="H53" s="5">
        <f>_xlfn.XLOOKUP(A53,'Salary Structure'!A:A,'Salary Structure'!D:D,"NOT FOUND")*E53/C53</f>
        <v>2500</v>
      </c>
      <c r="I53" s="5">
        <f>_xlfn.XLOOKUP(A53,'Salary Structure'!A:A,'Salary Structure'!E:E,"NOT FOUND")*E53/C53</f>
        <v>4000</v>
      </c>
      <c r="J53" s="5">
        <v>0</v>
      </c>
      <c r="K53" s="5">
        <f t="shared" si="2"/>
        <v>25000</v>
      </c>
      <c r="L53" s="6">
        <f t="shared" si="4"/>
        <v>41500</v>
      </c>
      <c r="M53" s="5">
        <f t="shared" si="5"/>
        <v>3000</v>
      </c>
      <c r="N53" s="5">
        <f t="shared" si="6"/>
        <v>311.25</v>
      </c>
      <c r="O53" s="5">
        <v>208</v>
      </c>
      <c r="P53" s="5">
        <f t="shared" si="7"/>
        <v>1245</v>
      </c>
      <c r="Q53" s="5">
        <v>0</v>
      </c>
      <c r="R53" s="9"/>
      <c r="S53" s="6">
        <f t="shared" si="8"/>
        <v>4764.25</v>
      </c>
      <c r="T53" s="6">
        <f t="shared" si="3"/>
        <v>36735.75</v>
      </c>
    </row>
    <row r="54" spans="1:20" x14ac:dyDescent="0.35">
      <c r="A54" s="7" t="s">
        <v>16</v>
      </c>
      <c r="B54" s="8">
        <v>46174</v>
      </c>
      <c r="C54" s="5">
        <f t="shared" si="0"/>
        <v>30</v>
      </c>
      <c r="D54" s="5">
        <v>1</v>
      </c>
      <c r="E54" s="6">
        <f t="shared" si="1"/>
        <v>29</v>
      </c>
      <c r="F54" s="6">
        <f>_xlfn.XLOOKUP(A54,'Salary Structure'!A:A,'Salary Structure'!B:B,"NOT FOUND")</f>
        <v>28000</v>
      </c>
      <c r="G54" s="5">
        <f>_xlfn.XLOOKUP(A54,'Salary Structure'!A:A,'Salary Structure'!C:C,"NOT FOUND")*E54/C54</f>
        <v>10826.666666666666</v>
      </c>
      <c r="H54" s="5">
        <f>_xlfn.XLOOKUP(A54,'Salary Structure'!A:A,'Salary Structure'!D:D,"NOT FOUND")*E54/C54</f>
        <v>2706.6666666666665</v>
      </c>
      <c r="I54" s="5">
        <f>_xlfn.XLOOKUP(A54,'Salary Structure'!A:A,'Salary Structure'!E:E,"NOT FOUND")*E54/C54</f>
        <v>4350</v>
      </c>
      <c r="J54" s="5">
        <v>0</v>
      </c>
      <c r="K54" s="5">
        <f t="shared" si="2"/>
        <v>27067</v>
      </c>
      <c r="L54" s="6">
        <f t="shared" si="4"/>
        <v>44950.333333333328</v>
      </c>
      <c r="M54" s="5">
        <f t="shared" si="5"/>
        <v>3360</v>
      </c>
      <c r="N54" s="5">
        <f t="shared" si="6"/>
        <v>337.12749999999994</v>
      </c>
      <c r="O54" s="5">
        <v>208</v>
      </c>
      <c r="P54" s="5">
        <f t="shared" si="7"/>
        <v>1348.51</v>
      </c>
      <c r="Q54" s="5">
        <v>300</v>
      </c>
      <c r="R54" s="9" t="s">
        <v>73</v>
      </c>
      <c r="S54" s="6">
        <f t="shared" si="8"/>
        <v>5553.6374999999998</v>
      </c>
      <c r="T54" s="6">
        <f t="shared" si="3"/>
        <v>39396.695833333331</v>
      </c>
    </row>
    <row r="55" spans="1:20" x14ac:dyDescent="0.35">
      <c r="A55" s="7" t="s">
        <v>23</v>
      </c>
      <c r="B55" s="8">
        <v>46174</v>
      </c>
      <c r="C55" s="5">
        <f t="shared" si="0"/>
        <v>30</v>
      </c>
      <c r="D55" s="5">
        <v>1</v>
      </c>
      <c r="E55" s="6">
        <f t="shared" si="1"/>
        <v>29</v>
      </c>
      <c r="F55" s="6">
        <f>_xlfn.XLOOKUP(A55,'Salary Structure'!A:A,'Salary Structure'!B:B,"NOT FOUND")</f>
        <v>26000</v>
      </c>
      <c r="G55" s="5">
        <f>_xlfn.XLOOKUP(A55,'Salary Structure'!A:A,'Salary Structure'!C:C,"NOT FOUND")*E55/C55</f>
        <v>10053.333333333334</v>
      </c>
      <c r="H55" s="5">
        <f>_xlfn.XLOOKUP(A55,'Salary Structure'!A:A,'Salary Structure'!D:D,"NOT FOUND")*E55/C55</f>
        <v>2513.3333333333335</v>
      </c>
      <c r="I55" s="5">
        <f>_xlfn.XLOOKUP(A55,'Salary Structure'!A:A,'Salary Structure'!E:E,"NOT FOUND")*E55/C55</f>
        <v>3866.6666666666665</v>
      </c>
      <c r="J55" s="5">
        <v>0</v>
      </c>
      <c r="K55" s="5">
        <f t="shared" si="2"/>
        <v>25133</v>
      </c>
      <c r="L55" s="6">
        <f t="shared" si="4"/>
        <v>41566.333333333336</v>
      </c>
      <c r="M55" s="5">
        <f t="shared" si="5"/>
        <v>3120</v>
      </c>
      <c r="N55" s="5">
        <f t="shared" si="6"/>
        <v>311.7475</v>
      </c>
      <c r="O55" s="5">
        <v>208</v>
      </c>
      <c r="P55" s="5">
        <f t="shared" si="7"/>
        <v>1246.99</v>
      </c>
      <c r="Q55" s="5">
        <v>0</v>
      </c>
      <c r="R55" s="9"/>
      <c r="S55" s="6">
        <f t="shared" si="8"/>
        <v>4886.7375000000002</v>
      </c>
      <c r="T55" s="6">
        <f t="shared" si="3"/>
        <v>36679.595833333333</v>
      </c>
    </row>
    <row r="56" spans="1:20" x14ac:dyDescent="0.35">
      <c r="A56" s="7" t="s">
        <v>30</v>
      </c>
      <c r="B56" s="8">
        <v>46174</v>
      </c>
      <c r="C56" s="5">
        <f t="shared" si="0"/>
        <v>30</v>
      </c>
      <c r="D56" s="5">
        <v>2</v>
      </c>
      <c r="E56" s="6">
        <f t="shared" si="1"/>
        <v>28</v>
      </c>
      <c r="F56" s="6">
        <f>_xlfn.XLOOKUP(A56,'Salary Structure'!A:A,'Salary Structure'!B:B,"NOT FOUND")</f>
        <v>32000</v>
      </c>
      <c r="G56" s="5">
        <f>_xlfn.XLOOKUP(A56,'Salary Structure'!A:A,'Salary Structure'!C:C,"NOT FOUND")*E56/C56</f>
        <v>11946.666666666666</v>
      </c>
      <c r="H56" s="5">
        <f>_xlfn.XLOOKUP(A56,'Salary Structure'!A:A,'Salary Structure'!D:D,"NOT FOUND")*E56/C56</f>
        <v>2986.6666666666665</v>
      </c>
      <c r="I56" s="5">
        <f>_xlfn.XLOOKUP(A56,'Salary Structure'!A:A,'Salary Structure'!E:E,"NOT FOUND")*E56/C56</f>
        <v>5133.333333333333</v>
      </c>
      <c r="J56" s="5">
        <v>0</v>
      </c>
      <c r="K56" s="5">
        <f t="shared" si="2"/>
        <v>29867</v>
      </c>
      <c r="L56" s="6">
        <f t="shared" si="4"/>
        <v>49933.666666666664</v>
      </c>
      <c r="M56" s="5">
        <f t="shared" si="5"/>
        <v>3840</v>
      </c>
      <c r="N56" s="5">
        <f t="shared" si="6"/>
        <v>374.5025</v>
      </c>
      <c r="O56" s="5">
        <v>208</v>
      </c>
      <c r="P56" s="5">
        <f t="shared" si="7"/>
        <v>1498.01</v>
      </c>
      <c r="Q56" s="5">
        <v>0</v>
      </c>
      <c r="R56" s="9"/>
      <c r="S56" s="6">
        <f t="shared" si="8"/>
        <v>5920.5124999999998</v>
      </c>
      <c r="T56" s="6">
        <f t="shared" si="3"/>
        <v>44013.154166666667</v>
      </c>
    </row>
    <row r="57" spans="1:20" x14ac:dyDescent="0.35">
      <c r="A57" s="7" t="s">
        <v>35</v>
      </c>
      <c r="B57" s="8">
        <v>46174</v>
      </c>
      <c r="C57" s="5">
        <f t="shared" si="0"/>
        <v>30</v>
      </c>
      <c r="D57" s="5">
        <v>0</v>
      </c>
      <c r="E57" s="6">
        <f t="shared" si="1"/>
        <v>30</v>
      </c>
      <c r="F57" s="6">
        <f>_xlfn.XLOOKUP(A57,'Salary Structure'!A:A,'Salary Structure'!B:B,"NOT FOUND")</f>
        <v>24000</v>
      </c>
      <c r="G57" s="5">
        <f>_xlfn.XLOOKUP(A57,'Salary Structure'!A:A,'Salary Structure'!C:C,"NOT FOUND")*E57/C57</f>
        <v>9600</v>
      </c>
      <c r="H57" s="5">
        <f>_xlfn.XLOOKUP(A57,'Salary Structure'!A:A,'Salary Structure'!D:D,"NOT FOUND")*E57/C57</f>
        <v>2400</v>
      </c>
      <c r="I57" s="5">
        <f>_xlfn.XLOOKUP(A57,'Salary Structure'!A:A,'Salary Structure'!E:E,"NOT FOUND")*E57/C57</f>
        <v>3500</v>
      </c>
      <c r="J57" s="5">
        <v>0</v>
      </c>
      <c r="K57" s="5">
        <f t="shared" si="2"/>
        <v>24000</v>
      </c>
      <c r="L57" s="6">
        <f t="shared" si="4"/>
        <v>39500</v>
      </c>
      <c r="M57" s="5">
        <f t="shared" si="5"/>
        <v>2880</v>
      </c>
      <c r="N57" s="5">
        <f t="shared" si="6"/>
        <v>296.25</v>
      </c>
      <c r="O57" s="5">
        <v>208</v>
      </c>
      <c r="P57" s="5">
        <f t="shared" si="7"/>
        <v>1185</v>
      </c>
      <c r="Q57" s="5">
        <v>0</v>
      </c>
      <c r="R57" s="9"/>
      <c r="S57" s="6">
        <f t="shared" si="8"/>
        <v>4569.25</v>
      </c>
      <c r="T57" s="6">
        <f t="shared" si="3"/>
        <v>34930.75</v>
      </c>
    </row>
    <row r="58" spans="1:20" x14ac:dyDescent="0.35">
      <c r="A58" s="7" t="s">
        <v>41</v>
      </c>
      <c r="B58" s="8">
        <v>46174</v>
      </c>
      <c r="C58" s="5">
        <f t="shared" si="0"/>
        <v>30</v>
      </c>
      <c r="D58" s="5">
        <v>1</v>
      </c>
      <c r="E58" s="6">
        <f t="shared" si="1"/>
        <v>29</v>
      </c>
      <c r="F58" s="6">
        <f>_xlfn.XLOOKUP(A58,'Salary Structure'!A:A,'Salary Structure'!B:B,"NOT FOUND")</f>
        <v>40000</v>
      </c>
      <c r="G58" s="5">
        <f>_xlfn.XLOOKUP(A58,'Salary Structure'!A:A,'Salary Structure'!C:C,"NOT FOUND")*E58/C58</f>
        <v>15466.666666666666</v>
      </c>
      <c r="H58" s="5">
        <f>_xlfn.XLOOKUP(A58,'Salary Structure'!A:A,'Salary Structure'!D:D,"NOT FOUND")*E58/C58</f>
        <v>3866.6666666666665</v>
      </c>
      <c r="I58" s="5">
        <f>_xlfn.XLOOKUP(A58,'Salary Structure'!A:A,'Salary Structure'!E:E,"NOT FOUND")*E58/C58</f>
        <v>6766.666666666667</v>
      </c>
      <c r="J58" s="5">
        <v>0</v>
      </c>
      <c r="K58" s="5">
        <f t="shared" si="2"/>
        <v>38667</v>
      </c>
      <c r="L58" s="6">
        <f t="shared" si="4"/>
        <v>64767</v>
      </c>
      <c r="M58" s="5">
        <f t="shared" si="5"/>
        <v>4800</v>
      </c>
      <c r="N58" s="5">
        <f t="shared" si="6"/>
        <v>485.7525</v>
      </c>
      <c r="O58" s="5">
        <v>208</v>
      </c>
      <c r="P58" s="5">
        <f t="shared" si="7"/>
        <v>1943.01</v>
      </c>
      <c r="Q58" s="5">
        <v>0</v>
      </c>
      <c r="R58" s="9"/>
      <c r="S58" s="6">
        <f t="shared" si="8"/>
        <v>7436.7624999999998</v>
      </c>
      <c r="T58" s="6">
        <f t="shared" si="3"/>
        <v>57330.237500000003</v>
      </c>
    </row>
    <row r="59" spans="1:20" x14ac:dyDescent="0.35">
      <c r="A59" s="7" t="s">
        <v>46</v>
      </c>
      <c r="B59" s="8">
        <v>46174</v>
      </c>
      <c r="C59" s="5">
        <f t="shared" si="0"/>
        <v>30</v>
      </c>
      <c r="D59" s="5">
        <v>0</v>
      </c>
      <c r="E59" s="6">
        <f t="shared" si="1"/>
        <v>30</v>
      </c>
      <c r="F59" s="6">
        <f>_xlfn.XLOOKUP(A59,'Salary Structure'!A:A,'Salary Structure'!B:B,"NOT FOUND")</f>
        <v>30000</v>
      </c>
      <c r="G59" s="5">
        <f>_xlfn.XLOOKUP(A59,'Salary Structure'!A:A,'Salary Structure'!C:C,"NOT FOUND")*E59/C59</f>
        <v>12000</v>
      </c>
      <c r="H59" s="5">
        <f>_xlfn.XLOOKUP(A59,'Salary Structure'!A:A,'Salary Structure'!D:D,"NOT FOUND")*E59/C59</f>
        <v>3000</v>
      </c>
      <c r="I59" s="5">
        <f>_xlfn.XLOOKUP(A59,'Salary Structure'!A:A,'Salary Structure'!E:E,"NOT FOUND")*E59/C59</f>
        <v>5000</v>
      </c>
      <c r="J59" s="5">
        <v>0</v>
      </c>
      <c r="K59" s="5">
        <f t="shared" si="2"/>
        <v>30000</v>
      </c>
      <c r="L59" s="6">
        <f t="shared" si="4"/>
        <v>50000</v>
      </c>
      <c r="M59" s="5">
        <f t="shared" si="5"/>
        <v>3600</v>
      </c>
      <c r="N59" s="5">
        <f t="shared" si="6"/>
        <v>375</v>
      </c>
      <c r="O59" s="5">
        <v>208</v>
      </c>
      <c r="P59" s="5">
        <f t="shared" si="7"/>
        <v>1500</v>
      </c>
      <c r="Q59" s="5">
        <v>0</v>
      </c>
      <c r="R59" s="9"/>
      <c r="S59" s="6">
        <f t="shared" si="8"/>
        <v>5683</v>
      </c>
      <c r="T59" s="6">
        <f t="shared" si="3"/>
        <v>44317</v>
      </c>
    </row>
    <row r="60" spans="1:20" x14ac:dyDescent="0.35">
      <c r="A60" s="7" t="s">
        <v>51</v>
      </c>
      <c r="B60" s="8">
        <v>46174</v>
      </c>
      <c r="C60" s="5">
        <f t="shared" si="0"/>
        <v>30</v>
      </c>
      <c r="D60" s="5">
        <v>0</v>
      </c>
      <c r="E60" s="6">
        <f t="shared" si="1"/>
        <v>30</v>
      </c>
      <c r="F60" s="6">
        <f>_xlfn.XLOOKUP(A60,'Salary Structure'!A:A,'Salary Structure'!B:B,"NOT FOUND")</f>
        <v>23000</v>
      </c>
      <c r="G60" s="5">
        <f>_xlfn.XLOOKUP(A60,'Salary Structure'!A:A,'Salary Structure'!C:C,"NOT FOUND")*E60/C60</f>
        <v>9200</v>
      </c>
      <c r="H60" s="5">
        <f>_xlfn.XLOOKUP(A60,'Salary Structure'!A:A,'Salary Structure'!D:D,"NOT FOUND")*E60/C60</f>
        <v>2300</v>
      </c>
      <c r="I60" s="5">
        <f>_xlfn.XLOOKUP(A60,'Salary Structure'!A:A,'Salary Structure'!E:E,"NOT FOUND")*E60/C60</f>
        <v>3500</v>
      </c>
      <c r="J60" s="5">
        <v>0</v>
      </c>
      <c r="K60" s="5">
        <f t="shared" si="2"/>
        <v>23000</v>
      </c>
      <c r="L60" s="6">
        <f t="shared" si="4"/>
        <v>38000</v>
      </c>
      <c r="M60" s="5">
        <f t="shared" si="5"/>
        <v>2760</v>
      </c>
      <c r="N60" s="5">
        <f t="shared" si="6"/>
        <v>285</v>
      </c>
      <c r="O60" s="5">
        <v>208</v>
      </c>
      <c r="P60" s="5">
        <f t="shared" si="7"/>
        <v>1140</v>
      </c>
      <c r="Q60" s="5">
        <v>0</v>
      </c>
      <c r="R60" s="9"/>
      <c r="S60" s="6">
        <f t="shared" si="8"/>
        <v>4393</v>
      </c>
      <c r="T60" s="6">
        <f t="shared" si="3"/>
        <v>33607</v>
      </c>
    </row>
    <row r="61" spans="1:20" x14ac:dyDescent="0.35">
      <c r="A61" s="7" t="s">
        <v>57</v>
      </c>
      <c r="B61" s="8">
        <v>46174</v>
      </c>
      <c r="C61" s="5">
        <f t="shared" si="0"/>
        <v>30</v>
      </c>
      <c r="D61" s="5">
        <v>1</v>
      </c>
      <c r="E61" s="6">
        <f t="shared" si="1"/>
        <v>29</v>
      </c>
      <c r="F61" s="6">
        <f>_xlfn.XLOOKUP(A61,'Salary Structure'!A:A,'Salary Structure'!B:B,"NOT FOUND")</f>
        <v>45000</v>
      </c>
      <c r="G61" s="5">
        <f>_xlfn.XLOOKUP(A61,'Salary Structure'!A:A,'Salary Structure'!C:C,"NOT FOUND")*E61/C61</f>
        <v>17400</v>
      </c>
      <c r="H61" s="5">
        <f>_xlfn.XLOOKUP(A61,'Salary Structure'!A:A,'Salary Structure'!D:D,"NOT FOUND")*E61/C61</f>
        <v>4350</v>
      </c>
      <c r="I61" s="5">
        <f>_xlfn.XLOOKUP(A61,'Salary Structure'!A:A,'Salary Structure'!E:E,"NOT FOUND")*E61/C61</f>
        <v>7733.333333333333</v>
      </c>
      <c r="J61" s="5">
        <v>0</v>
      </c>
      <c r="K61" s="5">
        <f t="shared" si="2"/>
        <v>43500</v>
      </c>
      <c r="L61" s="6">
        <f t="shared" si="4"/>
        <v>72983.333333333328</v>
      </c>
      <c r="M61" s="5">
        <f t="shared" si="5"/>
        <v>5400</v>
      </c>
      <c r="N61" s="5">
        <f t="shared" si="6"/>
        <v>547.375</v>
      </c>
      <c r="O61" s="5">
        <v>208</v>
      </c>
      <c r="P61" s="5">
        <f t="shared" si="7"/>
        <v>2189.5</v>
      </c>
      <c r="Q61" s="5">
        <v>500</v>
      </c>
      <c r="R61" s="9" t="s">
        <v>73</v>
      </c>
      <c r="S61" s="6">
        <f t="shared" si="8"/>
        <v>8844.875</v>
      </c>
      <c r="T61" s="6">
        <f t="shared" si="3"/>
        <v>64138.458333333328</v>
      </c>
    </row>
    <row r="62" spans="1:20" x14ac:dyDescent="0.35">
      <c r="A62" s="7" t="s">
        <v>0</v>
      </c>
      <c r="B62" s="8">
        <v>46204</v>
      </c>
      <c r="C62" s="5">
        <f t="shared" si="0"/>
        <v>31</v>
      </c>
      <c r="D62" s="5">
        <v>1</v>
      </c>
      <c r="E62" s="6">
        <f t="shared" si="1"/>
        <v>30</v>
      </c>
      <c r="F62" s="6">
        <f>_xlfn.XLOOKUP(A62,'Salary Structure'!A:A,'Salary Structure'!B:B,"NOT FOUND")</f>
        <v>30000</v>
      </c>
      <c r="G62" s="5">
        <f>_xlfn.XLOOKUP(A62,'Salary Structure'!A:A,'Salary Structure'!C:C,"NOT FOUND")*E62/C62</f>
        <v>11612.903225806451</v>
      </c>
      <c r="H62" s="5">
        <f>_xlfn.XLOOKUP(A62,'Salary Structure'!A:A,'Salary Structure'!D:D,"NOT FOUND")*E62/C62</f>
        <v>2903.2258064516127</v>
      </c>
      <c r="I62" s="5">
        <f>_xlfn.XLOOKUP(A62,'Salary Structure'!A:A,'Salary Structure'!E:E,"NOT FOUND")*E62/C62</f>
        <v>4838.7096774193551</v>
      </c>
      <c r="J62" s="5">
        <v>0</v>
      </c>
      <c r="K62" s="5">
        <f t="shared" si="2"/>
        <v>29032</v>
      </c>
      <c r="L62" s="6">
        <f t="shared" si="4"/>
        <v>48386.838709677424</v>
      </c>
      <c r="M62" s="5">
        <f t="shared" si="5"/>
        <v>3600</v>
      </c>
      <c r="N62" s="5">
        <f t="shared" si="6"/>
        <v>362.90129032258068</v>
      </c>
      <c r="O62" s="5">
        <v>208</v>
      </c>
      <c r="P62" s="5">
        <f t="shared" si="7"/>
        <v>1451.6051612903227</v>
      </c>
      <c r="Q62" s="5">
        <v>0</v>
      </c>
      <c r="R62" s="9"/>
      <c r="S62" s="6">
        <f t="shared" si="8"/>
        <v>5622.5064516129041</v>
      </c>
      <c r="T62" s="6">
        <f t="shared" si="3"/>
        <v>42764.332258064518</v>
      </c>
    </row>
    <row r="63" spans="1:20" x14ac:dyDescent="0.35">
      <c r="A63" s="7" t="s">
        <v>9</v>
      </c>
      <c r="B63" s="8">
        <v>46204</v>
      </c>
      <c r="C63" s="5">
        <f t="shared" si="0"/>
        <v>31</v>
      </c>
      <c r="D63" s="5">
        <v>2</v>
      </c>
      <c r="E63" s="6">
        <f t="shared" si="1"/>
        <v>29</v>
      </c>
      <c r="F63" s="6">
        <f>_xlfn.XLOOKUP(A63,'Salary Structure'!A:A,'Salary Structure'!B:B,"NOT FOUND")</f>
        <v>25000</v>
      </c>
      <c r="G63" s="5">
        <f>_xlfn.XLOOKUP(A63,'Salary Structure'!A:A,'Salary Structure'!C:C,"NOT FOUND")*E63/C63</f>
        <v>9354.8387096774186</v>
      </c>
      <c r="H63" s="5">
        <f>_xlfn.XLOOKUP(A63,'Salary Structure'!A:A,'Salary Structure'!D:D,"NOT FOUND")*E63/C63</f>
        <v>2338.7096774193546</v>
      </c>
      <c r="I63" s="5">
        <f>_xlfn.XLOOKUP(A63,'Salary Structure'!A:A,'Salary Structure'!E:E,"NOT FOUND")*E63/C63</f>
        <v>3741.9354838709678</v>
      </c>
      <c r="J63" s="5">
        <v>0</v>
      </c>
      <c r="K63" s="5">
        <f t="shared" si="2"/>
        <v>23387</v>
      </c>
      <c r="L63" s="6">
        <f t="shared" si="4"/>
        <v>38822.483870967742</v>
      </c>
      <c r="M63" s="5">
        <f t="shared" si="5"/>
        <v>3000</v>
      </c>
      <c r="N63" s="5">
        <f t="shared" si="6"/>
        <v>291.16862903225808</v>
      </c>
      <c r="O63" s="5">
        <v>208</v>
      </c>
      <c r="P63" s="5">
        <f t="shared" si="7"/>
        <v>1164.6745161290323</v>
      </c>
      <c r="Q63" s="5">
        <v>0</v>
      </c>
      <c r="R63" s="9"/>
      <c r="S63" s="6">
        <f t="shared" si="8"/>
        <v>4663.8431451612905</v>
      </c>
      <c r="T63" s="6">
        <f t="shared" si="3"/>
        <v>34158.64072580645</v>
      </c>
    </row>
    <row r="64" spans="1:20" x14ac:dyDescent="0.35">
      <c r="A64" s="7" t="s">
        <v>16</v>
      </c>
      <c r="B64" s="8">
        <v>46204</v>
      </c>
      <c r="C64" s="5">
        <f t="shared" si="0"/>
        <v>31</v>
      </c>
      <c r="D64" s="5">
        <v>0</v>
      </c>
      <c r="E64" s="6">
        <f t="shared" si="1"/>
        <v>31</v>
      </c>
      <c r="F64" s="6">
        <f>_xlfn.XLOOKUP(A64,'Salary Structure'!A:A,'Salary Structure'!B:B,"NOT FOUND")</f>
        <v>28000</v>
      </c>
      <c r="G64" s="5">
        <f>_xlfn.XLOOKUP(A64,'Salary Structure'!A:A,'Salary Structure'!C:C,"NOT FOUND")*E64/C64</f>
        <v>11200</v>
      </c>
      <c r="H64" s="5">
        <f>_xlfn.XLOOKUP(A64,'Salary Structure'!A:A,'Salary Structure'!D:D,"NOT FOUND")*E64/C64</f>
        <v>2800</v>
      </c>
      <c r="I64" s="5">
        <f>_xlfn.XLOOKUP(A64,'Salary Structure'!A:A,'Salary Structure'!E:E,"NOT FOUND")*E64/C64</f>
        <v>4500</v>
      </c>
      <c r="J64" s="5">
        <v>0</v>
      </c>
      <c r="K64" s="5">
        <f t="shared" si="2"/>
        <v>28000</v>
      </c>
      <c r="L64" s="6">
        <f t="shared" si="4"/>
        <v>46500</v>
      </c>
      <c r="M64" s="5">
        <f t="shared" si="5"/>
        <v>3360</v>
      </c>
      <c r="N64" s="5">
        <f t="shared" si="6"/>
        <v>348.75</v>
      </c>
      <c r="O64" s="5">
        <v>208</v>
      </c>
      <c r="P64" s="5">
        <f t="shared" si="7"/>
        <v>1395</v>
      </c>
      <c r="Q64" s="5">
        <v>300</v>
      </c>
      <c r="R64" s="9" t="s">
        <v>73</v>
      </c>
      <c r="S64" s="6">
        <f t="shared" si="8"/>
        <v>5611.75</v>
      </c>
      <c r="T64" s="6">
        <f t="shared" si="3"/>
        <v>40888.25</v>
      </c>
    </row>
    <row r="65" spans="1:20" x14ac:dyDescent="0.35">
      <c r="A65" s="7" t="s">
        <v>23</v>
      </c>
      <c r="B65" s="8">
        <v>46204</v>
      </c>
      <c r="C65" s="5">
        <f t="shared" si="0"/>
        <v>31</v>
      </c>
      <c r="D65" s="5">
        <v>1</v>
      </c>
      <c r="E65" s="6">
        <f t="shared" si="1"/>
        <v>30</v>
      </c>
      <c r="F65" s="6">
        <f>_xlfn.XLOOKUP(A65,'Salary Structure'!A:A,'Salary Structure'!B:B,"NOT FOUND")</f>
        <v>26000</v>
      </c>
      <c r="G65" s="5">
        <f>_xlfn.XLOOKUP(A65,'Salary Structure'!A:A,'Salary Structure'!C:C,"NOT FOUND")*E65/C65</f>
        <v>10064.516129032258</v>
      </c>
      <c r="H65" s="5">
        <f>_xlfn.XLOOKUP(A65,'Salary Structure'!A:A,'Salary Structure'!D:D,"NOT FOUND")*E65/C65</f>
        <v>2516.1290322580644</v>
      </c>
      <c r="I65" s="5">
        <f>_xlfn.XLOOKUP(A65,'Salary Structure'!A:A,'Salary Structure'!E:E,"NOT FOUND")*E65/C65</f>
        <v>3870.9677419354839</v>
      </c>
      <c r="J65" s="5">
        <v>0</v>
      </c>
      <c r="K65" s="5">
        <f t="shared" si="2"/>
        <v>25161</v>
      </c>
      <c r="L65" s="6">
        <f t="shared" si="4"/>
        <v>41612.612903225803</v>
      </c>
      <c r="M65" s="5">
        <f t="shared" si="5"/>
        <v>3120</v>
      </c>
      <c r="N65" s="5">
        <f t="shared" si="6"/>
        <v>312.09459677419352</v>
      </c>
      <c r="O65" s="5">
        <v>208</v>
      </c>
      <c r="P65" s="5">
        <f t="shared" si="7"/>
        <v>1248.3783870967741</v>
      </c>
      <c r="Q65" s="5">
        <v>0</v>
      </c>
      <c r="R65" s="9"/>
      <c r="S65" s="6">
        <f t="shared" si="8"/>
        <v>4888.4729838709682</v>
      </c>
      <c r="T65" s="6">
        <f t="shared" si="3"/>
        <v>36724.139919354835</v>
      </c>
    </row>
    <row r="66" spans="1:20" x14ac:dyDescent="0.35">
      <c r="A66" s="7" t="s">
        <v>30</v>
      </c>
      <c r="B66" s="8">
        <v>46204</v>
      </c>
      <c r="C66" s="5">
        <f t="shared" ref="C66:C121" si="9">DAY(EOMONTH(B66,0))</f>
        <v>31</v>
      </c>
      <c r="D66" s="5">
        <v>0</v>
      </c>
      <c r="E66" s="6">
        <f t="shared" ref="E66:E121" si="10">C66-D66</f>
        <v>31</v>
      </c>
      <c r="F66" s="6">
        <f>_xlfn.XLOOKUP(A66,'Salary Structure'!A:A,'Salary Structure'!B:B,"NOT FOUND")</f>
        <v>32000</v>
      </c>
      <c r="G66" s="5">
        <f>_xlfn.XLOOKUP(A66,'Salary Structure'!A:A,'Salary Structure'!C:C,"NOT FOUND")*E66/C66</f>
        <v>12800</v>
      </c>
      <c r="H66" s="5">
        <f>_xlfn.XLOOKUP(A66,'Salary Structure'!A:A,'Salary Structure'!D:D,"NOT FOUND")*E66/C66</f>
        <v>3200</v>
      </c>
      <c r="I66" s="5">
        <f>_xlfn.XLOOKUP(A66,'Salary Structure'!A:A,'Salary Structure'!E:E,"NOT FOUND")*E66/C66</f>
        <v>5500</v>
      </c>
      <c r="J66" s="5">
        <v>0</v>
      </c>
      <c r="K66" s="5">
        <f t="shared" ref="K66:K121" si="11">ROUND(F66*E66/C66,0)</f>
        <v>32000</v>
      </c>
      <c r="L66" s="6">
        <f t="shared" si="4"/>
        <v>53500</v>
      </c>
      <c r="M66" s="5">
        <f t="shared" si="5"/>
        <v>3840</v>
      </c>
      <c r="N66" s="5">
        <f t="shared" si="6"/>
        <v>401.25</v>
      </c>
      <c r="O66" s="5">
        <v>208</v>
      </c>
      <c r="P66" s="5">
        <f t="shared" si="7"/>
        <v>1605</v>
      </c>
      <c r="Q66" s="5">
        <v>0</v>
      </c>
      <c r="R66" s="9"/>
      <c r="S66" s="6">
        <f t="shared" ref="S66:S121" si="12">M66+N66+O66+P66+Q66</f>
        <v>6054.25</v>
      </c>
      <c r="T66" s="6">
        <f t="shared" ref="T66:T121" si="13">L66-S66</f>
        <v>47445.75</v>
      </c>
    </row>
    <row r="67" spans="1:20" x14ac:dyDescent="0.35">
      <c r="A67" s="7" t="s">
        <v>35</v>
      </c>
      <c r="B67" s="8">
        <v>46204</v>
      </c>
      <c r="C67" s="5">
        <f t="shared" si="9"/>
        <v>31</v>
      </c>
      <c r="D67" s="5">
        <v>2</v>
      </c>
      <c r="E67" s="6">
        <f t="shared" si="10"/>
        <v>29</v>
      </c>
      <c r="F67" s="6">
        <f>_xlfn.XLOOKUP(A67,'Salary Structure'!A:A,'Salary Structure'!B:B,"NOT FOUND")</f>
        <v>24000</v>
      </c>
      <c r="G67" s="5">
        <f>_xlfn.XLOOKUP(A67,'Salary Structure'!A:A,'Salary Structure'!C:C,"NOT FOUND")*E67/C67</f>
        <v>8980.645161290322</v>
      </c>
      <c r="H67" s="5">
        <f>_xlfn.XLOOKUP(A67,'Salary Structure'!A:A,'Salary Structure'!D:D,"NOT FOUND")*E67/C67</f>
        <v>2245.1612903225805</v>
      </c>
      <c r="I67" s="5">
        <f>_xlfn.XLOOKUP(A67,'Salary Structure'!A:A,'Salary Structure'!E:E,"NOT FOUND")*E67/C67</f>
        <v>3274.1935483870966</v>
      </c>
      <c r="J67" s="5">
        <v>0</v>
      </c>
      <c r="K67" s="5">
        <f t="shared" si="11"/>
        <v>22452</v>
      </c>
      <c r="L67" s="6">
        <f t="shared" ref="L67:L121" si="14">SUM(G67:K67)</f>
        <v>36952</v>
      </c>
      <c r="M67" s="5">
        <f t="shared" ref="M67:M121" si="15">F67*12/100</f>
        <v>2880</v>
      </c>
      <c r="N67" s="5">
        <f t="shared" ref="N67:N121" si="16">L67*75/10000</f>
        <v>277.14</v>
      </c>
      <c r="O67" s="5">
        <v>208</v>
      </c>
      <c r="P67" s="5">
        <f t="shared" ref="P67:P121" si="17">L67*3/100</f>
        <v>1108.56</v>
      </c>
      <c r="Q67" s="5">
        <v>0</v>
      </c>
      <c r="R67" s="9"/>
      <c r="S67" s="6">
        <f t="shared" si="12"/>
        <v>4473.7</v>
      </c>
      <c r="T67" s="6">
        <f t="shared" si="13"/>
        <v>32478.3</v>
      </c>
    </row>
    <row r="68" spans="1:20" x14ac:dyDescent="0.35">
      <c r="A68" s="7" t="s">
        <v>41</v>
      </c>
      <c r="B68" s="8">
        <v>46204</v>
      </c>
      <c r="C68" s="5">
        <f t="shared" si="9"/>
        <v>31</v>
      </c>
      <c r="D68" s="5">
        <v>3</v>
      </c>
      <c r="E68" s="6">
        <f t="shared" si="10"/>
        <v>28</v>
      </c>
      <c r="F68" s="6">
        <f>_xlfn.XLOOKUP(A68,'Salary Structure'!A:A,'Salary Structure'!B:B,"NOT FOUND")</f>
        <v>40000</v>
      </c>
      <c r="G68" s="5">
        <f>_xlfn.XLOOKUP(A68,'Salary Structure'!A:A,'Salary Structure'!C:C,"NOT FOUND")*E68/C68</f>
        <v>14451.612903225807</v>
      </c>
      <c r="H68" s="5">
        <f>_xlfn.XLOOKUP(A68,'Salary Structure'!A:A,'Salary Structure'!D:D,"NOT FOUND")*E68/C68</f>
        <v>3612.9032258064517</v>
      </c>
      <c r="I68" s="5">
        <f>_xlfn.XLOOKUP(A68,'Salary Structure'!A:A,'Salary Structure'!E:E,"NOT FOUND")*E68/C68</f>
        <v>6322.5806451612907</v>
      </c>
      <c r="J68" s="5">
        <v>0</v>
      </c>
      <c r="K68" s="5">
        <f t="shared" si="11"/>
        <v>36129</v>
      </c>
      <c r="L68" s="6">
        <f t="shared" si="14"/>
        <v>60516.096774193546</v>
      </c>
      <c r="M68" s="5">
        <f t="shared" si="15"/>
        <v>4800</v>
      </c>
      <c r="N68" s="5">
        <f t="shared" si="16"/>
        <v>453.87072580645162</v>
      </c>
      <c r="O68" s="5">
        <v>208</v>
      </c>
      <c r="P68" s="5">
        <f t="shared" si="17"/>
        <v>1815.4829032258065</v>
      </c>
      <c r="Q68" s="5">
        <v>0</v>
      </c>
      <c r="R68" s="9"/>
      <c r="S68" s="6">
        <f t="shared" si="12"/>
        <v>7277.3536290322581</v>
      </c>
      <c r="T68" s="6">
        <f t="shared" si="13"/>
        <v>53238.743145161287</v>
      </c>
    </row>
    <row r="69" spans="1:20" x14ac:dyDescent="0.35">
      <c r="A69" s="7" t="s">
        <v>46</v>
      </c>
      <c r="B69" s="8">
        <v>46204</v>
      </c>
      <c r="C69" s="5">
        <f t="shared" si="9"/>
        <v>31</v>
      </c>
      <c r="D69" s="5">
        <v>1</v>
      </c>
      <c r="E69" s="6">
        <f t="shared" si="10"/>
        <v>30</v>
      </c>
      <c r="F69" s="6">
        <f>_xlfn.XLOOKUP(A69,'Salary Structure'!A:A,'Salary Structure'!B:B,"NOT FOUND")</f>
        <v>30000</v>
      </c>
      <c r="G69" s="5">
        <f>_xlfn.XLOOKUP(A69,'Salary Structure'!A:A,'Salary Structure'!C:C,"NOT FOUND")*E69/C69</f>
        <v>11612.903225806451</v>
      </c>
      <c r="H69" s="5">
        <f>_xlfn.XLOOKUP(A69,'Salary Structure'!A:A,'Salary Structure'!D:D,"NOT FOUND")*E69/C69</f>
        <v>2903.2258064516127</v>
      </c>
      <c r="I69" s="5">
        <f>_xlfn.XLOOKUP(A69,'Salary Structure'!A:A,'Salary Structure'!E:E,"NOT FOUND")*E69/C69</f>
        <v>4838.7096774193551</v>
      </c>
      <c r="J69" s="5">
        <v>0</v>
      </c>
      <c r="K69" s="5">
        <f t="shared" si="11"/>
        <v>29032</v>
      </c>
      <c r="L69" s="6">
        <f t="shared" si="14"/>
        <v>48386.838709677424</v>
      </c>
      <c r="M69" s="5">
        <f t="shared" si="15"/>
        <v>3600</v>
      </c>
      <c r="N69" s="5">
        <f t="shared" si="16"/>
        <v>362.90129032258068</v>
      </c>
      <c r="O69" s="5">
        <v>208</v>
      </c>
      <c r="P69" s="5">
        <f t="shared" si="17"/>
        <v>1451.6051612903227</v>
      </c>
      <c r="Q69" s="5">
        <v>0</v>
      </c>
      <c r="R69" s="9"/>
      <c r="S69" s="6">
        <f t="shared" si="12"/>
        <v>5622.5064516129041</v>
      </c>
      <c r="T69" s="6">
        <f t="shared" si="13"/>
        <v>42764.332258064518</v>
      </c>
    </row>
    <row r="70" spans="1:20" x14ac:dyDescent="0.35">
      <c r="A70" s="7" t="s">
        <v>51</v>
      </c>
      <c r="B70" s="8">
        <v>46204</v>
      </c>
      <c r="C70" s="5">
        <f t="shared" si="9"/>
        <v>31</v>
      </c>
      <c r="D70" s="5">
        <v>0</v>
      </c>
      <c r="E70" s="6">
        <f t="shared" si="10"/>
        <v>31</v>
      </c>
      <c r="F70" s="6">
        <f>_xlfn.XLOOKUP(A70,'Salary Structure'!A:A,'Salary Structure'!B:B,"NOT FOUND")</f>
        <v>23000</v>
      </c>
      <c r="G70" s="5">
        <f>_xlfn.XLOOKUP(A70,'Salary Structure'!A:A,'Salary Structure'!C:C,"NOT FOUND")*E70/C70</f>
        <v>9200</v>
      </c>
      <c r="H70" s="5">
        <f>_xlfn.XLOOKUP(A70,'Salary Structure'!A:A,'Salary Structure'!D:D,"NOT FOUND")*E70/C70</f>
        <v>2300</v>
      </c>
      <c r="I70" s="5">
        <f>_xlfn.XLOOKUP(A70,'Salary Structure'!A:A,'Salary Structure'!E:E,"NOT FOUND")*E70/C70</f>
        <v>3500</v>
      </c>
      <c r="J70" s="5">
        <v>0</v>
      </c>
      <c r="K70" s="5">
        <f t="shared" si="11"/>
        <v>23000</v>
      </c>
      <c r="L70" s="6">
        <f t="shared" si="14"/>
        <v>38000</v>
      </c>
      <c r="M70" s="5">
        <f t="shared" si="15"/>
        <v>2760</v>
      </c>
      <c r="N70" s="5">
        <f t="shared" si="16"/>
        <v>285</v>
      </c>
      <c r="O70" s="5">
        <v>208</v>
      </c>
      <c r="P70" s="5">
        <f t="shared" si="17"/>
        <v>1140</v>
      </c>
      <c r="Q70" s="5">
        <v>0</v>
      </c>
      <c r="R70" s="9"/>
      <c r="S70" s="6">
        <f t="shared" si="12"/>
        <v>4393</v>
      </c>
      <c r="T70" s="6">
        <f t="shared" si="13"/>
        <v>33607</v>
      </c>
    </row>
    <row r="71" spans="1:20" x14ac:dyDescent="0.35">
      <c r="A71" s="7" t="s">
        <v>57</v>
      </c>
      <c r="B71" s="8">
        <v>46204</v>
      </c>
      <c r="C71" s="5">
        <f t="shared" si="9"/>
        <v>31</v>
      </c>
      <c r="D71" s="5">
        <v>3</v>
      </c>
      <c r="E71" s="6">
        <f t="shared" si="10"/>
        <v>28</v>
      </c>
      <c r="F71" s="6">
        <f>_xlfn.XLOOKUP(A71,'Salary Structure'!A:A,'Salary Structure'!B:B,"NOT FOUND")</f>
        <v>45000</v>
      </c>
      <c r="G71" s="5">
        <f>_xlfn.XLOOKUP(A71,'Salary Structure'!A:A,'Salary Structure'!C:C,"NOT FOUND")*E71/C71</f>
        <v>16258.064516129032</v>
      </c>
      <c r="H71" s="5">
        <f>_xlfn.XLOOKUP(A71,'Salary Structure'!A:A,'Salary Structure'!D:D,"NOT FOUND")*E71/C71</f>
        <v>4064.516129032258</v>
      </c>
      <c r="I71" s="5">
        <f>_xlfn.XLOOKUP(A71,'Salary Structure'!A:A,'Salary Structure'!E:E,"NOT FOUND")*E71/C71</f>
        <v>7225.8064516129034</v>
      </c>
      <c r="J71" s="5">
        <v>0</v>
      </c>
      <c r="K71" s="5">
        <f t="shared" si="11"/>
        <v>40645</v>
      </c>
      <c r="L71" s="6">
        <f t="shared" si="14"/>
        <v>68193.387096774197</v>
      </c>
      <c r="M71" s="5">
        <f t="shared" si="15"/>
        <v>5400</v>
      </c>
      <c r="N71" s="5">
        <f t="shared" si="16"/>
        <v>511.45040322580644</v>
      </c>
      <c r="O71" s="5">
        <v>208</v>
      </c>
      <c r="P71" s="5">
        <f t="shared" si="17"/>
        <v>2045.801612903226</v>
      </c>
      <c r="Q71" s="5">
        <v>500</v>
      </c>
      <c r="R71" s="9" t="s">
        <v>73</v>
      </c>
      <c r="S71" s="6">
        <f t="shared" si="12"/>
        <v>8665.2520161290322</v>
      </c>
      <c r="T71" s="6">
        <f t="shared" si="13"/>
        <v>59528.135080645166</v>
      </c>
    </row>
    <row r="72" spans="1:20" x14ac:dyDescent="0.35">
      <c r="A72" s="7" t="s">
        <v>0</v>
      </c>
      <c r="B72" s="8">
        <v>46235</v>
      </c>
      <c r="C72" s="5">
        <f t="shared" si="9"/>
        <v>31</v>
      </c>
      <c r="D72" s="5">
        <v>0</v>
      </c>
      <c r="E72" s="6">
        <f t="shared" si="10"/>
        <v>31</v>
      </c>
      <c r="F72" s="6">
        <f>_xlfn.XLOOKUP(A72,'Salary Structure'!A:A,'Salary Structure'!B:B,"NOT FOUND")</f>
        <v>30000</v>
      </c>
      <c r="G72" s="5">
        <f>_xlfn.XLOOKUP(A72,'Salary Structure'!A:A,'Salary Structure'!C:C,"NOT FOUND")*E72/C72</f>
        <v>12000</v>
      </c>
      <c r="H72" s="5">
        <f>_xlfn.XLOOKUP(A72,'Salary Structure'!A:A,'Salary Structure'!D:D,"NOT FOUND")*E72/C72</f>
        <v>3000</v>
      </c>
      <c r="I72" s="5">
        <f>_xlfn.XLOOKUP(A72,'Salary Structure'!A:A,'Salary Structure'!E:E,"NOT FOUND")*E72/C72</f>
        <v>5000</v>
      </c>
      <c r="J72" s="5">
        <v>0</v>
      </c>
      <c r="K72" s="5">
        <f t="shared" si="11"/>
        <v>30000</v>
      </c>
      <c r="L72" s="6">
        <f t="shared" si="14"/>
        <v>50000</v>
      </c>
      <c r="M72" s="5">
        <f t="shared" si="15"/>
        <v>3600</v>
      </c>
      <c r="N72" s="5">
        <f t="shared" si="16"/>
        <v>375</v>
      </c>
      <c r="O72" s="5">
        <v>208</v>
      </c>
      <c r="P72" s="5">
        <f t="shared" si="17"/>
        <v>1500</v>
      </c>
      <c r="Q72" s="5">
        <v>0</v>
      </c>
      <c r="R72" s="9"/>
      <c r="S72" s="6">
        <f t="shared" si="12"/>
        <v>5683</v>
      </c>
      <c r="T72" s="6">
        <f t="shared" si="13"/>
        <v>44317</v>
      </c>
    </row>
    <row r="73" spans="1:20" x14ac:dyDescent="0.35">
      <c r="A73" s="7" t="s">
        <v>9</v>
      </c>
      <c r="B73" s="8">
        <v>46235</v>
      </c>
      <c r="C73" s="5">
        <f t="shared" si="9"/>
        <v>31</v>
      </c>
      <c r="D73" s="5">
        <v>0</v>
      </c>
      <c r="E73" s="6">
        <f t="shared" si="10"/>
        <v>31</v>
      </c>
      <c r="F73" s="6">
        <f>_xlfn.XLOOKUP(A73,'Salary Structure'!A:A,'Salary Structure'!B:B,"NOT FOUND")</f>
        <v>25000</v>
      </c>
      <c r="G73" s="5">
        <f>_xlfn.XLOOKUP(A73,'Salary Structure'!A:A,'Salary Structure'!C:C,"NOT FOUND")*E73/C73</f>
        <v>10000</v>
      </c>
      <c r="H73" s="5">
        <f>_xlfn.XLOOKUP(A73,'Salary Structure'!A:A,'Salary Structure'!D:D,"NOT FOUND")*E73/C73</f>
        <v>2500</v>
      </c>
      <c r="I73" s="5">
        <f>_xlfn.XLOOKUP(A73,'Salary Structure'!A:A,'Salary Structure'!E:E,"NOT FOUND")*E73/C73</f>
        <v>4000</v>
      </c>
      <c r="J73" s="5">
        <v>0</v>
      </c>
      <c r="K73" s="5">
        <f t="shared" si="11"/>
        <v>25000</v>
      </c>
      <c r="L73" s="6">
        <f t="shared" si="14"/>
        <v>41500</v>
      </c>
      <c r="M73" s="5">
        <f t="shared" si="15"/>
        <v>3000</v>
      </c>
      <c r="N73" s="5">
        <f t="shared" si="16"/>
        <v>311.25</v>
      </c>
      <c r="O73" s="5">
        <v>208</v>
      </c>
      <c r="P73" s="5">
        <f t="shared" si="17"/>
        <v>1245</v>
      </c>
      <c r="Q73" s="5">
        <v>0</v>
      </c>
      <c r="R73" s="9"/>
      <c r="S73" s="6">
        <f t="shared" si="12"/>
        <v>4764.25</v>
      </c>
      <c r="T73" s="6">
        <f t="shared" si="13"/>
        <v>36735.75</v>
      </c>
    </row>
    <row r="74" spans="1:20" x14ac:dyDescent="0.35">
      <c r="A74" s="7" t="s">
        <v>16</v>
      </c>
      <c r="B74" s="8">
        <v>46235</v>
      </c>
      <c r="C74" s="5">
        <f t="shared" si="9"/>
        <v>31</v>
      </c>
      <c r="D74" s="5">
        <v>0</v>
      </c>
      <c r="E74" s="6">
        <f t="shared" si="10"/>
        <v>31</v>
      </c>
      <c r="F74" s="6">
        <f>_xlfn.XLOOKUP(A74,'Salary Structure'!A:A,'Salary Structure'!B:B,"NOT FOUND")</f>
        <v>28000</v>
      </c>
      <c r="G74" s="5">
        <f>_xlfn.XLOOKUP(A74,'Salary Structure'!A:A,'Salary Structure'!C:C,"NOT FOUND")*E74/C74</f>
        <v>11200</v>
      </c>
      <c r="H74" s="5">
        <f>_xlfn.XLOOKUP(A74,'Salary Structure'!A:A,'Salary Structure'!D:D,"NOT FOUND")*E74/C74</f>
        <v>2800</v>
      </c>
      <c r="I74" s="5">
        <f>_xlfn.XLOOKUP(A74,'Salary Structure'!A:A,'Salary Structure'!E:E,"NOT FOUND")*E74/C74</f>
        <v>4500</v>
      </c>
      <c r="J74" s="5">
        <v>0</v>
      </c>
      <c r="K74" s="5">
        <f t="shared" si="11"/>
        <v>28000</v>
      </c>
      <c r="L74" s="6">
        <f t="shared" si="14"/>
        <v>46500</v>
      </c>
      <c r="M74" s="5">
        <f t="shared" si="15"/>
        <v>3360</v>
      </c>
      <c r="N74" s="5">
        <f t="shared" si="16"/>
        <v>348.75</v>
      </c>
      <c r="O74" s="5">
        <v>208</v>
      </c>
      <c r="P74" s="5">
        <f t="shared" si="17"/>
        <v>1395</v>
      </c>
      <c r="Q74" s="5">
        <v>300</v>
      </c>
      <c r="R74" s="9" t="s">
        <v>73</v>
      </c>
      <c r="S74" s="6">
        <f t="shared" si="12"/>
        <v>5611.75</v>
      </c>
      <c r="T74" s="6">
        <f t="shared" si="13"/>
        <v>40888.25</v>
      </c>
    </row>
    <row r="75" spans="1:20" x14ac:dyDescent="0.35">
      <c r="A75" s="7" t="s">
        <v>23</v>
      </c>
      <c r="B75" s="8">
        <v>46235</v>
      </c>
      <c r="C75" s="5">
        <f t="shared" si="9"/>
        <v>31</v>
      </c>
      <c r="D75" s="5">
        <v>0</v>
      </c>
      <c r="E75" s="6">
        <f t="shared" si="10"/>
        <v>31</v>
      </c>
      <c r="F75" s="6">
        <f>_xlfn.XLOOKUP(A75,'Salary Structure'!A:A,'Salary Structure'!B:B,"NOT FOUND")</f>
        <v>26000</v>
      </c>
      <c r="G75" s="5">
        <f>_xlfn.XLOOKUP(A75,'Salary Structure'!A:A,'Salary Structure'!C:C,"NOT FOUND")*E75/C75</f>
        <v>10400</v>
      </c>
      <c r="H75" s="5">
        <f>_xlfn.XLOOKUP(A75,'Salary Structure'!A:A,'Salary Structure'!D:D,"NOT FOUND")*E75/C75</f>
        <v>2600</v>
      </c>
      <c r="I75" s="5">
        <f>_xlfn.XLOOKUP(A75,'Salary Structure'!A:A,'Salary Structure'!E:E,"NOT FOUND")*E75/C75</f>
        <v>4000</v>
      </c>
      <c r="J75" s="5">
        <v>0</v>
      </c>
      <c r="K75" s="5">
        <f t="shared" si="11"/>
        <v>26000</v>
      </c>
      <c r="L75" s="6">
        <f t="shared" si="14"/>
        <v>43000</v>
      </c>
      <c r="M75" s="5">
        <f t="shared" si="15"/>
        <v>3120</v>
      </c>
      <c r="N75" s="5">
        <f t="shared" si="16"/>
        <v>322.5</v>
      </c>
      <c r="O75" s="5">
        <v>208</v>
      </c>
      <c r="P75" s="5">
        <f t="shared" si="17"/>
        <v>1290</v>
      </c>
      <c r="Q75" s="5">
        <v>0</v>
      </c>
      <c r="R75" s="9"/>
      <c r="S75" s="6">
        <f t="shared" si="12"/>
        <v>4940.5</v>
      </c>
      <c r="T75" s="6">
        <f t="shared" si="13"/>
        <v>38059.5</v>
      </c>
    </row>
    <row r="76" spans="1:20" x14ac:dyDescent="0.35">
      <c r="A76" s="7" t="s">
        <v>30</v>
      </c>
      <c r="B76" s="8">
        <v>46235</v>
      </c>
      <c r="C76" s="5">
        <f t="shared" si="9"/>
        <v>31</v>
      </c>
      <c r="D76" s="5">
        <v>0</v>
      </c>
      <c r="E76" s="6">
        <f t="shared" si="10"/>
        <v>31</v>
      </c>
      <c r="F76" s="6">
        <f>_xlfn.XLOOKUP(A76,'Salary Structure'!A:A,'Salary Structure'!B:B,"NOT FOUND")</f>
        <v>32000</v>
      </c>
      <c r="G76" s="5">
        <f>_xlfn.XLOOKUP(A76,'Salary Structure'!A:A,'Salary Structure'!C:C,"NOT FOUND")*E76/C76</f>
        <v>12800</v>
      </c>
      <c r="H76" s="5">
        <f>_xlfn.XLOOKUP(A76,'Salary Structure'!A:A,'Salary Structure'!D:D,"NOT FOUND")*E76/C76</f>
        <v>3200</v>
      </c>
      <c r="I76" s="5">
        <f>_xlfn.XLOOKUP(A76,'Salary Structure'!A:A,'Salary Structure'!E:E,"NOT FOUND")*E76/C76</f>
        <v>5500</v>
      </c>
      <c r="J76" s="5">
        <v>0</v>
      </c>
      <c r="K76" s="5">
        <f t="shared" si="11"/>
        <v>32000</v>
      </c>
      <c r="L76" s="6">
        <f t="shared" si="14"/>
        <v>53500</v>
      </c>
      <c r="M76" s="5">
        <f t="shared" si="15"/>
        <v>3840</v>
      </c>
      <c r="N76" s="5">
        <f t="shared" si="16"/>
        <v>401.25</v>
      </c>
      <c r="O76" s="5">
        <v>208</v>
      </c>
      <c r="P76" s="5">
        <f t="shared" si="17"/>
        <v>1605</v>
      </c>
      <c r="Q76" s="5">
        <v>0</v>
      </c>
      <c r="R76" s="9"/>
      <c r="S76" s="6">
        <f t="shared" si="12"/>
        <v>6054.25</v>
      </c>
      <c r="T76" s="6">
        <f t="shared" si="13"/>
        <v>47445.75</v>
      </c>
    </row>
    <row r="77" spans="1:20" x14ac:dyDescent="0.35">
      <c r="A77" s="7" t="s">
        <v>35</v>
      </c>
      <c r="B77" s="8">
        <v>46235</v>
      </c>
      <c r="C77" s="5">
        <f t="shared" si="9"/>
        <v>31</v>
      </c>
      <c r="D77" s="5">
        <v>1</v>
      </c>
      <c r="E77" s="6">
        <f t="shared" si="10"/>
        <v>30</v>
      </c>
      <c r="F77" s="6">
        <f>_xlfn.XLOOKUP(A77,'Salary Structure'!A:A,'Salary Structure'!B:B,"NOT FOUND")</f>
        <v>24000</v>
      </c>
      <c r="G77" s="5">
        <f>_xlfn.XLOOKUP(A77,'Salary Structure'!A:A,'Salary Structure'!C:C,"NOT FOUND")*E77/C77</f>
        <v>9290.322580645161</v>
      </c>
      <c r="H77" s="5">
        <f>_xlfn.XLOOKUP(A77,'Salary Structure'!A:A,'Salary Structure'!D:D,"NOT FOUND")*E77/C77</f>
        <v>2322.5806451612902</v>
      </c>
      <c r="I77" s="5">
        <f>_xlfn.XLOOKUP(A77,'Salary Structure'!A:A,'Salary Structure'!E:E,"NOT FOUND")*E77/C77</f>
        <v>3387.0967741935483</v>
      </c>
      <c r="J77" s="5">
        <v>0</v>
      </c>
      <c r="K77" s="5">
        <f t="shared" si="11"/>
        <v>23226</v>
      </c>
      <c r="L77" s="6">
        <f t="shared" si="14"/>
        <v>38226</v>
      </c>
      <c r="M77" s="5">
        <f t="shared" si="15"/>
        <v>2880</v>
      </c>
      <c r="N77" s="5">
        <f t="shared" si="16"/>
        <v>286.69499999999999</v>
      </c>
      <c r="O77" s="5">
        <v>208</v>
      </c>
      <c r="P77" s="5">
        <f t="shared" si="17"/>
        <v>1146.78</v>
      </c>
      <c r="Q77" s="5">
        <v>0</v>
      </c>
      <c r="R77" s="9"/>
      <c r="S77" s="6">
        <f t="shared" si="12"/>
        <v>4521.4750000000004</v>
      </c>
      <c r="T77" s="6">
        <f t="shared" si="13"/>
        <v>33704.525000000001</v>
      </c>
    </row>
    <row r="78" spans="1:20" x14ac:dyDescent="0.35">
      <c r="A78" s="7" t="s">
        <v>41</v>
      </c>
      <c r="B78" s="8">
        <v>46235</v>
      </c>
      <c r="C78" s="5">
        <f t="shared" si="9"/>
        <v>31</v>
      </c>
      <c r="D78" s="5">
        <v>4</v>
      </c>
      <c r="E78" s="6">
        <f t="shared" si="10"/>
        <v>27</v>
      </c>
      <c r="F78" s="6">
        <f>_xlfn.XLOOKUP(A78,'Salary Structure'!A:A,'Salary Structure'!B:B,"NOT FOUND")</f>
        <v>40000</v>
      </c>
      <c r="G78" s="5">
        <f>_xlfn.XLOOKUP(A78,'Salary Structure'!A:A,'Salary Structure'!C:C,"NOT FOUND")*E78/C78</f>
        <v>13935.483870967742</v>
      </c>
      <c r="H78" s="5">
        <f>_xlfn.XLOOKUP(A78,'Salary Structure'!A:A,'Salary Structure'!D:D,"NOT FOUND")*E78/C78</f>
        <v>3483.8709677419356</v>
      </c>
      <c r="I78" s="5">
        <f>_xlfn.XLOOKUP(A78,'Salary Structure'!A:A,'Salary Structure'!E:E,"NOT FOUND")*E78/C78</f>
        <v>6096.7741935483873</v>
      </c>
      <c r="J78" s="5">
        <v>3000</v>
      </c>
      <c r="K78" s="5">
        <f t="shared" si="11"/>
        <v>34839</v>
      </c>
      <c r="L78" s="6">
        <f t="shared" si="14"/>
        <v>61355.129032258061</v>
      </c>
      <c r="M78" s="5">
        <f t="shared" si="15"/>
        <v>4800</v>
      </c>
      <c r="N78" s="5">
        <f t="shared" si="16"/>
        <v>460.16346774193545</v>
      </c>
      <c r="O78" s="5">
        <v>208</v>
      </c>
      <c r="P78" s="5">
        <f t="shared" si="17"/>
        <v>1840.6538709677418</v>
      </c>
      <c r="Q78" s="5">
        <v>0</v>
      </c>
      <c r="R78" s="9"/>
      <c r="S78" s="6">
        <f t="shared" si="12"/>
        <v>7308.8173387096767</v>
      </c>
      <c r="T78" s="6">
        <f t="shared" si="13"/>
        <v>54046.311693548385</v>
      </c>
    </row>
    <row r="79" spans="1:20" x14ac:dyDescent="0.35">
      <c r="A79" s="7" t="s">
        <v>46</v>
      </c>
      <c r="B79" s="8">
        <v>46235</v>
      </c>
      <c r="C79" s="5">
        <f t="shared" si="9"/>
        <v>31</v>
      </c>
      <c r="D79" s="5">
        <v>7</v>
      </c>
      <c r="E79" s="6">
        <f t="shared" si="10"/>
        <v>24</v>
      </c>
      <c r="F79" s="6">
        <f>_xlfn.XLOOKUP(A79,'Salary Structure'!A:A,'Salary Structure'!B:B,"NOT FOUND")</f>
        <v>30000</v>
      </c>
      <c r="G79" s="5">
        <f>_xlfn.XLOOKUP(A79,'Salary Structure'!A:A,'Salary Structure'!C:C,"NOT FOUND")*E79/C79</f>
        <v>9290.322580645161</v>
      </c>
      <c r="H79" s="5">
        <f>_xlfn.XLOOKUP(A79,'Salary Structure'!A:A,'Salary Structure'!D:D,"NOT FOUND")*E79/C79</f>
        <v>2322.5806451612902</v>
      </c>
      <c r="I79" s="5">
        <f>_xlfn.XLOOKUP(A79,'Salary Structure'!A:A,'Salary Structure'!E:E,"NOT FOUND")*E79/C79</f>
        <v>3870.9677419354839</v>
      </c>
      <c r="J79" s="5">
        <v>0</v>
      </c>
      <c r="K79" s="5">
        <f t="shared" si="11"/>
        <v>23226</v>
      </c>
      <c r="L79" s="6">
        <f t="shared" si="14"/>
        <v>38709.870967741939</v>
      </c>
      <c r="M79" s="5">
        <f t="shared" si="15"/>
        <v>3600</v>
      </c>
      <c r="N79" s="5">
        <f t="shared" si="16"/>
        <v>290.32403225806451</v>
      </c>
      <c r="O79" s="5">
        <v>208</v>
      </c>
      <c r="P79" s="5">
        <f t="shared" si="17"/>
        <v>1161.2961290322582</v>
      </c>
      <c r="Q79" s="5">
        <v>0</v>
      </c>
      <c r="R79" s="9"/>
      <c r="S79" s="6">
        <f t="shared" si="12"/>
        <v>5259.6201612903224</v>
      </c>
      <c r="T79" s="6">
        <f t="shared" si="13"/>
        <v>33450.250806451615</v>
      </c>
    </row>
    <row r="80" spans="1:20" x14ac:dyDescent="0.35">
      <c r="A80" s="7" t="s">
        <v>51</v>
      </c>
      <c r="B80" s="8">
        <v>46235</v>
      </c>
      <c r="C80" s="5">
        <f t="shared" si="9"/>
        <v>31</v>
      </c>
      <c r="D80" s="5">
        <v>1</v>
      </c>
      <c r="E80" s="6">
        <f t="shared" si="10"/>
        <v>30</v>
      </c>
      <c r="F80" s="6">
        <f>_xlfn.XLOOKUP(A80,'Salary Structure'!A:A,'Salary Structure'!B:B,"NOT FOUND")</f>
        <v>23000</v>
      </c>
      <c r="G80" s="5">
        <f>_xlfn.XLOOKUP(A80,'Salary Structure'!A:A,'Salary Structure'!C:C,"NOT FOUND")*E80/C80</f>
        <v>8903.2258064516136</v>
      </c>
      <c r="H80" s="5">
        <f>_xlfn.XLOOKUP(A80,'Salary Structure'!A:A,'Salary Structure'!D:D,"NOT FOUND")*E80/C80</f>
        <v>2225.8064516129034</v>
      </c>
      <c r="I80" s="5">
        <f>_xlfn.XLOOKUP(A80,'Salary Structure'!A:A,'Salary Structure'!E:E,"NOT FOUND")*E80/C80</f>
        <v>3387.0967741935483</v>
      </c>
      <c r="J80" s="5">
        <v>0</v>
      </c>
      <c r="K80" s="5">
        <f t="shared" si="11"/>
        <v>22258</v>
      </c>
      <c r="L80" s="6">
        <f t="shared" si="14"/>
        <v>36774.129032258061</v>
      </c>
      <c r="M80" s="5">
        <f t="shared" si="15"/>
        <v>2760</v>
      </c>
      <c r="N80" s="5">
        <f t="shared" si="16"/>
        <v>275.80596774193549</v>
      </c>
      <c r="O80" s="5">
        <v>208</v>
      </c>
      <c r="P80" s="5">
        <f t="shared" si="17"/>
        <v>1103.2238709677417</v>
      </c>
      <c r="Q80" s="5">
        <v>0</v>
      </c>
      <c r="R80" s="9"/>
      <c r="S80" s="6">
        <f t="shared" si="12"/>
        <v>4347.0298387096773</v>
      </c>
      <c r="T80" s="6">
        <f t="shared" si="13"/>
        <v>32427.099193548383</v>
      </c>
    </row>
    <row r="81" spans="1:20" x14ac:dyDescent="0.35">
      <c r="A81" s="7" t="s">
        <v>57</v>
      </c>
      <c r="B81" s="8">
        <v>46235</v>
      </c>
      <c r="C81" s="5">
        <f t="shared" si="9"/>
        <v>31</v>
      </c>
      <c r="D81" s="5">
        <v>0</v>
      </c>
      <c r="E81" s="6">
        <f t="shared" si="10"/>
        <v>31</v>
      </c>
      <c r="F81" s="6">
        <f>_xlfn.XLOOKUP(A81,'Salary Structure'!A:A,'Salary Structure'!B:B,"NOT FOUND")</f>
        <v>45000</v>
      </c>
      <c r="G81" s="5">
        <f>_xlfn.XLOOKUP(A81,'Salary Structure'!A:A,'Salary Structure'!C:C,"NOT FOUND")*E81/C81</f>
        <v>18000</v>
      </c>
      <c r="H81" s="5">
        <f>_xlfn.XLOOKUP(A81,'Salary Structure'!A:A,'Salary Structure'!D:D,"NOT FOUND")*E81/C81</f>
        <v>4500</v>
      </c>
      <c r="I81" s="5">
        <f>_xlfn.XLOOKUP(A81,'Salary Structure'!A:A,'Salary Structure'!E:E,"NOT FOUND")*E81/C81</f>
        <v>8000</v>
      </c>
      <c r="J81" s="5">
        <v>0</v>
      </c>
      <c r="K81" s="5">
        <f t="shared" si="11"/>
        <v>45000</v>
      </c>
      <c r="L81" s="6">
        <f t="shared" si="14"/>
        <v>75500</v>
      </c>
      <c r="M81" s="5">
        <f t="shared" si="15"/>
        <v>5400</v>
      </c>
      <c r="N81" s="5">
        <f t="shared" si="16"/>
        <v>566.25</v>
      </c>
      <c r="O81" s="5">
        <v>208</v>
      </c>
      <c r="P81" s="5">
        <f t="shared" si="17"/>
        <v>2265</v>
      </c>
      <c r="Q81" s="5">
        <v>500</v>
      </c>
      <c r="R81" s="9" t="s">
        <v>73</v>
      </c>
      <c r="S81" s="6">
        <f t="shared" si="12"/>
        <v>8939.25</v>
      </c>
      <c r="T81" s="6">
        <f t="shared" si="13"/>
        <v>66560.75</v>
      </c>
    </row>
    <row r="82" spans="1:20" x14ac:dyDescent="0.35">
      <c r="A82" s="7" t="s">
        <v>0</v>
      </c>
      <c r="B82" s="8">
        <v>46266</v>
      </c>
      <c r="C82" s="5">
        <f t="shared" si="9"/>
        <v>30</v>
      </c>
      <c r="D82" s="5">
        <v>0</v>
      </c>
      <c r="E82" s="6">
        <f t="shared" si="10"/>
        <v>30</v>
      </c>
      <c r="F82" s="6">
        <f>_xlfn.XLOOKUP(A82,'Salary Structure'!A:A,'Salary Structure'!B:B,"NOT FOUND")</f>
        <v>30000</v>
      </c>
      <c r="G82" s="5">
        <f>_xlfn.XLOOKUP(A82,'Salary Structure'!A:A,'Salary Structure'!C:C,"NOT FOUND")*E82/C82</f>
        <v>12000</v>
      </c>
      <c r="H82" s="5">
        <f>_xlfn.XLOOKUP(A82,'Salary Structure'!A:A,'Salary Structure'!D:D,"NOT FOUND")*E82/C82</f>
        <v>3000</v>
      </c>
      <c r="I82" s="5">
        <f>_xlfn.XLOOKUP(A82,'Salary Structure'!A:A,'Salary Structure'!E:E,"NOT FOUND")*E82/C82</f>
        <v>5000</v>
      </c>
      <c r="J82" s="5">
        <v>0</v>
      </c>
      <c r="K82" s="5">
        <f t="shared" si="11"/>
        <v>30000</v>
      </c>
      <c r="L82" s="6">
        <f t="shared" si="14"/>
        <v>50000</v>
      </c>
      <c r="M82" s="5">
        <f t="shared" si="15"/>
        <v>3600</v>
      </c>
      <c r="N82" s="5">
        <f t="shared" si="16"/>
        <v>375</v>
      </c>
      <c r="O82" s="5">
        <v>208</v>
      </c>
      <c r="P82" s="5">
        <f t="shared" si="17"/>
        <v>1500</v>
      </c>
      <c r="Q82" s="5">
        <v>0</v>
      </c>
      <c r="R82" s="9"/>
      <c r="S82" s="6">
        <f t="shared" si="12"/>
        <v>5683</v>
      </c>
      <c r="T82" s="6">
        <f t="shared" si="13"/>
        <v>44317</v>
      </c>
    </row>
    <row r="83" spans="1:20" x14ac:dyDescent="0.35">
      <c r="A83" s="7" t="s">
        <v>9</v>
      </c>
      <c r="B83" s="8">
        <v>46266</v>
      </c>
      <c r="C83" s="5">
        <f t="shared" si="9"/>
        <v>30</v>
      </c>
      <c r="D83" s="5">
        <v>0</v>
      </c>
      <c r="E83" s="6">
        <f t="shared" si="10"/>
        <v>30</v>
      </c>
      <c r="F83" s="6">
        <f>_xlfn.XLOOKUP(A83,'Salary Structure'!A:A,'Salary Structure'!B:B,"NOT FOUND")</f>
        <v>25000</v>
      </c>
      <c r="G83" s="5">
        <f>_xlfn.XLOOKUP(A83,'Salary Structure'!A:A,'Salary Structure'!C:C,"NOT FOUND")*E83/C83</f>
        <v>10000</v>
      </c>
      <c r="H83" s="5">
        <f>_xlfn.XLOOKUP(A83,'Salary Structure'!A:A,'Salary Structure'!D:D,"NOT FOUND")*E83/C83</f>
        <v>2500</v>
      </c>
      <c r="I83" s="5">
        <f>_xlfn.XLOOKUP(A83,'Salary Structure'!A:A,'Salary Structure'!E:E,"NOT FOUND")*E83/C83</f>
        <v>4000</v>
      </c>
      <c r="J83" s="5">
        <v>0</v>
      </c>
      <c r="K83" s="5">
        <f t="shared" si="11"/>
        <v>25000</v>
      </c>
      <c r="L83" s="6">
        <f t="shared" si="14"/>
        <v>41500</v>
      </c>
      <c r="M83" s="5">
        <f t="shared" si="15"/>
        <v>3000</v>
      </c>
      <c r="N83" s="5">
        <f t="shared" si="16"/>
        <v>311.25</v>
      </c>
      <c r="O83" s="5">
        <v>208</v>
      </c>
      <c r="P83" s="5">
        <f t="shared" si="17"/>
        <v>1245</v>
      </c>
      <c r="Q83" s="5">
        <v>0</v>
      </c>
      <c r="R83" s="9"/>
      <c r="S83" s="6">
        <f t="shared" si="12"/>
        <v>4764.25</v>
      </c>
      <c r="T83" s="6">
        <f t="shared" si="13"/>
        <v>36735.75</v>
      </c>
    </row>
    <row r="84" spans="1:20" x14ac:dyDescent="0.35">
      <c r="A84" s="7" t="s">
        <v>16</v>
      </c>
      <c r="B84" s="8">
        <v>46266</v>
      </c>
      <c r="C84" s="5">
        <f t="shared" si="9"/>
        <v>30</v>
      </c>
      <c r="D84" s="5">
        <v>0</v>
      </c>
      <c r="E84" s="6">
        <f t="shared" si="10"/>
        <v>30</v>
      </c>
      <c r="F84" s="6">
        <f>_xlfn.XLOOKUP(A84,'Salary Structure'!A:A,'Salary Structure'!B:B,"NOT FOUND")</f>
        <v>28000</v>
      </c>
      <c r="G84" s="5">
        <f>_xlfn.XLOOKUP(A84,'Salary Structure'!A:A,'Salary Structure'!C:C,"NOT FOUND")*E84/C84</f>
        <v>11200</v>
      </c>
      <c r="H84" s="5">
        <f>_xlfn.XLOOKUP(A84,'Salary Structure'!A:A,'Salary Structure'!D:D,"NOT FOUND")*E84/C84</f>
        <v>2800</v>
      </c>
      <c r="I84" s="5">
        <f>_xlfn.XLOOKUP(A84,'Salary Structure'!A:A,'Salary Structure'!E:E,"NOT FOUND")*E84/C84</f>
        <v>4500</v>
      </c>
      <c r="J84" s="5">
        <v>0</v>
      </c>
      <c r="K84" s="5">
        <f t="shared" si="11"/>
        <v>28000</v>
      </c>
      <c r="L84" s="6">
        <f t="shared" si="14"/>
        <v>46500</v>
      </c>
      <c r="M84" s="5">
        <f t="shared" si="15"/>
        <v>3360</v>
      </c>
      <c r="N84" s="5">
        <f t="shared" si="16"/>
        <v>348.75</v>
      </c>
      <c r="O84" s="5">
        <v>208</v>
      </c>
      <c r="P84" s="5">
        <f t="shared" si="17"/>
        <v>1395</v>
      </c>
      <c r="Q84" s="5">
        <v>300</v>
      </c>
      <c r="R84" s="9" t="s">
        <v>73</v>
      </c>
      <c r="S84" s="6">
        <f t="shared" si="12"/>
        <v>5611.75</v>
      </c>
      <c r="T84" s="6">
        <f t="shared" si="13"/>
        <v>40888.25</v>
      </c>
    </row>
    <row r="85" spans="1:20" x14ac:dyDescent="0.35">
      <c r="A85" s="7" t="s">
        <v>23</v>
      </c>
      <c r="B85" s="8">
        <v>46266</v>
      </c>
      <c r="C85" s="5">
        <f t="shared" si="9"/>
        <v>30</v>
      </c>
      <c r="D85" s="5">
        <v>1</v>
      </c>
      <c r="E85" s="6">
        <f t="shared" si="10"/>
        <v>29</v>
      </c>
      <c r="F85" s="6">
        <f>_xlfn.XLOOKUP(A85,'Salary Structure'!A:A,'Salary Structure'!B:B,"NOT FOUND")</f>
        <v>26000</v>
      </c>
      <c r="G85" s="5">
        <f>_xlfn.XLOOKUP(A85,'Salary Structure'!A:A,'Salary Structure'!C:C,"NOT FOUND")*E85/C85</f>
        <v>10053.333333333334</v>
      </c>
      <c r="H85" s="5">
        <f>_xlfn.XLOOKUP(A85,'Salary Structure'!A:A,'Salary Structure'!D:D,"NOT FOUND")*E85/C85</f>
        <v>2513.3333333333335</v>
      </c>
      <c r="I85" s="5">
        <f>_xlfn.XLOOKUP(A85,'Salary Structure'!A:A,'Salary Structure'!E:E,"NOT FOUND")*E85/C85</f>
        <v>3866.6666666666665</v>
      </c>
      <c r="J85" s="5">
        <v>0</v>
      </c>
      <c r="K85" s="5">
        <f t="shared" si="11"/>
        <v>25133</v>
      </c>
      <c r="L85" s="6">
        <f t="shared" si="14"/>
        <v>41566.333333333336</v>
      </c>
      <c r="M85" s="5">
        <f t="shared" si="15"/>
        <v>3120</v>
      </c>
      <c r="N85" s="5">
        <f t="shared" si="16"/>
        <v>311.7475</v>
      </c>
      <c r="O85" s="5">
        <v>208</v>
      </c>
      <c r="P85" s="5">
        <f t="shared" si="17"/>
        <v>1246.99</v>
      </c>
      <c r="Q85" s="5">
        <v>0</v>
      </c>
      <c r="R85" s="9"/>
      <c r="S85" s="6">
        <f t="shared" si="12"/>
        <v>4886.7375000000002</v>
      </c>
      <c r="T85" s="6">
        <f t="shared" si="13"/>
        <v>36679.595833333333</v>
      </c>
    </row>
    <row r="86" spans="1:20" x14ac:dyDescent="0.35">
      <c r="A86" s="7" t="s">
        <v>30</v>
      </c>
      <c r="B86" s="8">
        <v>46266</v>
      </c>
      <c r="C86" s="5">
        <f t="shared" si="9"/>
        <v>30</v>
      </c>
      <c r="D86" s="5">
        <v>4</v>
      </c>
      <c r="E86" s="6">
        <f t="shared" si="10"/>
        <v>26</v>
      </c>
      <c r="F86" s="6">
        <f>_xlfn.XLOOKUP(A86,'Salary Structure'!A:A,'Salary Structure'!B:B,"NOT FOUND")</f>
        <v>32000</v>
      </c>
      <c r="G86" s="5">
        <f>_xlfn.XLOOKUP(A86,'Salary Structure'!A:A,'Salary Structure'!C:C,"NOT FOUND")*E86/C86</f>
        <v>11093.333333333334</v>
      </c>
      <c r="H86" s="5">
        <f>_xlfn.XLOOKUP(A86,'Salary Structure'!A:A,'Salary Structure'!D:D,"NOT FOUND")*E86/C86</f>
        <v>2773.3333333333335</v>
      </c>
      <c r="I86" s="5">
        <f>_xlfn.XLOOKUP(A86,'Salary Structure'!A:A,'Salary Structure'!E:E,"NOT FOUND")*E86/C86</f>
        <v>4766.666666666667</v>
      </c>
      <c r="J86" s="5">
        <v>0</v>
      </c>
      <c r="K86" s="5">
        <f t="shared" si="11"/>
        <v>27733</v>
      </c>
      <c r="L86" s="6">
        <f t="shared" si="14"/>
        <v>46366.333333333336</v>
      </c>
      <c r="M86" s="5">
        <f t="shared" si="15"/>
        <v>3840</v>
      </c>
      <c r="N86" s="5">
        <f t="shared" si="16"/>
        <v>347.7475</v>
      </c>
      <c r="O86" s="5">
        <v>208</v>
      </c>
      <c r="P86" s="5">
        <f t="shared" si="17"/>
        <v>1390.99</v>
      </c>
      <c r="Q86" s="5">
        <v>0</v>
      </c>
      <c r="R86" s="9"/>
      <c r="S86" s="6">
        <f t="shared" si="12"/>
        <v>5786.7375000000002</v>
      </c>
      <c r="T86" s="6">
        <f t="shared" si="13"/>
        <v>40579.595833333333</v>
      </c>
    </row>
    <row r="87" spans="1:20" x14ac:dyDescent="0.35">
      <c r="A87" s="7" t="s">
        <v>35</v>
      </c>
      <c r="B87" s="8">
        <v>46266</v>
      </c>
      <c r="C87" s="5">
        <f t="shared" si="9"/>
        <v>30</v>
      </c>
      <c r="D87" s="5">
        <v>2</v>
      </c>
      <c r="E87" s="6">
        <f t="shared" si="10"/>
        <v>28</v>
      </c>
      <c r="F87" s="6">
        <f>_xlfn.XLOOKUP(A87,'Salary Structure'!A:A,'Salary Structure'!B:B,"NOT FOUND")</f>
        <v>24000</v>
      </c>
      <c r="G87" s="5">
        <f>_xlfn.XLOOKUP(A87,'Salary Structure'!A:A,'Salary Structure'!C:C,"NOT FOUND")*E87/C87</f>
        <v>8960</v>
      </c>
      <c r="H87" s="5">
        <f>_xlfn.XLOOKUP(A87,'Salary Structure'!A:A,'Salary Structure'!D:D,"NOT FOUND")*E87/C87</f>
        <v>2240</v>
      </c>
      <c r="I87" s="5">
        <f>_xlfn.XLOOKUP(A87,'Salary Structure'!A:A,'Salary Structure'!E:E,"NOT FOUND")*E87/C87</f>
        <v>3266.6666666666665</v>
      </c>
      <c r="J87" s="5">
        <v>0</v>
      </c>
      <c r="K87" s="5">
        <f t="shared" si="11"/>
        <v>22400</v>
      </c>
      <c r="L87" s="6">
        <f t="shared" si="14"/>
        <v>36866.666666666664</v>
      </c>
      <c r="M87" s="5">
        <f t="shared" si="15"/>
        <v>2880</v>
      </c>
      <c r="N87" s="5">
        <f t="shared" si="16"/>
        <v>276.5</v>
      </c>
      <c r="O87" s="5">
        <v>208</v>
      </c>
      <c r="P87" s="5">
        <f t="shared" si="17"/>
        <v>1106</v>
      </c>
      <c r="Q87" s="5">
        <v>0</v>
      </c>
      <c r="R87" s="9"/>
      <c r="S87" s="6">
        <f t="shared" si="12"/>
        <v>4470.5</v>
      </c>
      <c r="T87" s="6">
        <f t="shared" si="13"/>
        <v>32396.166666666664</v>
      </c>
    </row>
    <row r="88" spans="1:20" x14ac:dyDescent="0.35">
      <c r="A88" s="7" t="s">
        <v>41</v>
      </c>
      <c r="B88" s="8">
        <v>46266</v>
      </c>
      <c r="C88" s="5">
        <f t="shared" si="9"/>
        <v>30</v>
      </c>
      <c r="D88" s="5">
        <v>1</v>
      </c>
      <c r="E88" s="6">
        <f t="shared" si="10"/>
        <v>29</v>
      </c>
      <c r="F88" s="6">
        <f>_xlfn.XLOOKUP(A88,'Salary Structure'!A:A,'Salary Structure'!B:B,"NOT FOUND")</f>
        <v>40000</v>
      </c>
      <c r="G88" s="5">
        <f>_xlfn.XLOOKUP(A88,'Salary Structure'!A:A,'Salary Structure'!C:C,"NOT FOUND")*E88/C88</f>
        <v>15466.666666666666</v>
      </c>
      <c r="H88" s="5">
        <f>_xlfn.XLOOKUP(A88,'Salary Structure'!A:A,'Salary Structure'!D:D,"NOT FOUND")*E88/C88</f>
        <v>3866.6666666666665</v>
      </c>
      <c r="I88" s="5">
        <f>_xlfn.XLOOKUP(A88,'Salary Structure'!A:A,'Salary Structure'!E:E,"NOT FOUND")*E88/C88</f>
        <v>6766.666666666667</v>
      </c>
      <c r="J88" s="5">
        <v>0</v>
      </c>
      <c r="K88" s="5">
        <f t="shared" si="11"/>
        <v>38667</v>
      </c>
      <c r="L88" s="6">
        <f t="shared" si="14"/>
        <v>64767</v>
      </c>
      <c r="M88" s="5">
        <f t="shared" si="15"/>
        <v>4800</v>
      </c>
      <c r="N88" s="5">
        <f t="shared" si="16"/>
        <v>485.7525</v>
      </c>
      <c r="O88" s="5">
        <v>208</v>
      </c>
      <c r="P88" s="5">
        <f t="shared" si="17"/>
        <v>1943.01</v>
      </c>
      <c r="Q88" s="5">
        <v>0</v>
      </c>
      <c r="R88" s="9"/>
      <c r="S88" s="6">
        <f t="shared" si="12"/>
        <v>7436.7624999999998</v>
      </c>
      <c r="T88" s="6">
        <f t="shared" si="13"/>
        <v>57330.237500000003</v>
      </c>
    </row>
    <row r="89" spans="1:20" x14ac:dyDescent="0.35">
      <c r="A89" s="7" t="s">
        <v>46</v>
      </c>
      <c r="B89" s="8">
        <v>46266</v>
      </c>
      <c r="C89" s="5">
        <f t="shared" si="9"/>
        <v>30</v>
      </c>
      <c r="D89" s="5">
        <v>2</v>
      </c>
      <c r="E89" s="6">
        <f t="shared" si="10"/>
        <v>28</v>
      </c>
      <c r="F89" s="6">
        <f>_xlfn.XLOOKUP(A89,'Salary Structure'!A:A,'Salary Structure'!B:B,"NOT FOUND")</f>
        <v>30000</v>
      </c>
      <c r="G89" s="5">
        <f>_xlfn.XLOOKUP(A89,'Salary Structure'!A:A,'Salary Structure'!C:C,"NOT FOUND")*E89/C89</f>
        <v>11200</v>
      </c>
      <c r="H89" s="5">
        <f>_xlfn.XLOOKUP(A89,'Salary Structure'!A:A,'Salary Structure'!D:D,"NOT FOUND")*E89/C89</f>
        <v>2800</v>
      </c>
      <c r="I89" s="5">
        <f>_xlfn.XLOOKUP(A89,'Salary Structure'!A:A,'Salary Structure'!E:E,"NOT FOUND")*E89/C89</f>
        <v>4666.666666666667</v>
      </c>
      <c r="J89" s="5">
        <v>0</v>
      </c>
      <c r="K89" s="5">
        <f t="shared" si="11"/>
        <v>28000</v>
      </c>
      <c r="L89" s="6">
        <f t="shared" si="14"/>
        <v>46666.666666666672</v>
      </c>
      <c r="M89" s="5">
        <f t="shared" si="15"/>
        <v>3600</v>
      </c>
      <c r="N89" s="5">
        <f t="shared" si="16"/>
        <v>350.00000000000006</v>
      </c>
      <c r="O89" s="5">
        <v>208</v>
      </c>
      <c r="P89" s="5">
        <f t="shared" si="17"/>
        <v>1400</v>
      </c>
      <c r="Q89" s="5">
        <v>0</v>
      </c>
      <c r="R89" s="9"/>
      <c r="S89" s="6">
        <f t="shared" si="12"/>
        <v>5558</v>
      </c>
      <c r="T89" s="6">
        <f t="shared" si="13"/>
        <v>41108.666666666672</v>
      </c>
    </row>
    <row r="90" spans="1:20" x14ac:dyDescent="0.35">
      <c r="A90" s="7" t="s">
        <v>51</v>
      </c>
      <c r="B90" s="8">
        <v>46266</v>
      </c>
      <c r="C90" s="5">
        <f t="shared" si="9"/>
        <v>30</v>
      </c>
      <c r="D90" s="5">
        <v>1</v>
      </c>
      <c r="E90" s="6">
        <f t="shared" si="10"/>
        <v>29</v>
      </c>
      <c r="F90" s="6">
        <f>_xlfn.XLOOKUP(A90,'Salary Structure'!A:A,'Salary Structure'!B:B,"NOT FOUND")</f>
        <v>23000</v>
      </c>
      <c r="G90" s="5">
        <f>_xlfn.XLOOKUP(A90,'Salary Structure'!A:A,'Salary Structure'!C:C,"NOT FOUND")*E90/C90</f>
        <v>8893.3333333333339</v>
      </c>
      <c r="H90" s="5">
        <f>_xlfn.XLOOKUP(A90,'Salary Structure'!A:A,'Salary Structure'!D:D,"NOT FOUND")*E90/C90</f>
        <v>2223.3333333333335</v>
      </c>
      <c r="I90" s="5">
        <f>_xlfn.XLOOKUP(A90,'Salary Structure'!A:A,'Salary Structure'!E:E,"NOT FOUND")*E90/C90</f>
        <v>3383.3333333333335</v>
      </c>
      <c r="J90" s="5">
        <v>0</v>
      </c>
      <c r="K90" s="5">
        <f t="shared" si="11"/>
        <v>22233</v>
      </c>
      <c r="L90" s="6">
        <f t="shared" si="14"/>
        <v>36733</v>
      </c>
      <c r="M90" s="5">
        <f t="shared" si="15"/>
        <v>2760</v>
      </c>
      <c r="N90" s="5">
        <f t="shared" si="16"/>
        <v>275.4975</v>
      </c>
      <c r="O90" s="5">
        <v>208</v>
      </c>
      <c r="P90" s="5">
        <f t="shared" si="17"/>
        <v>1101.99</v>
      </c>
      <c r="Q90" s="5">
        <v>0</v>
      </c>
      <c r="R90" s="9"/>
      <c r="S90" s="6">
        <f t="shared" si="12"/>
        <v>4345.4875000000002</v>
      </c>
      <c r="T90" s="6">
        <f t="shared" si="13"/>
        <v>32387.512500000001</v>
      </c>
    </row>
    <row r="91" spans="1:20" x14ac:dyDescent="0.35">
      <c r="A91" s="7" t="s">
        <v>57</v>
      </c>
      <c r="B91" s="8">
        <v>46266</v>
      </c>
      <c r="C91" s="5">
        <f t="shared" si="9"/>
        <v>30</v>
      </c>
      <c r="D91" s="5">
        <v>0</v>
      </c>
      <c r="E91" s="6">
        <f t="shared" si="10"/>
        <v>30</v>
      </c>
      <c r="F91" s="6">
        <f>_xlfn.XLOOKUP(A91,'Salary Structure'!A:A,'Salary Structure'!B:B,"NOT FOUND")</f>
        <v>45000</v>
      </c>
      <c r="G91" s="5">
        <f>_xlfn.XLOOKUP(A91,'Salary Structure'!A:A,'Salary Structure'!C:C,"NOT FOUND")*E91/C91</f>
        <v>18000</v>
      </c>
      <c r="H91" s="5">
        <f>_xlfn.XLOOKUP(A91,'Salary Structure'!A:A,'Salary Structure'!D:D,"NOT FOUND")*E91/C91</f>
        <v>4500</v>
      </c>
      <c r="I91" s="5">
        <f>_xlfn.XLOOKUP(A91,'Salary Structure'!A:A,'Salary Structure'!E:E,"NOT FOUND")*E91/C91</f>
        <v>8000</v>
      </c>
      <c r="J91" s="5">
        <v>0</v>
      </c>
      <c r="K91" s="5">
        <f t="shared" si="11"/>
        <v>45000</v>
      </c>
      <c r="L91" s="6">
        <f t="shared" si="14"/>
        <v>75500</v>
      </c>
      <c r="M91" s="5">
        <f t="shared" si="15"/>
        <v>5400</v>
      </c>
      <c r="N91" s="5">
        <f t="shared" si="16"/>
        <v>566.25</v>
      </c>
      <c r="O91" s="5">
        <v>208</v>
      </c>
      <c r="P91" s="5">
        <f t="shared" si="17"/>
        <v>2265</v>
      </c>
      <c r="Q91" s="5">
        <v>500</v>
      </c>
      <c r="R91" s="9" t="s">
        <v>73</v>
      </c>
      <c r="S91" s="6">
        <f t="shared" si="12"/>
        <v>8939.25</v>
      </c>
      <c r="T91" s="6">
        <f t="shared" si="13"/>
        <v>66560.75</v>
      </c>
    </row>
    <row r="92" spans="1:20" x14ac:dyDescent="0.35">
      <c r="A92" s="7" t="s">
        <v>0</v>
      </c>
      <c r="B92" s="8">
        <v>46296</v>
      </c>
      <c r="C92" s="5">
        <f t="shared" si="9"/>
        <v>31</v>
      </c>
      <c r="D92" s="5">
        <v>1</v>
      </c>
      <c r="E92" s="6">
        <f t="shared" si="10"/>
        <v>30</v>
      </c>
      <c r="F92" s="6">
        <f>_xlfn.XLOOKUP(A92,'Salary Structure'!A:A,'Salary Structure'!B:B,"NOT FOUND")</f>
        <v>30000</v>
      </c>
      <c r="G92" s="5">
        <f>_xlfn.XLOOKUP(A92,'Salary Structure'!A:A,'Salary Structure'!C:C,"NOT FOUND")*E92/C92</f>
        <v>11612.903225806451</v>
      </c>
      <c r="H92" s="5">
        <f>_xlfn.XLOOKUP(A92,'Salary Structure'!A:A,'Salary Structure'!D:D,"NOT FOUND")*E92/C92</f>
        <v>2903.2258064516127</v>
      </c>
      <c r="I92" s="5">
        <f>_xlfn.XLOOKUP(A92,'Salary Structure'!A:A,'Salary Structure'!E:E,"NOT FOUND")*E92/C92</f>
        <v>4838.7096774193551</v>
      </c>
      <c r="J92" s="5">
        <v>0</v>
      </c>
      <c r="K92" s="5">
        <f t="shared" si="11"/>
        <v>29032</v>
      </c>
      <c r="L92" s="6">
        <f t="shared" si="14"/>
        <v>48386.838709677424</v>
      </c>
      <c r="M92" s="5">
        <f t="shared" si="15"/>
        <v>3600</v>
      </c>
      <c r="N92" s="5">
        <f t="shared" si="16"/>
        <v>362.90129032258068</v>
      </c>
      <c r="O92" s="5">
        <v>208</v>
      </c>
      <c r="P92" s="5">
        <f t="shared" si="17"/>
        <v>1451.6051612903227</v>
      </c>
      <c r="Q92" s="5">
        <v>0</v>
      </c>
      <c r="R92" s="9"/>
      <c r="S92" s="6">
        <f t="shared" si="12"/>
        <v>5622.5064516129041</v>
      </c>
      <c r="T92" s="6">
        <f t="shared" si="13"/>
        <v>42764.332258064518</v>
      </c>
    </row>
    <row r="93" spans="1:20" x14ac:dyDescent="0.35">
      <c r="A93" s="7" t="s">
        <v>9</v>
      </c>
      <c r="B93" s="8">
        <v>46296</v>
      </c>
      <c r="C93" s="5">
        <f t="shared" si="9"/>
        <v>31</v>
      </c>
      <c r="D93" s="5">
        <v>4</v>
      </c>
      <c r="E93" s="6">
        <f t="shared" si="10"/>
        <v>27</v>
      </c>
      <c r="F93" s="6">
        <f>_xlfn.XLOOKUP(A93,'Salary Structure'!A:A,'Salary Structure'!B:B,"NOT FOUND")</f>
        <v>25000</v>
      </c>
      <c r="G93" s="5">
        <f>_xlfn.XLOOKUP(A93,'Salary Structure'!A:A,'Salary Structure'!C:C,"NOT FOUND")*E93/C93</f>
        <v>8709.677419354839</v>
      </c>
      <c r="H93" s="5">
        <f>_xlfn.XLOOKUP(A93,'Salary Structure'!A:A,'Salary Structure'!D:D,"NOT FOUND")*E93/C93</f>
        <v>2177.4193548387098</v>
      </c>
      <c r="I93" s="5">
        <f>_xlfn.XLOOKUP(A93,'Salary Structure'!A:A,'Salary Structure'!E:E,"NOT FOUND")*E93/C93</f>
        <v>3483.8709677419356</v>
      </c>
      <c r="J93" s="5">
        <v>0</v>
      </c>
      <c r="K93" s="5">
        <f t="shared" si="11"/>
        <v>21774</v>
      </c>
      <c r="L93" s="6">
        <f t="shared" si="14"/>
        <v>36144.967741935485</v>
      </c>
      <c r="M93" s="5">
        <f t="shared" si="15"/>
        <v>3000</v>
      </c>
      <c r="N93" s="5">
        <f t="shared" si="16"/>
        <v>271.08725806451611</v>
      </c>
      <c r="O93" s="5">
        <v>208</v>
      </c>
      <c r="P93" s="5">
        <f t="shared" si="17"/>
        <v>1084.3490322580647</v>
      </c>
      <c r="Q93" s="5">
        <v>0</v>
      </c>
      <c r="R93" s="9"/>
      <c r="S93" s="6">
        <f t="shared" si="12"/>
        <v>4563.436290322581</v>
      </c>
      <c r="T93" s="6">
        <f t="shared" si="13"/>
        <v>31581.531451612904</v>
      </c>
    </row>
    <row r="94" spans="1:20" x14ac:dyDescent="0.35">
      <c r="A94" s="7" t="s">
        <v>16</v>
      </c>
      <c r="B94" s="8">
        <v>46296</v>
      </c>
      <c r="C94" s="5">
        <f t="shared" si="9"/>
        <v>31</v>
      </c>
      <c r="D94" s="5">
        <v>0</v>
      </c>
      <c r="E94" s="6">
        <f t="shared" si="10"/>
        <v>31</v>
      </c>
      <c r="F94" s="6">
        <f>_xlfn.XLOOKUP(A94,'Salary Structure'!A:A,'Salary Structure'!B:B,"NOT FOUND")</f>
        <v>28000</v>
      </c>
      <c r="G94" s="5">
        <f>_xlfn.XLOOKUP(A94,'Salary Structure'!A:A,'Salary Structure'!C:C,"NOT FOUND")*E94/C94</f>
        <v>11200</v>
      </c>
      <c r="H94" s="5">
        <f>_xlfn.XLOOKUP(A94,'Salary Structure'!A:A,'Salary Structure'!D:D,"NOT FOUND")*E94/C94</f>
        <v>2800</v>
      </c>
      <c r="I94" s="5">
        <f>_xlfn.XLOOKUP(A94,'Salary Structure'!A:A,'Salary Structure'!E:E,"NOT FOUND")*E94/C94</f>
        <v>4500</v>
      </c>
      <c r="J94" s="5">
        <v>0</v>
      </c>
      <c r="K94" s="5">
        <f t="shared" si="11"/>
        <v>28000</v>
      </c>
      <c r="L94" s="6">
        <f t="shared" si="14"/>
        <v>46500</v>
      </c>
      <c r="M94" s="5">
        <f t="shared" si="15"/>
        <v>3360</v>
      </c>
      <c r="N94" s="5">
        <f t="shared" si="16"/>
        <v>348.75</v>
      </c>
      <c r="O94" s="5">
        <v>208</v>
      </c>
      <c r="P94" s="5">
        <f t="shared" si="17"/>
        <v>1395</v>
      </c>
      <c r="Q94" s="5">
        <v>300</v>
      </c>
      <c r="R94" s="9" t="s">
        <v>73</v>
      </c>
      <c r="S94" s="6">
        <f t="shared" si="12"/>
        <v>5611.75</v>
      </c>
      <c r="T94" s="6">
        <f t="shared" si="13"/>
        <v>40888.25</v>
      </c>
    </row>
    <row r="95" spans="1:20" x14ac:dyDescent="0.35">
      <c r="A95" s="7" t="s">
        <v>23</v>
      </c>
      <c r="B95" s="8">
        <v>46296</v>
      </c>
      <c r="C95" s="5">
        <f t="shared" si="9"/>
        <v>31</v>
      </c>
      <c r="D95" s="5">
        <v>2</v>
      </c>
      <c r="E95" s="6">
        <f t="shared" si="10"/>
        <v>29</v>
      </c>
      <c r="F95" s="6">
        <f>_xlfn.XLOOKUP(A95,'Salary Structure'!A:A,'Salary Structure'!B:B,"NOT FOUND")</f>
        <v>26000</v>
      </c>
      <c r="G95" s="5">
        <f>_xlfn.XLOOKUP(A95,'Salary Structure'!A:A,'Salary Structure'!C:C,"NOT FOUND")*E95/C95</f>
        <v>9729.032258064517</v>
      </c>
      <c r="H95" s="5">
        <f>_xlfn.XLOOKUP(A95,'Salary Structure'!A:A,'Salary Structure'!D:D,"NOT FOUND")*E95/C95</f>
        <v>2432.2580645161293</v>
      </c>
      <c r="I95" s="5">
        <f>_xlfn.XLOOKUP(A95,'Salary Structure'!A:A,'Salary Structure'!E:E,"NOT FOUND")*E95/C95</f>
        <v>3741.9354838709678</v>
      </c>
      <c r="J95" s="5">
        <v>0</v>
      </c>
      <c r="K95" s="5">
        <f t="shared" si="11"/>
        <v>24323</v>
      </c>
      <c r="L95" s="6">
        <f t="shared" si="14"/>
        <v>40226.225806451614</v>
      </c>
      <c r="M95" s="5">
        <f t="shared" si="15"/>
        <v>3120</v>
      </c>
      <c r="N95" s="5">
        <f t="shared" si="16"/>
        <v>301.69669354838709</v>
      </c>
      <c r="O95" s="5">
        <v>208</v>
      </c>
      <c r="P95" s="5">
        <f t="shared" si="17"/>
        <v>1206.7867741935486</v>
      </c>
      <c r="Q95" s="5">
        <v>0</v>
      </c>
      <c r="R95" s="9"/>
      <c r="S95" s="6">
        <f t="shared" si="12"/>
        <v>4836.4834677419358</v>
      </c>
      <c r="T95" s="6">
        <f t="shared" si="13"/>
        <v>35389.742338709679</v>
      </c>
    </row>
    <row r="96" spans="1:20" x14ac:dyDescent="0.35">
      <c r="A96" s="7" t="s">
        <v>30</v>
      </c>
      <c r="B96" s="8">
        <v>46296</v>
      </c>
      <c r="C96" s="5">
        <f t="shared" si="9"/>
        <v>31</v>
      </c>
      <c r="D96" s="5">
        <v>0</v>
      </c>
      <c r="E96" s="6">
        <f t="shared" si="10"/>
        <v>31</v>
      </c>
      <c r="F96" s="6">
        <f>_xlfn.XLOOKUP(A96,'Salary Structure'!A:A,'Salary Structure'!B:B,"NOT FOUND")</f>
        <v>32000</v>
      </c>
      <c r="G96" s="5">
        <f>_xlfn.XLOOKUP(A96,'Salary Structure'!A:A,'Salary Structure'!C:C,"NOT FOUND")*E96/C96</f>
        <v>12800</v>
      </c>
      <c r="H96" s="5">
        <f>_xlfn.XLOOKUP(A96,'Salary Structure'!A:A,'Salary Structure'!D:D,"NOT FOUND")*E96/C96</f>
        <v>3200</v>
      </c>
      <c r="I96" s="5">
        <f>_xlfn.XLOOKUP(A96,'Salary Structure'!A:A,'Salary Structure'!E:E,"NOT FOUND")*E96/C96</f>
        <v>5500</v>
      </c>
      <c r="J96" s="5">
        <v>0</v>
      </c>
      <c r="K96" s="5">
        <f t="shared" si="11"/>
        <v>32000</v>
      </c>
      <c r="L96" s="6">
        <f t="shared" si="14"/>
        <v>53500</v>
      </c>
      <c r="M96" s="5">
        <f t="shared" si="15"/>
        <v>3840</v>
      </c>
      <c r="N96" s="5">
        <f t="shared" si="16"/>
        <v>401.25</v>
      </c>
      <c r="O96" s="5">
        <v>208</v>
      </c>
      <c r="P96" s="5">
        <f t="shared" si="17"/>
        <v>1605</v>
      </c>
      <c r="Q96" s="5">
        <v>0</v>
      </c>
      <c r="R96" s="9"/>
      <c r="S96" s="6">
        <f t="shared" si="12"/>
        <v>6054.25</v>
      </c>
      <c r="T96" s="6">
        <f t="shared" si="13"/>
        <v>47445.75</v>
      </c>
    </row>
    <row r="97" spans="1:20" x14ac:dyDescent="0.35">
      <c r="A97" s="7" t="s">
        <v>35</v>
      </c>
      <c r="B97" s="8">
        <v>46296</v>
      </c>
      <c r="C97" s="5">
        <f t="shared" si="9"/>
        <v>31</v>
      </c>
      <c r="D97" s="5">
        <v>4</v>
      </c>
      <c r="E97" s="6">
        <f t="shared" si="10"/>
        <v>27</v>
      </c>
      <c r="F97" s="6">
        <f>_xlfn.XLOOKUP(A97,'Salary Structure'!A:A,'Salary Structure'!B:B,"NOT FOUND")</f>
        <v>24000</v>
      </c>
      <c r="G97" s="5">
        <f>_xlfn.XLOOKUP(A97,'Salary Structure'!A:A,'Salary Structure'!C:C,"NOT FOUND")*E97/C97</f>
        <v>8361.2903225806458</v>
      </c>
      <c r="H97" s="5">
        <f>_xlfn.XLOOKUP(A97,'Salary Structure'!A:A,'Salary Structure'!D:D,"NOT FOUND")*E97/C97</f>
        <v>2090.3225806451615</v>
      </c>
      <c r="I97" s="5">
        <f>_xlfn.XLOOKUP(A97,'Salary Structure'!A:A,'Salary Structure'!E:E,"NOT FOUND")*E97/C97</f>
        <v>3048.3870967741937</v>
      </c>
      <c r="J97" s="5">
        <v>0</v>
      </c>
      <c r="K97" s="5">
        <f t="shared" si="11"/>
        <v>20903</v>
      </c>
      <c r="L97" s="6">
        <f t="shared" si="14"/>
        <v>34403</v>
      </c>
      <c r="M97" s="5">
        <f t="shared" si="15"/>
        <v>2880</v>
      </c>
      <c r="N97" s="5">
        <f t="shared" si="16"/>
        <v>258.02249999999998</v>
      </c>
      <c r="O97" s="5">
        <v>208</v>
      </c>
      <c r="P97" s="5">
        <f t="shared" si="17"/>
        <v>1032.0899999999999</v>
      </c>
      <c r="Q97" s="5">
        <v>0</v>
      </c>
      <c r="R97" s="9"/>
      <c r="S97" s="6">
        <f t="shared" si="12"/>
        <v>4378.1125000000002</v>
      </c>
      <c r="T97" s="6">
        <f t="shared" si="13"/>
        <v>30024.887500000001</v>
      </c>
    </row>
    <row r="98" spans="1:20" x14ac:dyDescent="0.35">
      <c r="A98" s="7" t="s">
        <v>41</v>
      </c>
      <c r="B98" s="8">
        <v>46296</v>
      </c>
      <c r="C98" s="5">
        <f t="shared" si="9"/>
        <v>31</v>
      </c>
      <c r="D98" s="5">
        <v>1</v>
      </c>
      <c r="E98" s="6">
        <f t="shared" si="10"/>
        <v>30</v>
      </c>
      <c r="F98" s="6">
        <f>_xlfn.XLOOKUP(A98,'Salary Structure'!A:A,'Salary Structure'!B:B,"NOT FOUND")</f>
        <v>40000</v>
      </c>
      <c r="G98" s="5">
        <f>_xlfn.XLOOKUP(A98,'Salary Structure'!A:A,'Salary Structure'!C:C,"NOT FOUND")*E98/C98</f>
        <v>15483.870967741936</v>
      </c>
      <c r="H98" s="5">
        <f>_xlfn.XLOOKUP(A98,'Salary Structure'!A:A,'Salary Structure'!D:D,"NOT FOUND")*E98/C98</f>
        <v>3870.9677419354839</v>
      </c>
      <c r="I98" s="5">
        <f>_xlfn.XLOOKUP(A98,'Salary Structure'!A:A,'Salary Structure'!E:E,"NOT FOUND")*E98/C98</f>
        <v>6774.1935483870966</v>
      </c>
      <c r="J98" s="5">
        <v>0</v>
      </c>
      <c r="K98" s="5">
        <f t="shared" si="11"/>
        <v>38710</v>
      </c>
      <c r="L98" s="6">
        <f t="shared" si="14"/>
        <v>64839.032258064515</v>
      </c>
      <c r="M98" s="5">
        <f t="shared" si="15"/>
        <v>4800</v>
      </c>
      <c r="N98" s="5">
        <f t="shared" si="16"/>
        <v>486.29274193548383</v>
      </c>
      <c r="O98" s="5">
        <v>208</v>
      </c>
      <c r="P98" s="5">
        <f t="shared" si="17"/>
        <v>1945.1709677419356</v>
      </c>
      <c r="Q98" s="5">
        <v>0</v>
      </c>
      <c r="R98" s="9"/>
      <c r="S98" s="6">
        <f t="shared" si="12"/>
        <v>7439.4637096774195</v>
      </c>
      <c r="T98" s="6">
        <f t="shared" si="13"/>
        <v>57399.568548387098</v>
      </c>
    </row>
    <row r="99" spans="1:20" x14ac:dyDescent="0.35">
      <c r="A99" s="7" t="s">
        <v>46</v>
      </c>
      <c r="B99" s="8">
        <v>46296</v>
      </c>
      <c r="C99" s="5">
        <f t="shared" si="9"/>
        <v>31</v>
      </c>
      <c r="D99" s="5">
        <v>4</v>
      </c>
      <c r="E99" s="6">
        <f t="shared" si="10"/>
        <v>27</v>
      </c>
      <c r="F99" s="6">
        <f>_xlfn.XLOOKUP(A99,'Salary Structure'!A:A,'Salary Structure'!B:B,"NOT FOUND")</f>
        <v>30000</v>
      </c>
      <c r="G99" s="5">
        <f>_xlfn.XLOOKUP(A99,'Salary Structure'!A:A,'Salary Structure'!C:C,"NOT FOUND")*E99/C99</f>
        <v>10451.612903225807</v>
      </c>
      <c r="H99" s="5">
        <f>_xlfn.XLOOKUP(A99,'Salary Structure'!A:A,'Salary Structure'!D:D,"NOT FOUND")*E99/C99</f>
        <v>2612.9032258064517</v>
      </c>
      <c r="I99" s="5">
        <f>_xlfn.XLOOKUP(A99,'Salary Structure'!A:A,'Salary Structure'!E:E,"NOT FOUND")*E99/C99</f>
        <v>4354.8387096774195</v>
      </c>
      <c r="J99" s="5">
        <v>0</v>
      </c>
      <c r="K99" s="5">
        <f t="shared" si="11"/>
        <v>26129</v>
      </c>
      <c r="L99" s="6">
        <f t="shared" si="14"/>
        <v>43548.354838709682</v>
      </c>
      <c r="M99" s="5">
        <f t="shared" si="15"/>
        <v>3600</v>
      </c>
      <c r="N99" s="5">
        <f t="shared" si="16"/>
        <v>326.61266129032259</v>
      </c>
      <c r="O99" s="5">
        <v>208</v>
      </c>
      <c r="P99" s="5">
        <f t="shared" si="17"/>
        <v>1306.4506451612904</v>
      </c>
      <c r="Q99" s="5">
        <v>0</v>
      </c>
      <c r="R99" s="9"/>
      <c r="S99" s="6">
        <f t="shared" si="12"/>
        <v>5441.0633064516132</v>
      </c>
      <c r="T99" s="6">
        <f t="shared" si="13"/>
        <v>38107.291532258067</v>
      </c>
    </row>
    <row r="100" spans="1:20" x14ac:dyDescent="0.35">
      <c r="A100" s="7" t="s">
        <v>51</v>
      </c>
      <c r="B100" s="8">
        <v>46296</v>
      </c>
      <c r="C100" s="5">
        <f t="shared" si="9"/>
        <v>31</v>
      </c>
      <c r="D100" s="5">
        <v>0</v>
      </c>
      <c r="E100" s="6">
        <f t="shared" si="10"/>
        <v>31</v>
      </c>
      <c r="F100" s="6">
        <f>_xlfn.XLOOKUP(A100,'Salary Structure'!A:A,'Salary Structure'!B:B,"NOT FOUND")</f>
        <v>23000</v>
      </c>
      <c r="G100" s="5">
        <f>_xlfn.XLOOKUP(A100,'Salary Structure'!A:A,'Salary Structure'!C:C,"NOT FOUND")*E100/C100</f>
        <v>9200</v>
      </c>
      <c r="H100" s="5">
        <f>_xlfn.XLOOKUP(A100,'Salary Structure'!A:A,'Salary Structure'!D:D,"NOT FOUND")*E100/C100</f>
        <v>2300</v>
      </c>
      <c r="I100" s="5">
        <f>_xlfn.XLOOKUP(A100,'Salary Structure'!A:A,'Salary Structure'!E:E,"NOT FOUND")*E100/C100</f>
        <v>3500</v>
      </c>
      <c r="J100" s="5">
        <v>0</v>
      </c>
      <c r="K100" s="5">
        <f t="shared" si="11"/>
        <v>23000</v>
      </c>
      <c r="L100" s="6">
        <f t="shared" si="14"/>
        <v>38000</v>
      </c>
      <c r="M100" s="5">
        <f t="shared" si="15"/>
        <v>2760</v>
      </c>
      <c r="N100" s="5">
        <f t="shared" si="16"/>
        <v>285</v>
      </c>
      <c r="O100" s="5">
        <v>208</v>
      </c>
      <c r="P100" s="5">
        <f t="shared" si="17"/>
        <v>1140</v>
      </c>
      <c r="Q100" s="5">
        <v>0</v>
      </c>
      <c r="R100" s="9"/>
      <c r="S100" s="6">
        <f t="shared" si="12"/>
        <v>4393</v>
      </c>
      <c r="T100" s="6">
        <f t="shared" si="13"/>
        <v>33607</v>
      </c>
    </row>
    <row r="101" spans="1:20" x14ac:dyDescent="0.35">
      <c r="A101" s="7" t="s">
        <v>57</v>
      </c>
      <c r="B101" s="8">
        <v>46296</v>
      </c>
      <c r="C101" s="5">
        <f t="shared" si="9"/>
        <v>31</v>
      </c>
      <c r="D101" s="5">
        <v>2</v>
      </c>
      <c r="E101" s="6">
        <f t="shared" si="10"/>
        <v>29</v>
      </c>
      <c r="F101" s="6">
        <f>_xlfn.XLOOKUP(A101,'Salary Structure'!A:A,'Salary Structure'!B:B,"NOT FOUND")</f>
        <v>45000</v>
      </c>
      <c r="G101" s="5">
        <f>_xlfn.XLOOKUP(A101,'Salary Structure'!A:A,'Salary Structure'!C:C,"NOT FOUND")*E101/C101</f>
        <v>16838.709677419356</v>
      </c>
      <c r="H101" s="5">
        <f>_xlfn.XLOOKUP(A101,'Salary Structure'!A:A,'Salary Structure'!D:D,"NOT FOUND")*E101/C101</f>
        <v>4209.677419354839</v>
      </c>
      <c r="I101" s="5">
        <f>_xlfn.XLOOKUP(A101,'Salary Structure'!A:A,'Salary Structure'!E:E,"NOT FOUND")*E101/C101</f>
        <v>7483.8709677419356</v>
      </c>
      <c r="J101" s="5">
        <v>0</v>
      </c>
      <c r="K101" s="5">
        <f t="shared" si="11"/>
        <v>42097</v>
      </c>
      <c r="L101" s="6">
        <f t="shared" si="14"/>
        <v>70629.258064516136</v>
      </c>
      <c r="M101" s="5">
        <f t="shared" si="15"/>
        <v>5400</v>
      </c>
      <c r="N101" s="5">
        <f t="shared" si="16"/>
        <v>529.71943548387105</v>
      </c>
      <c r="O101" s="5">
        <v>208</v>
      </c>
      <c r="P101" s="5">
        <f t="shared" si="17"/>
        <v>2118.8777419354842</v>
      </c>
      <c r="Q101" s="5">
        <v>500</v>
      </c>
      <c r="R101" s="9" t="s">
        <v>73</v>
      </c>
      <c r="S101" s="6">
        <f t="shared" si="12"/>
        <v>8756.5971774193549</v>
      </c>
      <c r="T101" s="6">
        <f t="shared" si="13"/>
        <v>61872.660887096783</v>
      </c>
    </row>
    <row r="102" spans="1:20" x14ac:dyDescent="0.35">
      <c r="A102" s="7" t="s">
        <v>0</v>
      </c>
      <c r="B102" s="8">
        <v>46327</v>
      </c>
      <c r="C102" s="5">
        <f t="shared" si="9"/>
        <v>30</v>
      </c>
      <c r="D102" s="5">
        <v>4</v>
      </c>
      <c r="E102" s="6">
        <f t="shared" si="10"/>
        <v>26</v>
      </c>
      <c r="F102" s="6">
        <f>_xlfn.XLOOKUP(A102,'Salary Structure'!A:A,'Salary Structure'!B:B,"NOT FOUND")</f>
        <v>30000</v>
      </c>
      <c r="G102" s="5">
        <f>_xlfn.XLOOKUP(A102,'Salary Structure'!A:A,'Salary Structure'!C:C,"NOT FOUND")*E102/C102</f>
        <v>10400</v>
      </c>
      <c r="H102" s="5">
        <f>_xlfn.XLOOKUP(A102,'Salary Structure'!A:A,'Salary Structure'!D:D,"NOT FOUND")*E102/C102</f>
        <v>2600</v>
      </c>
      <c r="I102" s="5">
        <f>_xlfn.XLOOKUP(A102,'Salary Structure'!A:A,'Salary Structure'!E:E,"NOT FOUND")*E102/C102</f>
        <v>4333.333333333333</v>
      </c>
      <c r="J102" s="5">
        <v>1500</v>
      </c>
      <c r="K102" s="5">
        <f t="shared" si="11"/>
        <v>26000</v>
      </c>
      <c r="L102" s="6">
        <f t="shared" si="14"/>
        <v>44833.333333333328</v>
      </c>
      <c r="M102" s="5">
        <f t="shared" si="15"/>
        <v>3600</v>
      </c>
      <c r="N102" s="5">
        <f t="shared" si="16"/>
        <v>336.24999999999994</v>
      </c>
      <c r="O102" s="5">
        <v>208</v>
      </c>
      <c r="P102" s="5">
        <f t="shared" si="17"/>
        <v>1345</v>
      </c>
      <c r="Q102" s="5">
        <v>0</v>
      </c>
      <c r="R102" s="9"/>
      <c r="S102" s="6">
        <f t="shared" si="12"/>
        <v>5489.25</v>
      </c>
      <c r="T102" s="6">
        <f t="shared" si="13"/>
        <v>39344.083333333328</v>
      </c>
    </row>
    <row r="103" spans="1:20" x14ac:dyDescent="0.35">
      <c r="A103" s="7" t="s">
        <v>9</v>
      </c>
      <c r="B103" s="8">
        <v>46327</v>
      </c>
      <c r="C103" s="5">
        <f t="shared" si="9"/>
        <v>30</v>
      </c>
      <c r="D103" s="5">
        <v>0</v>
      </c>
      <c r="E103" s="6">
        <f t="shared" si="10"/>
        <v>30</v>
      </c>
      <c r="F103" s="6">
        <f>_xlfn.XLOOKUP(A103,'Salary Structure'!A:A,'Salary Structure'!B:B,"NOT FOUND")</f>
        <v>25000</v>
      </c>
      <c r="G103" s="5">
        <f>_xlfn.XLOOKUP(A103,'Salary Structure'!A:A,'Salary Structure'!C:C,"NOT FOUND")*E103/C103</f>
        <v>10000</v>
      </c>
      <c r="H103" s="5">
        <f>_xlfn.XLOOKUP(A103,'Salary Structure'!A:A,'Salary Structure'!D:D,"NOT FOUND")*E103/C103</f>
        <v>2500</v>
      </c>
      <c r="I103" s="5">
        <f>_xlfn.XLOOKUP(A103,'Salary Structure'!A:A,'Salary Structure'!E:E,"NOT FOUND")*E103/C103</f>
        <v>4000</v>
      </c>
      <c r="J103" s="5">
        <v>1000</v>
      </c>
      <c r="K103" s="5">
        <f t="shared" si="11"/>
        <v>25000</v>
      </c>
      <c r="L103" s="6">
        <f t="shared" si="14"/>
        <v>42500</v>
      </c>
      <c r="M103" s="5">
        <f t="shared" si="15"/>
        <v>3000</v>
      </c>
      <c r="N103" s="5">
        <f t="shared" si="16"/>
        <v>318.75</v>
      </c>
      <c r="O103" s="5">
        <v>208</v>
      </c>
      <c r="P103" s="5">
        <f t="shared" si="17"/>
        <v>1275</v>
      </c>
      <c r="Q103" s="5">
        <v>0</v>
      </c>
      <c r="R103" s="9"/>
      <c r="S103" s="6">
        <f t="shared" si="12"/>
        <v>4801.75</v>
      </c>
      <c r="T103" s="6">
        <f t="shared" si="13"/>
        <v>37698.25</v>
      </c>
    </row>
    <row r="104" spans="1:20" x14ac:dyDescent="0.35">
      <c r="A104" s="7" t="s">
        <v>16</v>
      </c>
      <c r="B104" s="8">
        <v>46327</v>
      </c>
      <c r="C104" s="5">
        <f t="shared" si="9"/>
        <v>30</v>
      </c>
      <c r="D104" s="5">
        <v>0</v>
      </c>
      <c r="E104" s="6">
        <f t="shared" si="10"/>
        <v>30</v>
      </c>
      <c r="F104" s="6">
        <f>_xlfn.XLOOKUP(A104,'Salary Structure'!A:A,'Salary Structure'!B:B,"NOT FOUND")</f>
        <v>28000</v>
      </c>
      <c r="G104" s="5">
        <f>_xlfn.XLOOKUP(A104,'Salary Structure'!A:A,'Salary Structure'!C:C,"NOT FOUND")*E104/C104</f>
        <v>11200</v>
      </c>
      <c r="H104" s="5">
        <f>_xlfn.XLOOKUP(A104,'Salary Structure'!A:A,'Salary Structure'!D:D,"NOT FOUND")*E104/C104</f>
        <v>2800</v>
      </c>
      <c r="I104" s="5">
        <f>_xlfn.XLOOKUP(A104,'Salary Structure'!A:A,'Salary Structure'!E:E,"NOT FOUND")*E104/C104</f>
        <v>4500</v>
      </c>
      <c r="J104" s="5">
        <v>1200</v>
      </c>
      <c r="K104" s="5">
        <f t="shared" si="11"/>
        <v>28000</v>
      </c>
      <c r="L104" s="6">
        <f t="shared" si="14"/>
        <v>47700</v>
      </c>
      <c r="M104" s="5">
        <f t="shared" si="15"/>
        <v>3360</v>
      </c>
      <c r="N104" s="5">
        <f t="shared" si="16"/>
        <v>357.75</v>
      </c>
      <c r="O104" s="5">
        <v>208</v>
      </c>
      <c r="P104" s="5">
        <f t="shared" si="17"/>
        <v>1431</v>
      </c>
      <c r="Q104" s="5">
        <v>300</v>
      </c>
      <c r="R104" s="9" t="s">
        <v>73</v>
      </c>
      <c r="S104" s="6">
        <f t="shared" si="12"/>
        <v>5656.75</v>
      </c>
      <c r="T104" s="6">
        <f t="shared" si="13"/>
        <v>42043.25</v>
      </c>
    </row>
    <row r="105" spans="1:20" x14ac:dyDescent="0.35">
      <c r="A105" s="7" t="s">
        <v>23</v>
      </c>
      <c r="B105" s="8">
        <v>46327</v>
      </c>
      <c r="C105" s="5">
        <f t="shared" si="9"/>
        <v>30</v>
      </c>
      <c r="D105" s="5">
        <v>0</v>
      </c>
      <c r="E105" s="6">
        <f t="shared" si="10"/>
        <v>30</v>
      </c>
      <c r="F105" s="6">
        <f>_xlfn.XLOOKUP(A105,'Salary Structure'!A:A,'Salary Structure'!B:B,"NOT FOUND")</f>
        <v>26000</v>
      </c>
      <c r="G105" s="5">
        <f>_xlfn.XLOOKUP(A105,'Salary Structure'!A:A,'Salary Structure'!C:C,"NOT FOUND")*E105/C105</f>
        <v>10400</v>
      </c>
      <c r="H105" s="5">
        <f>_xlfn.XLOOKUP(A105,'Salary Structure'!A:A,'Salary Structure'!D:D,"NOT FOUND")*E105/C105</f>
        <v>2600</v>
      </c>
      <c r="I105" s="5">
        <f>_xlfn.XLOOKUP(A105,'Salary Structure'!A:A,'Salary Structure'!E:E,"NOT FOUND")*E105/C105</f>
        <v>4000</v>
      </c>
      <c r="J105" s="5">
        <v>1000</v>
      </c>
      <c r="K105" s="5">
        <f t="shared" si="11"/>
        <v>26000</v>
      </c>
      <c r="L105" s="6">
        <f t="shared" si="14"/>
        <v>44000</v>
      </c>
      <c r="M105" s="5">
        <f t="shared" si="15"/>
        <v>3120</v>
      </c>
      <c r="N105" s="5">
        <f t="shared" si="16"/>
        <v>330</v>
      </c>
      <c r="O105" s="5">
        <v>208</v>
      </c>
      <c r="P105" s="5">
        <f t="shared" si="17"/>
        <v>1320</v>
      </c>
      <c r="Q105" s="5">
        <v>0</v>
      </c>
      <c r="R105" s="9"/>
      <c r="S105" s="6">
        <f t="shared" si="12"/>
        <v>4978</v>
      </c>
      <c r="T105" s="6">
        <f t="shared" si="13"/>
        <v>39022</v>
      </c>
    </row>
    <row r="106" spans="1:20" x14ac:dyDescent="0.35">
      <c r="A106" s="7" t="s">
        <v>30</v>
      </c>
      <c r="B106" s="8">
        <v>46327</v>
      </c>
      <c r="C106" s="5">
        <f t="shared" si="9"/>
        <v>30</v>
      </c>
      <c r="D106" s="5">
        <v>2</v>
      </c>
      <c r="E106" s="6">
        <f t="shared" si="10"/>
        <v>28</v>
      </c>
      <c r="F106" s="6">
        <f>_xlfn.XLOOKUP(A106,'Salary Structure'!A:A,'Salary Structure'!B:B,"NOT FOUND")</f>
        <v>32000</v>
      </c>
      <c r="G106" s="5">
        <f>_xlfn.XLOOKUP(A106,'Salary Structure'!A:A,'Salary Structure'!C:C,"NOT FOUND")*E106/C106</f>
        <v>11946.666666666666</v>
      </c>
      <c r="H106" s="5">
        <f>_xlfn.XLOOKUP(A106,'Salary Structure'!A:A,'Salary Structure'!D:D,"NOT FOUND")*E106/C106</f>
        <v>2986.6666666666665</v>
      </c>
      <c r="I106" s="5">
        <f>_xlfn.XLOOKUP(A106,'Salary Structure'!A:A,'Salary Structure'!E:E,"NOT FOUND")*E106/C106</f>
        <v>5133.333333333333</v>
      </c>
      <c r="J106" s="5">
        <v>1500</v>
      </c>
      <c r="K106" s="5">
        <f t="shared" si="11"/>
        <v>29867</v>
      </c>
      <c r="L106" s="6">
        <f t="shared" si="14"/>
        <v>51433.666666666664</v>
      </c>
      <c r="M106" s="5">
        <f t="shared" si="15"/>
        <v>3840</v>
      </c>
      <c r="N106" s="5">
        <f t="shared" si="16"/>
        <v>385.7525</v>
      </c>
      <c r="O106" s="5">
        <v>208</v>
      </c>
      <c r="P106" s="5">
        <f t="shared" si="17"/>
        <v>1543.01</v>
      </c>
      <c r="Q106" s="5">
        <v>0</v>
      </c>
      <c r="R106" s="9"/>
      <c r="S106" s="6">
        <f t="shared" si="12"/>
        <v>5976.7624999999998</v>
      </c>
      <c r="T106" s="6">
        <f t="shared" si="13"/>
        <v>45456.904166666667</v>
      </c>
    </row>
    <row r="107" spans="1:20" x14ac:dyDescent="0.35">
      <c r="A107" s="7" t="s">
        <v>35</v>
      </c>
      <c r="B107" s="8">
        <v>46327</v>
      </c>
      <c r="C107" s="5">
        <f t="shared" si="9"/>
        <v>30</v>
      </c>
      <c r="D107" s="5">
        <v>4</v>
      </c>
      <c r="E107" s="6">
        <f t="shared" si="10"/>
        <v>26</v>
      </c>
      <c r="F107" s="6">
        <f>_xlfn.XLOOKUP(A107,'Salary Structure'!A:A,'Salary Structure'!B:B,"NOT FOUND")</f>
        <v>24000</v>
      </c>
      <c r="G107" s="5">
        <f>_xlfn.XLOOKUP(A107,'Salary Structure'!A:A,'Salary Structure'!C:C,"NOT FOUND")*E107/C107</f>
        <v>8320</v>
      </c>
      <c r="H107" s="5">
        <f>_xlfn.XLOOKUP(A107,'Salary Structure'!A:A,'Salary Structure'!D:D,"NOT FOUND")*E107/C107</f>
        <v>2080</v>
      </c>
      <c r="I107" s="5">
        <f>_xlfn.XLOOKUP(A107,'Salary Structure'!A:A,'Salary Structure'!E:E,"NOT FOUND")*E107/C107</f>
        <v>3033.3333333333335</v>
      </c>
      <c r="J107" s="5">
        <v>1000</v>
      </c>
      <c r="K107" s="5">
        <f t="shared" si="11"/>
        <v>20800</v>
      </c>
      <c r="L107" s="6">
        <f t="shared" si="14"/>
        <v>35233.333333333336</v>
      </c>
      <c r="M107" s="5">
        <f t="shared" si="15"/>
        <v>2880</v>
      </c>
      <c r="N107" s="5">
        <f t="shared" si="16"/>
        <v>264.25</v>
      </c>
      <c r="O107" s="5">
        <v>208</v>
      </c>
      <c r="P107" s="5">
        <f t="shared" si="17"/>
        <v>1057</v>
      </c>
      <c r="Q107" s="5">
        <v>0</v>
      </c>
      <c r="R107" s="9"/>
      <c r="S107" s="6">
        <f t="shared" si="12"/>
        <v>4409.25</v>
      </c>
      <c r="T107" s="6">
        <f t="shared" si="13"/>
        <v>30824.083333333336</v>
      </c>
    </row>
    <row r="108" spans="1:20" x14ac:dyDescent="0.35">
      <c r="A108" s="7" t="s">
        <v>41</v>
      </c>
      <c r="B108" s="8">
        <v>46327</v>
      </c>
      <c r="C108" s="5">
        <f t="shared" si="9"/>
        <v>30</v>
      </c>
      <c r="D108" s="5">
        <v>1</v>
      </c>
      <c r="E108" s="6">
        <f t="shared" si="10"/>
        <v>29</v>
      </c>
      <c r="F108" s="6">
        <f>_xlfn.XLOOKUP(A108,'Salary Structure'!A:A,'Salary Structure'!B:B,"NOT FOUND")</f>
        <v>40000</v>
      </c>
      <c r="G108" s="5">
        <f>_xlfn.XLOOKUP(A108,'Salary Structure'!A:A,'Salary Structure'!C:C,"NOT FOUND")*E108/C108</f>
        <v>15466.666666666666</v>
      </c>
      <c r="H108" s="5">
        <f>_xlfn.XLOOKUP(A108,'Salary Structure'!A:A,'Salary Structure'!D:D,"NOT FOUND")*E108/C108</f>
        <v>3866.6666666666665</v>
      </c>
      <c r="I108" s="5">
        <f>_xlfn.XLOOKUP(A108,'Salary Structure'!A:A,'Salary Structure'!E:E,"NOT FOUND")*E108/C108</f>
        <v>6766.666666666667</v>
      </c>
      <c r="J108" s="5">
        <v>2000</v>
      </c>
      <c r="K108" s="5">
        <f t="shared" si="11"/>
        <v>38667</v>
      </c>
      <c r="L108" s="6">
        <f t="shared" si="14"/>
        <v>66767</v>
      </c>
      <c r="M108" s="5">
        <f t="shared" si="15"/>
        <v>4800</v>
      </c>
      <c r="N108" s="5">
        <f t="shared" si="16"/>
        <v>500.7525</v>
      </c>
      <c r="O108" s="5">
        <v>208</v>
      </c>
      <c r="P108" s="5">
        <f t="shared" si="17"/>
        <v>2003.01</v>
      </c>
      <c r="Q108" s="5">
        <v>0</v>
      </c>
      <c r="R108" s="9"/>
      <c r="S108" s="6">
        <f t="shared" si="12"/>
        <v>7511.7624999999998</v>
      </c>
      <c r="T108" s="6">
        <f t="shared" si="13"/>
        <v>59255.237500000003</v>
      </c>
    </row>
    <row r="109" spans="1:20" x14ac:dyDescent="0.35">
      <c r="A109" s="7" t="s">
        <v>46</v>
      </c>
      <c r="B109" s="8">
        <v>46327</v>
      </c>
      <c r="C109" s="5">
        <f t="shared" si="9"/>
        <v>30</v>
      </c>
      <c r="D109" s="5">
        <v>0</v>
      </c>
      <c r="E109" s="6">
        <f t="shared" si="10"/>
        <v>30</v>
      </c>
      <c r="F109" s="6">
        <f>_xlfn.XLOOKUP(A109,'Salary Structure'!A:A,'Salary Structure'!B:B,"NOT FOUND")</f>
        <v>30000</v>
      </c>
      <c r="G109" s="5">
        <f>_xlfn.XLOOKUP(A109,'Salary Structure'!A:A,'Salary Structure'!C:C,"NOT FOUND")*E109/C109</f>
        <v>12000</v>
      </c>
      <c r="H109" s="5">
        <f>_xlfn.XLOOKUP(A109,'Salary Structure'!A:A,'Salary Structure'!D:D,"NOT FOUND")*E109/C109</f>
        <v>3000</v>
      </c>
      <c r="I109" s="5">
        <f>_xlfn.XLOOKUP(A109,'Salary Structure'!A:A,'Salary Structure'!E:E,"NOT FOUND")*E109/C109</f>
        <v>5000</v>
      </c>
      <c r="J109" s="5">
        <v>1200</v>
      </c>
      <c r="K109" s="5">
        <f t="shared" si="11"/>
        <v>30000</v>
      </c>
      <c r="L109" s="6">
        <f t="shared" si="14"/>
        <v>51200</v>
      </c>
      <c r="M109" s="5">
        <f t="shared" si="15"/>
        <v>3600</v>
      </c>
      <c r="N109" s="5">
        <f t="shared" si="16"/>
        <v>384</v>
      </c>
      <c r="O109" s="5">
        <v>208</v>
      </c>
      <c r="P109" s="5">
        <f t="shared" si="17"/>
        <v>1536</v>
      </c>
      <c r="Q109" s="5">
        <v>0</v>
      </c>
      <c r="R109" s="9"/>
      <c r="S109" s="6">
        <f t="shared" si="12"/>
        <v>5728</v>
      </c>
      <c r="T109" s="6">
        <f t="shared" si="13"/>
        <v>45472</v>
      </c>
    </row>
    <row r="110" spans="1:20" x14ac:dyDescent="0.35">
      <c r="A110" s="7" t="s">
        <v>51</v>
      </c>
      <c r="B110" s="8">
        <v>46327</v>
      </c>
      <c r="C110" s="5">
        <f t="shared" si="9"/>
        <v>30</v>
      </c>
      <c r="D110" s="5">
        <v>1</v>
      </c>
      <c r="E110" s="6">
        <f t="shared" si="10"/>
        <v>29</v>
      </c>
      <c r="F110" s="6">
        <f>_xlfn.XLOOKUP(A110,'Salary Structure'!A:A,'Salary Structure'!B:B,"NOT FOUND")</f>
        <v>23000</v>
      </c>
      <c r="G110" s="5">
        <f>_xlfn.XLOOKUP(A110,'Salary Structure'!A:A,'Salary Structure'!C:C,"NOT FOUND")*E110/C110</f>
        <v>8893.3333333333339</v>
      </c>
      <c r="H110" s="5">
        <f>_xlfn.XLOOKUP(A110,'Salary Structure'!A:A,'Salary Structure'!D:D,"NOT FOUND")*E110/C110</f>
        <v>2223.3333333333335</v>
      </c>
      <c r="I110" s="5">
        <f>_xlfn.XLOOKUP(A110,'Salary Structure'!A:A,'Salary Structure'!E:E,"NOT FOUND")*E110/C110</f>
        <v>3383.3333333333335</v>
      </c>
      <c r="J110" s="5">
        <v>1000</v>
      </c>
      <c r="K110" s="5">
        <f t="shared" si="11"/>
        <v>22233</v>
      </c>
      <c r="L110" s="6">
        <f t="shared" si="14"/>
        <v>37733</v>
      </c>
      <c r="M110" s="5">
        <f t="shared" si="15"/>
        <v>2760</v>
      </c>
      <c r="N110" s="5">
        <f t="shared" si="16"/>
        <v>282.9975</v>
      </c>
      <c r="O110" s="5">
        <v>208</v>
      </c>
      <c r="P110" s="5">
        <f t="shared" si="17"/>
        <v>1131.99</v>
      </c>
      <c r="Q110" s="5">
        <v>0</v>
      </c>
      <c r="R110" s="9"/>
      <c r="S110" s="6">
        <f t="shared" si="12"/>
        <v>4382.9875000000002</v>
      </c>
      <c r="T110" s="6">
        <f t="shared" si="13"/>
        <v>33350.012499999997</v>
      </c>
    </row>
    <row r="111" spans="1:20" x14ac:dyDescent="0.35">
      <c r="A111" s="7" t="s">
        <v>57</v>
      </c>
      <c r="B111" s="8">
        <v>46327</v>
      </c>
      <c r="C111" s="5">
        <f t="shared" si="9"/>
        <v>30</v>
      </c>
      <c r="D111" s="5">
        <v>1</v>
      </c>
      <c r="E111" s="6">
        <f t="shared" si="10"/>
        <v>29</v>
      </c>
      <c r="F111" s="6">
        <f>_xlfn.XLOOKUP(A111,'Salary Structure'!A:A,'Salary Structure'!B:B,"NOT FOUND")</f>
        <v>45000</v>
      </c>
      <c r="G111" s="5">
        <f>_xlfn.XLOOKUP(A111,'Salary Structure'!A:A,'Salary Structure'!C:C,"NOT FOUND")*E111/C111</f>
        <v>17400</v>
      </c>
      <c r="H111" s="5">
        <f>_xlfn.XLOOKUP(A111,'Salary Structure'!A:A,'Salary Structure'!D:D,"NOT FOUND")*E111/C111</f>
        <v>4350</v>
      </c>
      <c r="I111" s="5">
        <f>_xlfn.XLOOKUP(A111,'Salary Structure'!A:A,'Salary Structure'!E:E,"NOT FOUND")*E111/C111</f>
        <v>7733.333333333333</v>
      </c>
      <c r="J111" s="5">
        <v>2500</v>
      </c>
      <c r="K111" s="5">
        <f t="shared" si="11"/>
        <v>43500</v>
      </c>
      <c r="L111" s="6">
        <f t="shared" si="14"/>
        <v>75483.333333333328</v>
      </c>
      <c r="M111" s="5">
        <f t="shared" si="15"/>
        <v>5400</v>
      </c>
      <c r="N111" s="5">
        <f t="shared" si="16"/>
        <v>566.125</v>
      </c>
      <c r="O111" s="5">
        <v>208</v>
      </c>
      <c r="P111" s="5">
        <f t="shared" si="17"/>
        <v>2264.5</v>
      </c>
      <c r="Q111" s="5">
        <v>500</v>
      </c>
      <c r="R111" s="9" t="s">
        <v>73</v>
      </c>
      <c r="S111" s="6">
        <f t="shared" si="12"/>
        <v>8938.625</v>
      </c>
      <c r="T111" s="6">
        <f t="shared" si="13"/>
        <v>66544.708333333328</v>
      </c>
    </row>
    <row r="112" spans="1:20" x14ac:dyDescent="0.35">
      <c r="A112" s="7" t="s">
        <v>0</v>
      </c>
      <c r="B112" s="8">
        <v>46357</v>
      </c>
      <c r="C112" s="5">
        <f t="shared" si="9"/>
        <v>31</v>
      </c>
      <c r="D112" s="5">
        <v>1</v>
      </c>
      <c r="E112" s="6">
        <f t="shared" si="10"/>
        <v>30</v>
      </c>
      <c r="F112" s="6">
        <f>_xlfn.XLOOKUP(A112,'Salary Structure'!A:A,'Salary Structure'!B:B,"NOT FOUND")</f>
        <v>30000</v>
      </c>
      <c r="G112" s="5">
        <f>_xlfn.XLOOKUP(A112,'Salary Structure'!A:A,'Salary Structure'!C:C,"NOT FOUND")*E112/C112</f>
        <v>11612.903225806451</v>
      </c>
      <c r="H112" s="5">
        <f>_xlfn.XLOOKUP(A112,'Salary Structure'!A:A,'Salary Structure'!D:D,"NOT FOUND")*E112/C112</f>
        <v>2903.2258064516127</v>
      </c>
      <c r="I112" s="5">
        <f>_xlfn.XLOOKUP(A112,'Salary Structure'!A:A,'Salary Structure'!E:E,"NOT FOUND")*E112/C112</f>
        <v>4838.7096774193551</v>
      </c>
      <c r="J112" s="5">
        <v>0</v>
      </c>
      <c r="K112" s="5">
        <f t="shared" si="11"/>
        <v>29032</v>
      </c>
      <c r="L112" s="6">
        <f t="shared" si="14"/>
        <v>48386.838709677424</v>
      </c>
      <c r="M112" s="5">
        <f t="shared" si="15"/>
        <v>3600</v>
      </c>
      <c r="N112" s="5">
        <f t="shared" si="16"/>
        <v>362.90129032258068</v>
      </c>
      <c r="O112" s="5">
        <v>208</v>
      </c>
      <c r="P112" s="5">
        <f t="shared" si="17"/>
        <v>1451.6051612903227</v>
      </c>
      <c r="Q112" s="5">
        <v>0</v>
      </c>
      <c r="R112" s="9"/>
      <c r="S112" s="6">
        <f t="shared" si="12"/>
        <v>5622.5064516129041</v>
      </c>
      <c r="T112" s="6">
        <f t="shared" si="13"/>
        <v>42764.332258064518</v>
      </c>
    </row>
    <row r="113" spans="1:20" x14ac:dyDescent="0.35">
      <c r="A113" s="7" t="s">
        <v>9</v>
      </c>
      <c r="B113" s="8">
        <v>46357</v>
      </c>
      <c r="C113" s="5">
        <f t="shared" si="9"/>
        <v>31</v>
      </c>
      <c r="D113" s="5">
        <v>0</v>
      </c>
      <c r="E113" s="6">
        <f t="shared" si="10"/>
        <v>31</v>
      </c>
      <c r="F113" s="6">
        <f>_xlfn.XLOOKUP(A113,'Salary Structure'!A:A,'Salary Structure'!B:B,"NOT FOUND")</f>
        <v>25000</v>
      </c>
      <c r="G113" s="5">
        <f>_xlfn.XLOOKUP(A113,'Salary Structure'!A:A,'Salary Structure'!C:C,"NOT FOUND")*E113/C113</f>
        <v>10000</v>
      </c>
      <c r="H113" s="5">
        <f>_xlfn.XLOOKUP(A113,'Salary Structure'!A:A,'Salary Structure'!D:D,"NOT FOUND")*E113/C113</f>
        <v>2500</v>
      </c>
      <c r="I113" s="5">
        <f>_xlfn.XLOOKUP(A113,'Salary Structure'!A:A,'Salary Structure'!E:E,"NOT FOUND")*E113/C113</f>
        <v>4000</v>
      </c>
      <c r="J113" s="5">
        <v>0</v>
      </c>
      <c r="K113" s="5">
        <f t="shared" si="11"/>
        <v>25000</v>
      </c>
      <c r="L113" s="6">
        <f t="shared" si="14"/>
        <v>41500</v>
      </c>
      <c r="M113" s="5">
        <f t="shared" si="15"/>
        <v>3000</v>
      </c>
      <c r="N113" s="5">
        <f t="shared" si="16"/>
        <v>311.25</v>
      </c>
      <c r="O113" s="5">
        <v>208</v>
      </c>
      <c r="P113" s="5">
        <f t="shared" si="17"/>
        <v>1245</v>
      </c>
      <c r="Q113" s="5">
        <v>0</v>
      </c>
      <c r="R113" s="9"/>
      <c r="S113" s="6">
        <f t="shared" si="12"/>
        <v>4764.25</v>
      </c>
      <c r="T113" s="6">
        <f t="shared" si="13"/>
        <v>36735.75</v>
      </c>
    </row>
    <row r="114" spans="1:20" x14ac:dyDescent="0.35">
      <c r="A114" s="7" t="s">
        <v>16</v>
      </c>
      <c r="B114" s="8">
        <v>46357</v>
      </c>
      <c r="C114" s="5">
        <f t="shared" si="9"/>
        <v>31</v>
      </c>
      <c r="D114" s="5">
        <v>0</v>
      </c>
      <c r="E114" s="6">
        <f t="shared" si="10"/>
        <v>31</v>
      </c>
      <c r="F114" s="6">
        <f>_xlfn.XLOOKUP(A114,'Salary Structure'!A:A,'Salary Structure'!B:B,"NOT FOUND")</f>
        <v>28000</v>
      </c>
      <c r="G114" s="5">
        <f>_xlfn.XLOOKUP(A114,'Salary Structure'!A:A,'Salary Structure'!C:C,"NOT FOUND")*E114/C114</f>
        <v>11200</v>
      </c>
      <c r="H114" s="5">
        <f>_xlfn.XLOOKUP(A114,'Salary Structure'!A:A,'Salary Structure'!D:D,"NOT FOUND")*E114/C114</f>
        <v>2800</v>
      </c>
      <c r="I114" s="5">
        <f>_xlfn.XLOOKUP(A114,'Salary Structure'!A:A,'Salary Structure'!E:E,"NOT FOUND")*E114/C114</f>
        <v>4500</v>
      </c>
      <c r="J114" s="5">
        <v>0</v>
      </c>
      <c r="K114" s="5">
        <f t="shared" si="11"/>
        <v>28000</v>
      </c>
      <c r="L114" s="6">
        <f t="shared" si="14"/>
        <v>46500</v>
      </c>
      <c r="M114" s="5">
        <f t="shared" si="15"/>
        <v>3360</v>
      </c>
      <c r="N114" s="5">
        <f t="shared" si="16"/>
        <v>348.75</v>
      </c>
      <c r="O114" s="5">
        <v>208</v>
      </c>
      <c r="P114" s="5">
        <f t="shared" si="17"/>
        <v>1395</v>
      </c>
      <c r="Q114" s="5">
        <v>300</v>
      </c>
      <c r="R114" s="9" t="s">
        <v>73</v>
      </c>
      <c r="S114" s="6">
        <f t="shared" si="12"/>
        <v>5611.75</v>
      </c>
      <c r="T114" s="6">
        <f t="shared" si="13"/>
        <v>40888.25</v>
      </c>
    </row>
    <row r="115" spans="1:20" x14ac:dyDescent="0.35">
      <c r="A115" s="7" t="s">
        <v>23</v>
      </c>
      <c r="B115" s="8">
        <v>46357</v>
      </c>
      <c r="C115" s="5">
        <f t="shared" si="9"/>
        <v>31</v>
      </c>
      <c r="D115" s="5">
        <v>0</v>
      </c>
      <c r="E115" s="6">
        <f t="shared" si="10"/>
        <v>31</v>
      </c>
      <c r="F115" s="6">
        <f>_xlfn.XLOOKUP(A115,'Salary Structure'!A:A,'Salary Structure'!B:B,"NOT FOUND")</f>
        <v>26000</v>
      </c>
      <c r="G115" s="5">
        <f>_xlfn.XLOOKUP(A115,'Salary Structure'!A:A,'Salary Structure'!C:C,"NOT FOUND")*E115/C115</f>
        <v>10400</v>
      </c>
      <c r="H115" s="5">
        <f>_xlfn.XLOOKUP(A115,'Salary Structure'!A:A,'Salary Structure'!D:D,"NOT FOUND")*E115/C115</f>
        <v>2600</v>
      </c>
      <c r="I115" s="5">
        <f>_xlfn.XLOOKUP(A115,'Salary Structure'!A:A,'Salary Structure'!E:E,"NOT FOUND")*E115/C115</f>
        <v>4000</v>
      </c>
      <c r="J115" s="5">
        <v>0</v>
      </c>
      <c r="K115" s="5">
        <f t="shared" si="11"/>
        <v>26000</v>
      </c>
      <c r="L115" s="6">
        <f t="shared" si="14"/>
        <v>43000</v>
      </c>
      <c r="M115" s="5">
        <f t="shared" si="15"/>
        <v>3120</v>
      </c>
      <c r="N115" s="5">
        <f t="shared" si="16"/>
        <v>322.5</v>
      </c>
      <c r="O115" s="5">
        <v>208</v>
      </c>
      <c r="P115" s="5">
        <f t="shared" si="17"/>
        <v>1290</v>
      </c>
      <c r="Q115" s="5">
        <v>0</v>
      </c>
      <c r="R115" s="9"/>
      <c r="S115" s="6">
        <f t="shared" si="12"/>
        <v>4940.5</v>
      </c>
      <c r="T115" s="6">
        <f t="shared" si="13"/>
        <v>38059.5</v>
      </c>
    </row>
    <row r="116" spans="1:20" x14ac:dyDescent="0.35">
      <c r="A116" s="7" t="s">
        <v>30</v>
      </c>
      <c r="B116" s="8">
        <v>46357</v>
      </c>
      <c r="C116" s="5">
        <f t="shared" si="9"/>
        <v>31</v>
      </c>
      <c r="D116" s="5">
        <v>1</v>
      </c>
      <c r="E116" s="6">
        <f t="shared" si="10"/>
        <v>30</v>
      </c>
      <c r="F116" s="6">
        <f>_xlfn.XLOOKUP(A116,'Salary Structure'!A:A,'Salary Structure'!B:B,"NOT FOUND")</f>
        <v>32000</v>
      </c>
      <c r="G116" s="5">
        <f>_xlfn.XLOOKUP(A116,'Salary Structure'!A:A,'Salary Structure'!C:C,"NOT FOUND")*E116/C116</f>
        <v>12387.096774193549</v>
      </c>
      <c r="H116" s="5">
        <f>_xlfn.XLOOKUP(A116,'Salary Structure'!A:A,'Salary Structure'!D:D,"NOT FOUND")*E116/C116</f>
        <v>3096.7741935483873</v>
      </c>
      <c r="I116" s="5">
        <f>_xlfn.XLOOKUP(A116,'Salary Structure'!A:A,'Salary Structure'!E:E,"NOT FOUND")*E116/C116</f>
        <v>5322.5806451612907</v>
      </c>
      <c r="J116" s="5">
        <v>0</v>
      </c>
      <c r="K116" s="5">
        <f t="shared" si="11"/>
        <v>30968</v>
      </c>
      <c r="L116" s="6">
        <f t="shared" si="14"/>
        <v>51774.451612903227</v>
      </c>
      <c r="M116" s="5">
        <f t="shared" si="15"/>
        <v>3840</v>
      </c>
      <c r="N116" s="5">
        <f t="shared" si="16"/>
        <v>388.3083870967742</v>
      </c>
      <c r="O116" s="5">
        <v>208</v>
      </c>
      <c r="P116" s="5">
        <f t="shared" si="17"/>
        <v>1553.233548387097</v>
      </c>
      <c r="Q116" s="5">
        <v>0</v>
      </c>
      <c r="R116" s="9"/>
      <c r="S116" s="6">
        <f t="shared" si="12"/>
        <v>5989.5419354838705</v>
      </c>
      <c r="T116" s="6">
        <f t="shared" si="13"/>
        <v>45784.90967741936</v>
      </c>
    </row>
    <row r="117" spans="1:20" x14ac:dyDescent="0.35">
      <c r="A117" s="7" t="s">
        <v>35</v>
      </c>
      <c r="B117" s="8">
        <v>46357</v>
      </c>
      <c r="C117" s="5">
        <f t="shared" si="9"/>
        <v>31</v>
      </c>
      <c r="D117" s="5">
        <v>2</v>
      </c>
      <c r="E117" s="6">
        <f t="shared" si="10"/>
        <v>29</v>
      </c>
      <c r="F117" s="6">
        <f>_xlfn.XLOOKUP(A117,'Salary Structure'!A:A,'Salary Structure'!B:B,"NOT FOUND")</f>
        <v>24000</v>
      </c>
      <c r="G117" s="5">
        <f>_xlfn.XLOOKUP(A117,'Salary Structure'!A:A,'Salary Structure'!C:C,"NOT FOUND")*E117/C117</f>
        <v>8980.645161290322</v>
      </c>
      <c r="H117" s="5">
        <f>_xlfn.XLOOKUP(A117,'Salary Structure'!A:A,'Salary Structure'!D:D,"NOT FOUND")*E117/C117</f>
        <v>2245.1612903225805</v>
      </c>
      <c r="I117" s="5">
        <f>_xlfn.XLOOKUP(A117,'Salary Structure'!A:A,'Salary Structure'!E:E,"NOT FOUND")*E117/C117</f>
        <v>3274.1935483870966</v>
      </c>
      <c r="J117" s="5">
        <v>0</v>
      </c>
      <c r="K117" s="5">
        <f t="shared" si="11"/>
        <v>22452</v>
      </c>
      <c r="L117" s="6">
        <f t="shared" si="14"/>
        <v>36952</v>
      </c>
      <c r="M117" s="5">
        <f t="shared" si="15"/>
        <v>2880</v>
      </c>
      <c r="N117" s="5">
        <f t="shared" si="16"/>
        <v>277.14</v>
      </c>
      <c r="O117" s="5">
        <v>208</v>
      </c>
      <c r="P117" s="5">
        <f t="shared" si="17"/>
        <v>1108.56</v>
      </c>
      <c r="Q117" s="5">
        <v>0</v>
      </c>
      <c r="R117" s="9"/>
      <c r="S117" s="6">
        <f t="shared" si="12"/>
        <v>4473.7</v>
      </c>
      <c r="T117" s="6">
        <f t="shared" si="13"/>
        <v>32478.3</v>
      </c>
    </row>
    <row r="118" spans="1:20" x14ac:dyDescent="0.35">
      <c r="A118" s="7" t="s">
        <v>41</v>
      </c>
      <c r="B118" s="8">
        <v>46357</v>
      </c>
      <c r="C118" s="5">
        <f t="shared" si="9"/>
        <v>31</v>
      </c>
      <c r="D118" s="5">
        <v>2</v>
      </c>
      <c r="E118" s="6">
        <f t="shared" si="10"/>
        <v>29</v>
      </c>
      <c r="F118" s="6">
        <f>_xlfn.XLOOKUP(A118,'Salary Structure'!A:A,'Salary Structure'!B:B,"NOT FOUND")</f>
        <v>40000</v>
      </c>
      <c r="G118" s="5">
        <f>_xlfn.XLOOKUP(A118,'Salary Structure'!A:A,'Salary Structure'!C:C,"NOT FOUND")*E118/C118</f>
        <v>14967.741935483871</v>
      </c>
      <c r="H118" s="5">
        <f>_xlfn.XLOOKUP(A118,'Salary Structure'!A:A,'Salary Structure'!D:D,"NOT FOUND")*E118/C118</f>
        <v>3741.9354838709678</v>
      </c>
      <c r="I118" s="5">
        <f>_xlfn.XLOOKUP(A118,'Salary Structure'!A:A,'Salary Structure'!E:E,"NOT FOUND")*E118/C118</f>
        <v>6548.3870967741932</v>
      </c>
      <c r="J118" s="5">
        <v>0</v>
      </c>
      <c r="K118" s="5">
        <f t="shared" si="11"/>
        <v>37419</v>
      </c>
      <c r="L118" s="6">
        <f t="shared" si="14"/>
        <v>62677.06451612903</v>
      </c>
      <c r="M118" s="5">
        <f t="shared" si="15"/>
        <v>4800</v>
      </c>
      <c r="N118" s="5">
        <f t="shared" si="16"/>
        <v>470.07798387096778</v>
      </c>
      <c r="O118" s="5">
        <v>208</v>
      </c>
      <c r="P118" s="5">
        <f t="shared" si="17"/>
        <v>1880.3119354838709</v>
      </c>
      <c r="Q118" s="5">
        <v>0</v>
      </c>
      <c r="R118" s="9"/>
      <c r="S118" s="6">
        <f t="shared" si="12"/>
        <v>7358.3899193548386</v>
      </c>
      <c r="T118" s="6">
        <f t="shared" si="13"/>
        <v>55318.674596774188</v>
      </c>
    </row>
    <row r="119" spans="1:20" x14ac:dyDescent="0.35">
      <c r="A119" s="7" t="s">
        <v>46</v>
      </c>
      <c r="B119" s="8">
        <v>46357</v>
      </c>
      <c r="C119" s="5">
        <f t="shared" si="9"/>
        <v>31</v>
      </c>
      <c r="D119" s="5">
        <v>2</v>
      </c>
      <c r="E119" s="6">
        <f t="shared" si="10"/>
        <v>29</v>
      </c>
      <c r="F119" s="6">
        <f>_xlfn.XLOOKUP(A119,'Salary Structure'!A:A,'Salary Structure'!B:B,"NOT FOUND")</f>
        <v>30000</v>
      </c>
      <c r="G119" s="5">
        <f>_xlfn.XLOOKUP(A119,'Salary Structure'!A:A,'Salary Structure'!C:C,"NOT FOUND")*E119/C119</f>
        <v>11225.806451612903</v>
      </c>
      <c r="H119" s="5">
        <f>_xlfn.XLOOKUP(A119,'Salary Structure'!A:A,'Salary Structure'!D:D,"NOT FOUND")*E119/C119</f>
        <v>2806.4516129032259</v>
      </c>
      <c r="I119" s="5">
        <f>_xlfn.XLOOKUP(A119,'Salary Structure'!A:A,'Salary Structure'!E:E,"NOT FOUND")*E119/C119</f>
        <v>4677.4193548387093</v>
      </c>
      <c r="J119" s="5">
        <v>0</v>
      </c>
      <c r="K119" s="5">
        <f t="shared" si="11"/>
        <v>28065</v>
      </c>
      <c r="L119" s="6">
        <f t="shared" si="14"/>
        <v>46774.677419354834</v>
      </c>
      <c r="M119" s="5">
        <f t="shared" si="15"/>
        <v>3600</v>
      </c>
      <c r="N119" s="5">
        <f t="shared" si="16"/>
        <v>350.81008064516124</v>
      </c>
      <c r="O119" s="5">
        <v>208</v>
      </c>
      <c r="P119" s="5">
        <f t="shared" si="17"/>
        <v>1403.2403225806449</v>
      </c>
      <c r="Q119" s="5">
        <v>0</v>
      </c>
      <c r="R119" s="9"/>
      <c r="S119" s="6">
        <f t="shared" si="12"/>
        <v>5562.0504032258059</v>
      </c>
      <c r="T119" s="6">
        <f t="shared" si="13"/>
        <v>41212.62701612903</v>
      </c>
    </row>
    <row r="120" spans="1:20" x14ac:dyDescent="0.35">
      <c r="A120" s="7" t="s">
        <v>51</v>
      </c>
      <c r="B120" s="8">
        <v>46357</v>
      </c>
      <c r="C120" s="5">
        <f t="shared" si="9"/>
        <v>31</v>
      </c>
      <c r="D120" s="5">
        <v>0</v>
      </c>
      <c r="E120" s="6">
        <f t="shared" si="10"/>
        <v>31</v>
      </c>
      <c r="F120" s="6">
        <f>_xlfn.XLOOKUP(A120,'Salary Structure'!A:A,'Salary Structure'!B:B,"NOT FOUND")</f>
        <v>23000</v>
      </c>
      <c r="G120" s="5">
        <f>_xlfn.XLOOKUP(A120,'Salary Structure'!A:A,'Salary Structure'!C:C,"NOT FOUND")*E120/C120</f>
        <v>9200</v>
      </c>
      <c r="H120" s="5">
        <f>_xlfn.XLOOKUP(A120,'Salary Structure'!A:A,'Salary Structure'!D:D,"NOT FOUND")*E120/C120</f>
        <v>2300</v>
      </c>
      <c r="I120" s="5">
        <f>_xlfn.XLOOKUP(A120,'Salary Structure'!A:A,'Salary Structure'!E:E,"NOT FOUND")*E120/C120</f>
        <v>3500</v>
      </c>
      <c r="J120" s="5">
        <v>0</v>
      </c>
      <c r="K120" s="5">
        <f t="shared" si="11"/>
        <v>23000</v>
      </c>
      <c r="L120" s="6">
        <f t="shared" si="14"/>
        <v>38000</v>
      </c>
      <c r="M120" s="5">
        <f t="shared" si="15"/>
        <v>2760</v>
      </c>
      <c r="N120" s="5">
        <f t="shared" si="16"/>
        <v>285</v>
      </c>
      <c r="O120" s="5">
        <v>208</v>
      </c>
      <c r="P120" s="5">
        <f t="shared" si="17"/>
        <v>1140</v>
      </c>
      <c r="Q120" s="5">
        <v>0</v>
      </c>
      <c r="R120" s="9"/>
      <c r="S120" s="6">
        <f t="shared" si="12"/>
        <v>4393</v>
      </c>
      <c r="T120" s="6">
        <f t="shared" si="13"/>
        <v>33607</v>
      </c>
    </row>
    <row r="121" spans="1:20" x14ac:dyDescent="0.35">
      <c r="A121" s="7" t="s">
        <v>57</v>
      </c>
      <c r="B121" s="8">
        <v>46357</v>
      </c>
      <c r="C121" s="5">
        <f t="shared" si="9"/>
        <v>31</v>
      </c>
      <c r="D121" s="5">
        <v>4</v>
      </c>
      <c r="E121" s="6">
        <f t="shared" si="10"/>
        <v>27</v>
      </c>
      <c r="F121" s="6">
        <f>_xlfn.XLOOKUP(A121,'Salary Structure'!A:A,'Salary Structure'!B:B,"NOT FOUND")</f>
        <v>45000</v>
      </c>
      <c r="G121" s="5">
        <f>_xlfn.XLOOKUP(A121,'Salary Structure'!A:A,'Salary Structure'!C:C,"NOT FOUND")*E121/C121</f>
        <v>15677.41935483871</v>
      </c>
      <c r="H121" s="5">
        <f>_xlfn.XLOOKUP(A121,'Salary Structure'!A:A,'Salary Structure'!D:D,"NOT FOUND")*E121/C121</f>
        <v>3919.3548387096776</v>
      </c>
      <c r="I121" s="5">
        <f>_xlfn.XLOOKUP(A121,'Salary Structure'!A:A,'Salary Structure'!E:E,"NOT FOUND")*E121/C121</f>
        <v>6967.7419354838712</v>
      </c>
      <c r="J121" s="5">
        <v>0</v>
      </c>
      <c r="K121" s="5">
        <f t="shared" si="11"/>
        <v>39194</v>
      </c>
      <c r="L121" s="6">
        <f t="shared" si="14"/>
        <v>65758.516129032258</v>
      </c>
      <c r="M121" s="5">
        <f t="shared" si="15"/>
        <v>5400</v>
      </c>
      <c r="N121" s="5">
        <f t="shared" si="16"/>
        <v>493.18887096774193</v>
      </c>
      <c r="O121" s="5">
        <v>208</v>
      </c>
      <c r="P121" s="5">
        <f t="shared" si="17"/>
        <v>1972.755483870968</v>
      </c>
      <c r="Q121" s="5">
        <v>500</v>
      </c>
      <c r="R121" s="9" t="s">
        <v>73</v>
      </c>
      <c r="S121" s="6">
        <f t="shared" si="12"/>
        <v>8573.9443548387098</v>
      </c>
      <c r="T121" s="6">
        <f t="shared" si="13"/>
        <v>57184.571774193551</v>
      </c>
    </row>
  </sheetData>
  <conditionalFormatting sqref="D2:D121">
    <cfRule type="cellIs" dxfId="1" priority="1" operator="greaterThan">
      <formula>0</formula>
    </cfRule>
  </conditionalFormatting>
  <conditionalFormatting sqref="T2:T121">
    <cfRule type="cellIs" dxfId="0" priority="2" operator="lessThan">
      <formula>0</formula>
    </cfRule>
  </conditionalFormatting>
  <dataValidations count="2">
    <dataValidation type="decimal" operator="greaterThanOrEqual" allowBlank="1" sqref="J2:J121 P2:Q121" xr:uid="{F57F2B61-02AD-4974-BF74-5380A0B3CA9B}">
      <formula1>0</formula1>
    </dataValidation>
    <dataValidation type="whole" showErrorMessage="1" errorTitle="Invalid LOP Days" error="LOP Days cannot be negative or exceed Working Days for that month." sqref="D2:D121" xr:uid="{137BCB79-C646-45EC-B6ED-DBADE20EC26F}">
      <formula1>0</formula1>
      <formula2>C2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ED3C-2A80-424C-B3D2-B432DD9A149A}">
  <dimension ref="A1:N33"/>
  <sheetViews>
    <sheetView showGridLines="0" showRowColHeaders="0" tabSelected="1" zoomScale="90" zoomScaleNormal="67" zoomScaleSheetLayoutView="36" zoomScalePageLayoutView="35" workbookViewId="0">
      <selection activeCell="B7" sqref="B7"/>
    </sheetView>
  </sheetViews>
  <sheetFormatPr defaultRowHeight="14.5" x14ac:dyDescent="0.35"/>
  <cols>
    <col min="1" max="1" width="12.6328125" style="10" customWidth="1"/>
    <col min="2" max="3" width="8.7265625" style="10"/>
    <col min="4" max="4" width="14.26953125" style="10" customWidth="1"/>
    <col min="5" max="5" width="8.7265625" style="10"/>
    <col min="6" max="6" width="13.26953125" style="10" customWidth="1"/>
    <col min="7" max="7" width="8.7265625" style="10"/>
    <col min="8" max="8" width="12.81640625" style="10" customWidth="1"/>
    <col min="9" max="16384" width="8.7265625" style="10"/>
  </cols>
  <sheetData>
    <row r="1" spans="1:9" ht="14.5" customHeight="1" x14ac:dyDescent="0.35">
      <c r="A1" s="48" t="s">
        <v>102</v>
      </c>
      <c r="B1" s="48"/>
      <c r="C1" s="48"/>
      <c r="D1" s="48"/>
      <c r="E1" s="48"/>
      <c r="F1" s="48"/>
      <c r="G1" s="48"/>
      <c r="H1" s="48"/>
      <c r="I1" s="21"/>
    </row>
    <row r="2" spans="1:9" ht="15.5" customHeight="1" x14ac:dyDescent="0.35">
      <c r="A2" s="48"/>
      <c r="B2" s="48"/>
      <c r="C2" s="48"/>
      <c r="D2" s="48"/>
      <c r="E2" s="48"/>
      <c r="F2" s="48"/>
      <c r="G2" s="48"/>
      <c r="H2" s="48"/>
      <c r="I2" s="21"/>
    </row>
    <row r="3" spans="1:9" ht="15.5" x14ac:dyDescent="0.35">
      <c r="A3" s="49" t="s">
        <v>108</v>
      </c>
      <c r="B3" s="50"/>
      <c r="C3" s="50"/>
      <c r="D3" s="50"/>
      <c r="E3" s="50"/>
      <c r="F3" s="50"/>
      <c r="G3" s="50"/>
      <c r="H3" s="50"/>
      <c r="I3" s="21"/>
    </row>
    <row r="4" spans="1:9" ht="15.5" x14ac:dyDescent="0.35">
      <c r="A4" s="21"/>
      <c r="B4" s="21"/>
      <c r="C4" s="21"/>
      <c r="D4" s="21"/>
      <c r="E4" s="21"/>
      <c r="F4" s="21"/>
      <c r="G4" s="21"/>
      <c r="H4" s="21"/>
      <c r="I4" s="21"/>
    </row>
    <row r="5" spans="1:9" ht="15.5" x14ac:dyDescent="0.35">
      <c r="A5" s="51" t="s">
        <v>91</v>
      </c>
      <c r="B5" s="52"/>
      <c r="C5" s="52"/>
      <c r="D5" s="52"/>
      <c r="E5" s="52"/>
      <c r="F5" s="52"/>
      <c r="G5" s="52"/>
      <c r="H5" s="52"/>
      <c r="I5" s="21"/>
    </row>
    <row r="6" spans="1:9" ht="16" thickBot="1" x14ac:dyDescent="0.4">
      <c r="A6" s="21"/>
      <c r="B6" s="21"/>
      <c r="C6" s="21"/>
      <c r="D6" s="21"/>
      <c r="E6" s="21"/>
      <c r="F6" s="21"/>
      <c r="G6" s="21"/>
      <c r="H6" s="21"/>
      <c r="I6" s="21"/>
    </row>
    <row r="7" spans="1:9" ht="16" thickBot="1" x14ac:dyDescent="0.4">
      <c r="A7" s="13" t="s">
        <v>62</v>
      </c>
      <c r="B7" s="17" t="s">
        <v>30</v>
      </c>
      <c r="C7" s="21"/>
      <c r="D7" s="21"/>
      <c r="E7" s="21"/>
      <c r="F7" s="13" t="s">
        <v>74</v>
      </c>
      <c r="G7" s="53">
        <v>46266</v>
      </c>
      <c r="H7" s="54"/>
      <c r="I7" s="21"/>
    </row>
    <row r="8" spans="1:9" ht="15.5" x14ac:dyDescent="0.35">
      <c r="A8" s="21"/>
      <c r="B8" s="21"/>
      <c r="C8" s="21"/>
      <c r="D8" s="21"/>
      <c r="E8" s="21"/>
      <c r="F8" s="21"/>
      <c r="G8" s="21"/>
      <c r="H8" s="21"/>
      <c r="I8" s="21"/>
    </row>
    <row r="9" spans="1:9" ht="15.5" x14ac:dyDescent="0.35">
      <c r="A9" s="55"/>
      <c r="B9" s="52"/>
      <c r="C9" s="52"/>
      <c r="D9" s="52"/>
      <c r="E9" s="52"/>
      <c r="F9" s="52"/>
      <c r="G9" s="52"/>
      <c r="H9" s="52"/>
      <c r="I9" s="21"/>
    </row>
    <row r="10" spans="1:9" ht="15.5" x14ac:dyDescent="0.3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5.5" x14ac:dyDescent="0.35">
      <c r="A11" s="46" t="s">
        <v>92</v>
      </c>
      <c r="B11" s="47"/>
      <c r="C11" s="47"/>
      <c r="D11" s="47"/>
      <c r="E11" s="22"/>
      <c r="F11" s="46" t="s">
        <v>93</v>
      </c>
      <c r="G11" s="47"/>
      <c r="H11" s="47"/>
      <c r="I11" s="21"/>
    </row>
    <row r="12" spans="1:9" ht="15.5" x14ac:dyDescent="0.35">
      <c r="A12" s="14" t="s">
        <v>63</v>
      </c>
      <c r="B12" s="18"/>
      <c r="C12" s="40" t="str">
        <f>_xlfn.XLOOKUP('Salary Slip'!B7,'Employee Master Table'!A:A,'Employee Master Table'!B:B,"NOTFOUND")</f>
        <v>Rahul Mehta</v>
      </c>
      <c r="D12" s="41"/>
      <c r="E12" s="22"/>
      <c r="F12" s="15" t="s">
        <v>74</v>
      </c>
      <c r="G12" s="23"/>
      <c r="H12" s="19" cm="1">
        <f t="array" ref="H12">VLOOKUP($B$7,_xlfn._xlws.FILTER('Employee data'!$A$1:$T$121,'Employee data'!$B$1:$B$121='Salary Slip'!$G$7),MATCH(F12,'Employee data'!$1:$1,0),0)</f>
        <v>46266</v>
      </c>
      <c r="I12" s="21"/>
    </row>
    <row r="13" spans="1:9" ht="15.5" x14ac:dyDescent="0.35">
      <c r="A13" s="15" t="s">
        <v>64</v>
      </c>
      <c r="B13" s="23"/>
      <c r="C13" s="40" t="str">
        <f>_xlfn.XLOOKUP('Salary Slip'!B7,'Employee Master Table'!A:A,'Employee Master Table'!D:D,"NOTFOUND")</f>
        <v>Engineering</v>
      </c>
      <c r="D13" s="41"/>
      <c r="E13" s="22"/>
      <c r="F13" s="15" t="s">
        <v>75</v>
      </c>
      <c r="G13" s="23"/>
      <c r="H13" s="20" cm="1">
        <f t="array" ref="H13">VLOOKUP($B$7,_xlfn._xlws.FILTER('Employee data'!$A$1:$T$121,'Employee data'!$B$1:$B$121='Salary Slip'!$G$7),MATCH(F13,'Employee data'!$1:$1,0),0)</f>
        <v>30</v>
      </c>
      <c r="I13" s="21"/>
    </row>
    <row r="14" spans="1:9" ht="15.5" x14ac:dyDescent="0.35">
      <c r="A14" s="15" t="s">
        <v>65</v>
      </c>
      <c r="B14" s="23"/>
      <c r="C14" s="40" t="str">
        <f>_xlfn.XLOOKUP('Salary Slip'!B7,'Employee Master Table'!A:A,'Employee Master Table'!E:E,"NOTFOUND")</f>
        <v>Data Analyst</v>
      </c>
      <c r="D14" s="41"/>
      <c r="E14" s="22"/>
      <c r="F14" s="15" t="s">
        <v>76</v>
      </c>
      <c r="G14" s="23"/>
      <c r="H14" s="20" cm="1">
        <f t="array" ref="H14">VLOOKUP($B$7,_xlfn._xlws.FILTER('Employee data'!$A$1:$T$121,'Employee data'!$B$1:$B$121='Salary Slip'!$G$7),MATCH(F14,'Employee data'!$1:$1,0),0)</f>
        <v>4</v>
      </c>
      <c r="I14" s="21"/>
    </row>
    <row r="15" spans="1:9" ht="15.5" x14ac:dyDescent="0.35">
      <c r="A15" s="15" t="s">
        <v>66</v>
      </c>
      <c r="B15" s="23"/>
      <c r="C15" s="56">
        <f>_xlfn.XLOOKUP('Salary Slip'!B7,'Employee Master Table'!A:A,'Employee Master Table'!F:F,"NOTFOUND")</f>
        <v>45516</v>
      </c>
      <c r="D15" s="57"/>
      <c r="E15" s="22"/>
      <c r="F15" s="15" t="s">
        <v>77</v>
      </c>
      <c r="G15" s="23"/>
      <c r="H15" s="20" cm="1">
        <f t="array" ref="H15">VLOOKUP($B$7,_xlfn._xlws.FILTER('Employee data'!$A$1:$T$121,'Employee data'!$B$1:$B$121='Salary Slip'!$G$7),MATCH(F15,'Employee data'!$1:$1,0),0)</f>
        <v>26</v>
      </c>
      <c r="I15" s="21"/>
    </row>
    <row r="16" spans="1:9" ht="15.5" x14ac:dyDescent="0.35">
      <c r="A16" s="15" t="s">
        <v>67</v>
      </c>
      <c r="B16" s="23"/>
      <c r="C16" s="40" t="str">
        <f>_xlfn.XLOOKUP('Salary Slip'!B7,'Employee Master Table'!A:A,'Employee Master Table'!G:G,"NOTFOUND")</f>
        <v>HDFC Bank</v>
      </c>
      <c r="D16" s="41"/>
      <c r="E16" s="24"/>
      <c r="F16" s="25"/>
      <c r="G16" s="25"/>
      <c r="H16" s="25"/>
      <c r="I16" s="21"/>
    </row>
    <row r="17" spans="1:14" ht="15.5" x14ac:dyDescent="0.35">
      <c r="A17" s="15" t="s">
        <v>68</v>
      </c>
      <c r="B17" s="23"/>
      <c r="C17" s="40" t="str">
        <f>LEFT(_xlfn.XLOOKUP('Salary Slip'!B7,'Employee Master Table'!A:A,'Employee Master Table'!H:H,"NOTFOUND"),3)&amp;"********"&amp;RIGHT(_xlfn.XLOOKUP('Salary Slip'!B7,'Employee Master Table'!A:A,'Employee Master Table'!H:H,"NOTFOUND"),3)</f>
        <v>501********005</v>
      </c>
      <c r="D17" s="41"/>
      <c r="E17" s="24"/>
      <c r="F17" s="21"/>
      <c r="G17" s="21"/>
      <c r="H17" s="21"/>
      <c r="I17" s="21"/>
    </row>
    <row r="18" spans="1:14" ht="15.5" x14ac:dyDescent="0.35">
      <c r="A18" s="15" t="s">
        <v>69</v>
      </c>
      <c r="B18" s="23"/>
      <c r="C18" s="40" t="str">
        <f>LEFT(_xlfn.XLOOKUP('Salary Slip'!B7,'Employee Master Table'!A:A,'Employee Master Table'!I:I,"NOTFOUND"),2)&amp;"******"&amp;RIGHT(_xlfn.XLOOKUP('Salary Slip'!B7,'Employee Master Table'!A:A,'Employee Master Table'!I:I,"NOTFOUND"),2)</f>
        <v>EE******8E</v>
      </c>
      <c r="D18" s="41"/>
      <c r="E18" s="24"/>
      <c r="F18" s="21"/>
      <c r="G18" s="21"/>
      <c r="H18" s="21"/>
      <c r="I18" s="21"/>
    </row>
    <row r="19" spans="1:14" ht="15.5" x14ac:dyDescent="0.35">
      <c r="A19" s="15" t="s">
        <v>72</v>
      </c>
      <c r="B19" s="23"/>
      <c r="C19" s="40" t="str">
        <f>_xlfn.XLOOKUP('Salary Slip'!B7,'Employee Master Table'!A:A,'Employee Master Table'!L:L,"NOTFOUND")</f>
        <v>Active</v>
      </c>
      <c r="D19" s="41"/>
      <c r="E19" s="24"/>
      <c r="F19" s="21"/>
      <c r="G19" s="21"/>
      <c r="H19" s="21"/>
      <c r="I19" s="21"/>
    </row>
    <row r="20" spans="1:14" ht="15.5" x14ac:dyDescent="0.35">
      <c r="A20" s="21"/>
      <c r="B20" s="21"/>
      <c r="C20" s="21"/>
      <c r="D20" s="21"/>
      <c r="E20" s="21"/>
      <c r="F20" s="21"/>
      <c r="G20" s="21"/>
      <c r="H20" s="21"/>
      <c r="I20" s="21"/>
    </row>
    <row r="21" spans="1:14" ht="15.5" x14ac:dyDescent="0.35">
      <c r="A21" s="46" t="s">
        <v>94</v>
      </c>
      <c r="B21" s="47"/>
      <c r="C21" s="47"/>
      <c r="D21" s="47"/>
      <c r="E21" s="22"/>
      <c r="F21" s="46" t="s">
        <v>95</v>
      </c>
      <c r="G21" s="47"/>
      <c r="H21" s="47"/>
      <c r="I21" s="21"/>
    </row>
    <row r="22" spans="1:14" ht="15.5" x14ac:dyDescent="0.35">
      <c r="A22" s="40" t="s">
        <v>78</v>
      </c>
      <c r="B22" s="41"/>
      <c r="C22" s="41"/>
      <c r="D22" s="26" cm="1">
        <f t="array" ref="D22">VLOOKUP($B$7,_xlfn._xlws.FILTER('Employee data'!$A$1:$T$121,'Employee data'!$B$1:$B$121='Salary Slip'!$G$7),MATCH(A22,'Employee data'!$1:$1,0),0)</f>
        <v>32000</v>
      </c>
      <c r="E22" s="22"/>
      <c r="F22" s="40" t="s">
        <v>96</v>
      </c>
      <c r="G22" s="41"/>
      <c r="H22" s="29" cm="1">
        <f t="array" ref="H22">VLOOKUP($B$7,_xlfn._xlws.FILTER('Employee data'!$A$1:$T$121,'Employee data'!$B$1:$B$121='Salary Slip'!$G$7),MATCH(F22,'Employee data'!$1:$1,0),0)</f>
        <v>3840</v>
      </c>
      <c r="I22" s="21"/>
    </row>
    <row r="23" spans="1:14" ht="15.5" x14ac:dyDescent="0.35">
      <c r="A23" s="40" t="s">
        <v>97</v>
      </c>
      <c r="B23" s="41"/>
      <c r="C23" s="41"/>
      <c r="D23" s="26" cm="1">
        <f t="array" ref="D23">VLOOKUP($B$7,_xlfn._xlws.FILTER('Employee data'!$A$1:$T$121,'Employee data'!$B$1:$B$121='Salary Slip'!$G$7),MATCH(A23,'Employee data'!$1:$1,0),0)</f>
        <v>11093.333333333334</v>
      </c>
      <c r="E23" s="22"/>
      <c r="F23" s="40" t="s">
        <v>84</v>
      </c>
      <c r="G23" s="41"/>
      <c r="H23" s="29" cm="1">
        <f t="array" ref="H23">VLOOKUP($B$7,_xlfn._xlws.FILTER('Employee data'!$A$1:$T$121,'Employee data'!$B$1:$B$121='Salary Slip'!$G$7),MATCH(F23,'Employee data'!$1:$1,0),0)</f>
        <v>347.7475</v>
      </c>
      <c r="I23" s="21"/>
    </row>
    <row r="24" spans="1:14" ht="15.5" x14ac:dyDescent="0.35">
      <c r="A24" s="40" t="s">
        <v>98</v>
      </c>
      <c r="B24" s="41"/>
      <c r="C24" s="41"/>
      <c r="D24" s="26" cm="1">
        <f t="array" ref="D24">VLOOKUP($B$7,_xlfn._xlws.FILTER('Employee data'!$A$1:$T$121,'Employee data'!$B$1:$B$121='Salary Slip'!$G$7),MATCH(A24,'Employee data'!$1:$1,0),0)</f>
        <v>2773.3333333333335</v>
      </c>
      <c r="E24" s="22"/>
      <c r="F24" s="40" t="s">
        <v>85</v>
      </c>
      <c r="G24" s="41"/>
      <c r="H24" s="27" cm="1">
        <f t="array" ref="H24">VLOOKUP($B$7,_xlfn._xlws.FILTER('Employee data'!$A$1:$T$121,'Employee data'!$B$1:$B$121='Salary Slip'!$G$7),MATCH(F24,'Employee data'!$1:$1,0),0)</f>
        <v>208</v>
      </c>
      <c r="I24" s="21"/>
    </row>
    <row r="25" spans="1:14" ht="15.5" x14ac:dyDescent="0.35">
      <c r="A25" s="40" t="s">
        <v>81</v>
      </c>
      <c r="B25" s="41"/>
      <c r="C25" s="41"/>
      <c r="D25" s="26" cm="1">
        <f t="array" ref="D25">VLOOKUP($B$7,_xlfn._xlws.FILTER('Employee data'!$A$1:$T$121,'Employee data'!$B$1:$B$121='Salary Slip'!$G$7),MATCH(A25,'Employee data'!$1:$1,0),0)</f>
        <v>4766.666666666667</v>
      </c>
      <c r="E25" s="22"/>
      <c r="F25" s="40" t="s">
        <v>86</v>
      </c>
      <c r="G25" s="41"/>
      <c r="H25" s="27" cm="1">
        <f t="array" ref="H25">VLOOKUP($B$7,_xlfn._xlws.FILTER('Employee data'!$A$1:$T$121,'Employee data'!$B$1:$B$121='Salary Slip'!$G$7),MATCH(F25,'Employee data'!$1:$1,0),0)</f>
        <v>1390.99</v>
      </c>
      <c r="I25" s="21"/>
    </row>
    <row r="26" spans="1:14" ht="15.5" x14ac:dyDescent="0.35">
      <c r="A26" s="40" t="s">
        <v>82</v>
      </c>
      <c r="B26" s="41"/>
      <c r="C26" s="41"/>
      <c r="D26" s="26" cm="1">
        <f t="array" ref="D26">VLOOKUP($B$7,_xlfn._xlws.FILTER('Employee data'!$A$1:$T$121,'Employee data'!$B$1:$B$121='Salary Slip'!$G$7),MATCH(A26,'Employee data'!$1:$1,0),0)</f>
        <v>0</v>
      </c>
      <c r="E26" s="22"/>
      <c r="F26" s="40" t="s">
        <v>87</v>
      </c>
      <c r="G26" s="41"/>
      <c r="H26" s="29" cm="1">
        <f t="array" ref="H26">VLOOKUP($B$7,_xlfn._xlws.FILTER('Employee data'!$A$1:$T$121,'Employee data'!$B$1:$B$121='Salary Slip'!$G$7),MATCH(F26,'Employee data'!$1:$1,0),0)</f>
        <v>0</v>
      </c>
      <c r="I26" s="21"/>
    </row>
    <row r="27" spans="1:14" ht="15.5" x14ac:dyDescent="0.35">
      <c r="A27" s="40" t="s">
        <v>99</v>
      </c>
      <c r="B27" s="41"/>
      <c r="C27" s="41"/>
      <c r="D27" s="27" cm="1">
        <f t="array" ref="D27">VLOOKUP($B$7,_xlfn._xlws.FILTER('Employee data'!$A$1:$T$121,'Employee data'!$B$1:$B$121='Salary Slip'!$G$7),MATCH(A27,'Employee data'!$1:$1,0),0)</f>
        <v>46366.333333333336</v>
      </c>
      <c r="E27" s="22"/>
      <c r="F27" s="40" t="s">
        <v>100</v>
      </c>
      <c r="G27" s="41"/>
      <c r="H27" s="27" cm="1">
        <f t="array" ref="H27">VLOOKUP($B$7,_xlfn._xlws.FILTER('Employee data'!$A$1:$T$121,'Employee data'!$B$1:$B$121='Salary Slip'!$G$7),MATCH(F27,'Employee data'!$1:$1,0),0)</f>
        <v>5786.7375000000002</v>
      </c>
      <c r="I27" s="21"/>
    </row>
    <row r="28" spans="1:14" ht="15.5" x14ac:dyDescent="0.35">
      <c r="A28" s="21"/>
      <c r="B28" s="21"/>
      <c r="C28" s="21"/>
      <c r="D28" s="21"/>
      <c r="E28" s="21"/>
      <c r="F28" s="21"/>
      <c r="G28" s="21"/>
      <c r="H28" s="21"/>
      <c r="I28" s="21"/>
    </row>
    <row r="29" spans="1:14" ht="15.5" x14ac:dyDescent="0.35">
      <c r="A29" s="42" t="s">
        <v>101</v>
      </c>
      <c r="B29" s="43"/>
      <c r="C29" s="43"/>
      <c r="D29" s="43"/>
      <c r="E29" s="43"/>
      <c r="F29" s="44" cm="1">
        <f t="array" ref="F29">VLOOKUP($B$7,_xlfn._xlws.FILTER('Employee data'!$A$1:$T$121,'Employee data'!$B$1:$B$121='Salary Slip'!$G$7),20,0)</f>
        <v>40579.595833333333</v>
      </c>
      <c r="G29" s="45"/>
      <c r="H29" s="45"/>
      <c r="I29" s="21"/>
      <c r="N29" s="28"/>
    </row>
    <row r="30" spans="1:14" ht="29.5" customHeight="1" x14ac:dyDescent="0.35">
      <c r="A30" s="37" t="str">
        <f>LEFT(_xlfn.XLOOKUP(B7,'Employee Master Table'!A:A,'Employee Master Table'!C:C), FIND(" ", _xlfn.XLOOKUP(B7,'Employee Master Table'!A:A,'Employee Master Table'!C:C)) - 1)</f>
        <v>Rahul</v>
      </c>
      <c r="B30" s="37"/>
      <c r="C30" s="37"/>
      <c r="D30" s="21"/>
      <c r="E30" s="21"/>
      <c r="F30" s="35" t="s">
        <v>105</v>
      </c>
      <c r="G30" s="35"/>
      <c r="H30" s="35"/>
      <c r="I30" s="21"/>
    </row>
    <row r="31" spans="1:14" ht="29.5" customHeight="1" thickBot="1" x14ac:dyDescent="0.4">
      <c r="A31" s="38"/>
      <c r="B31" s="38"/>
      <c r="C31" s="38"/>
      <c r="D31" s="21"/>
      <c r="E31" s="21"/>
      <c r="F31" s="36"/>
      <c r="G31" s="36"/>
      <c r="H31" s="36"/>
      <c r="I31" s="21"/>
    </row>
    <row r="32" spans="1:14" ht="18" x14ac:dyDescent="0.5">
      <c r="A32" s="34" t="s">
        <v>107</v>
      </c>
      <c r="B32" s="34"/>
      <c r="C32" s="34"/>
      <c r="D32" s="21"/>
      <c r="E32" s="21"/>
      <c r="F32" s="34" t="s">
        <v>104</v>
      </c>
      <c r="G32" s="34"/>
      <c r="H32" s="34"/>
      <c r="I32" s="21"/>
    </row>
    <row r="33" spans="1:9" ht="15.5" x14ac:dyDescent="0.35">
      <c r="A33" s="21"/>
      <c r="B33" s="21"/>
      <c r="C33" s="21"/>
      <c r="D33" s="21"/>
      <c r="E33" s="21"/>
      <c r="F33" s="39" t="s">
        <v>102</v>
      </c>
      <c r="G33" s="39"/>
      <c r="H33" s="39"/>
      <c r="I33" s="21"/>
    </row>
  </sheetData>
  <mergeCells count="36">
    <mergeCell ref="C17:D17"/>
    <mergeCell ref="A1:H2"/>
    <mergeCell ref="A3:H3"/>
    <mergeCell ref="A5:H5"/>
    <mergeCell ref="G7:H7"/>
    <mergeCell ref="A9:H9"/>
    <mergeCell ref="A11:D11"/>
    <mergeCell ref="F11:H11"/>
    <mergeCell ref="C12:D12"/>
    <mergeCell ref="C13:D13"/>
    <mergeCell ref="C14:D14"/>
    <mergeCell ref="C15:D15"/>
    <mergeCell ref="C16:D16"/>
    <mergeCell ref="C18:D18"/>
    <mergeCell ref="C19:D19"/>
    <mergeCell ref="A21:D21"/>
    <mergeCell ref="F21:H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9:E29"/>
    <mergeCell ref="F29:H29"/>
    <mergeCell ref="F32:H32"/>
    <mergeCell ref="A32:C32"/>
    <mergeCell ref="F30:H31"/>
    <mergeCell ref="A30:C31"/>
    <mergeCell ref="F33:H33"/>
  </mergeCells>
  <pageMargins left="0.70866141732283472" right="0.70866141732283472" top="0.74803149606299213" bottom="0.74803149606299213" header="0.31496062992125984" footer="0.31496062992125984"/>
  <pageSetup paperSize="9" scale="95" fitToWidth="0" fitToHeight="0" orientation="portrait" r:id="rId1"/>
  <headerFooter>
    <oddHeader>&amp;C&amp;G</oddHead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F9FEE02-EBCE-453C-AA43-DA070615FE51}">
          <x14:formula1>
            <xm:f>'Employee Master Table'!$A$2:$A$11</xm:f>
          </x14:formula1>
          <xm:sqref>B7</xm:sqref>
        </x14:dataValidation>
        <x14:dataValidation type="list" allowBlank="1" showInputMessage="1" showErrorMessage="1" xr:uid="{E6C32991-AD6A-4CF5-98C8-F8FBB75E4337}">
          <x14:formula1>
            <xm:f>'Employee Master Table'!$P$1:$P$12</xm:f>
          </x14:formula1>
          <xm:sqref>G7:H7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Master Table</vt:lpstr>
      <vt:lpstr>Salary Structure</vt:lpstr>
      <vt:lpstr>Employee data</vt:lpstr>
      <vt:lpstr>Salary 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 Sharma</dc:creator>
  <cp:lastModifiedBy>Vishwas Sharma</cp:lastModifiedBy>
  <cp:lastPrinted>2026-09-05T14:27:29Z</cp:lastPrinted>
  <dcterms:created xsi:type="dcterms:W3CDTF">2015-06-05T18:17:20Z</dcterms:created>
  <dcterms:modified xsi:type="dcterms:W3CDTF">2026-09-10T18:43:32Z</dcterms:modified>
</cp:coreProperties>
</file>